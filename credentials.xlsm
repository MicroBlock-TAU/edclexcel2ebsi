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https://tuni-my.sharepoint.com/personal/otto_hylli_tuni_fi/Documents/Microblock/"/>
    </mc:Choice>
  </mc:AlternateContent>
  <xr:revisionPtr revIDLastSave="0" documentId="8_{EF22B123-2A50-704C-9C3D-42245D4E8DAE}" xr6:coauthVersionLast="46" xr6:coauthVersionMax="47" xr10:uidLastSave="{00000000-0000-0000-0000-000000000000}"/>
  <bookViews>
    <workbookView xWindow="-120" yWindow="-120" windowWidth="29040" windowHeight="15840" tabRatio="859" activeTab="2"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O15" i="1" a="1"/>
  <c r="BQ15" i="1" a="1"/>
  <c r="BM15" i="1" a="1"/>
  <c r="BO14" i="1" a="1"/>
  <c r="BM14" i="1" a="1"/>
  <c r="BM13" i="1" a="1"/>
  <c r="BQ14" i="1" a="1"/>
  <c r="BO13" i="1" a="1"/>
  <c r="BO16" i="1" a="1"/>
  <c r="BQ13" i="1" a="1"/>
  <c r="BM16" i="1" l="1"/>
  <c r="BQ16" i="1"/>
  <c r="BO16" i="1"/>
  <c r="BM15" i="1"/>
  <c r="BQ15" i="1"/>
  <c r="BO15" i="1"/>
  <c r="BM14" i="1"/>
  <c r="BQ14" i="1"/>
  <c r="BO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BN14" i="1" s="1"/>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EA17" i="6" l="1"/>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N13" i="12" l="1"/>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<sst xmlns="http://schemas.openxmlformats.org/spreadsheetml/2006/main" count="18788" uniqueCount="6759">
  <si>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</si>
  <si>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</si>
  <si>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</si>
  <si>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</si>
  <si>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</si>
  <si>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</si>
  <si>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</si>
  <si>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</si>
  <si>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</si>
  <si>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</si>
  <si>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</si>
  <si>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</si>
  <si>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</si>
  <si>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</si>
  <si>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</si>
  <si>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</si>
  <si>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</si>
  <si>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</si>
  <si>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</si>
  <si>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</si>
  <si>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</si>
  <si>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</si>
  <si>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</si>
  <si>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</si>
  <si>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</si>
  <si>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</si>
  <si>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</si>
  <si>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</si>
  <si>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</si>
  <si>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</si>
  <si>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</si>
  <si>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</si>
  <si>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</si>
  <si>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</si>
  <si>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</si>
  <si>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</si>
  <si>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</si>
  <si>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</si>
  <si>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</si>
  <si>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</si>
  <si>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</si>
  <si>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</si>
  <si>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</si>
  <si>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</si>
  <si>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</si>
  <si>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</si>
  <si>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</si>
  <si>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</si>
  <si>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</si>
  <si>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</si>
  <si>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</si>
  <si>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</si>
  <si>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</si>
  <si>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</si>
  <si>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</si>
  <si>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</si>
  <si>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</si>
  <si>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</si>
  <si>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</si>
  <si>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</si>
  <si>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</si>
  <si>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</si>
  <si>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</si>
  <si>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</si>
  <si>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</si>
  <si>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</si>
  <si>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</si>
  <si>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</si>
  <si>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</si>
  <si>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</si>
  <si>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</si>
  <si>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</si>
  <si>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</si>
  <si>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</si>
  <si>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</si>
  <si>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</si>
  <si>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</si>
  <si>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</si>
  <si>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</si>
  <si>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</si>
  <si>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</si>
  <si>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</si>
  <si>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</si>
  <si>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</si>
  <si>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</si>
  <si>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</si>
  <si>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</si>
  <si>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</si>
  <si>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</si>
  <si>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</si>
  <si>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</si>
  <si>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</si>
  <si>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</si>
  <si>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</si>
  <si>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</si>
  <si>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</si>
  <si>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</si>
  <si>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</si>
  <si>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</si>
  <si>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</si>
  <si>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</si>
  <si>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</si>
  <si>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</si>
  <si>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</si>
  <si>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</si>
  <si>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</si>
  <si>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</si>
  <si>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</si>
  <si>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</si>
  <si>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</si>
  <si>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</si>
  <si>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</si>
  <si>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</si>
  <si>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</si>
  <si>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</si>
  <si>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</si>
  <si>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</si>
  <si>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</si>
  <si>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</si>
  <si>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</si>
  <si>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</si>
  <si>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</si>
  <si>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</si>
  <si>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</si>
  <si>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</si>
  <si>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</si>
  <si>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</si>
  <si>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</si>
  <si>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</si>
  <si>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</si>
  <si>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</si>
  <si>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</si>
  <si>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</si>
  <si>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</si>
  <si>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</si>
  <si>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</si>
  <si>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</si>
  <si>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</si>
  <si>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</si>
  <si>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</si>
  <si>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</si>
  <si>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</si>
  <si>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</si>
  <si>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</si>
  <si>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</si>
  <si>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</si>
  <si>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</si>
  <si>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</si>
  <si>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</si>
  <si>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</si>
  <si>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</si>
  <si>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</si>
  <si>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</si>
  <si>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</si>
  <si>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</si>
  <si>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</si>
  <si>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</si>
  <si>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</si>
  <si>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</si>
  <si>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</si>
  <si>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</si>
  <si>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</si>
  <si>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</si>
  <si>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</si>
  <si>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</si>
  <si>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</si>
  <si>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</si>
  <si>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</si>
  <si>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</si>
  <si>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</si>
  <si>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</si>
  <si>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</si>
  <si>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</si>
  <si>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</si>
  <si>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</si>
  <si>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</si>
  <si>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</si>
  <si>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</si>
  <si>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</si>
  <si>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</si>
  <si>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</si>
  <si>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</si>
  <si>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</si>
  <si>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</si>
  <si>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</si>
  <si>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</si>
  <si>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</si>
  <si>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</si>
  <si>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</si>
  <si>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</si>
  <si>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</si>
  <si>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</si>
  <si>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</si>
  <si>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</si>
  <si>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</si>
  <si>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</si>
  <si>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</si>
  <si>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</si>
  <si>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</si>
  <si>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</si>
  <si>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</si>
  <si>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</si>
  <si>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</si>
  <si>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</si>
  <si>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</si>
  <si>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</si>
  <si>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</si>
  <si>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</si>
  <si>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</si>
  <si>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</si>
  <si>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</si>
  <si>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</si>
  <si>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</si>
  <si>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</si>
  <si>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</si>
  <si>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</si>
  <si>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</si>
  <si>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</si>
  <si>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</si>
  <si>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</si>
  <si>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</si>
  <si>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</si>
  <si>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</si>
  <si>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</si>
  <si>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</si>
  <si>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</si>
  <si>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</si>
  <si>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</si>
  <si>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</si>
  <si>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</si>
  <si>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</si>
  <si>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</si>
  <si>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</si>
  <si>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</si>
  <si>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</si>
  <si>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</si>
  <si>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</si>
  <si>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</si>
  <si>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</si>
  <si>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</si>
  <si>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</si>
  <si>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</si>
  <si>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</si>
  <si>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</si>
  <si>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</si>
  <si>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</si>
  <si>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</si>
  <si>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</si>
  <si>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</si>
  <si>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</si>
  <si>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</si>
  <si>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</si>
  <si>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</si>
  <si>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</si>
  <si>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</si>
  <si>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</si>
  <si>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</si>
  <si>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</si>
  <si>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</si>
  <si>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</si>
  <si>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</si>
  <si>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</si>
  <si>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</si>
  <si>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</si>
  <si>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</si>
  <si>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</si>
  <si>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</si>
  <si>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</si>
  <si>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</si>
  <si>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</si>
  <si>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</si>
  <si>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</si>
  <si>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</si>
  <si>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</si>
  <si>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</si>
  <si>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</si>
  <si>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</si>
  <si>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</si>
  <si>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</si>
  <si>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</si>
  <si>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</si>
  <si>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</si>
  <si>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</si>
  <si>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</si>
  <si>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</si>
  <si>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</si>
  <si>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</si>
  <si>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</si>
  <si>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</si>
  <si>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</si>
  <si>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</si>
  <si>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</si>
  <si>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</si>
  <si>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</si>
  <si>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</si>
  <si>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</si>
  <si>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</si>
  <si>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</si>
  <si>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</si>
  <si>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</si>
  <si>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</si>
  <si>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</si>
  <si>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</si>
  <si>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</si>
  <si>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</si>
  <si>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</si>
  <si>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</si>
  <si>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</si>
  <si>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</si>
  <si>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</si>
  <si>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</si>
  <si>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</si>
  <si>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</si>
  <si>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</si>
  <si>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</si>
  <si>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</si>
  <si>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</si>
  <si>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</si>
  <si>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</si>
  <si>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</si>
  <si>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</si>
  <si>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</si>
  <si>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</si>
  <si>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</si>
  <si>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</si>
  <si>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</si>
  <si>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</si>
  <si>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</si>
  <si>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</si>
  <si>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</si>
  <si>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</si>
  <si>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</si>
  <si>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</si>
  <si>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</si>
  <si>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</si>
  <si>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</si>
  <si>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</si>
  <si>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</si>
  <si>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</si>
  <si>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</si>
  <si>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</si>
  <si>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</si>
  <si>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</si>
  <si>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</si>
  <si>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</si>
  <si>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</si>
  <si>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</si>
  <si>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</si>
  <si>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</si>
  <si>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</si>
  <si>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</si>
  <si>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</si>
  <si>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</si>
  <si>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</si>
  <si>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</si>
  <si>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</si>
  <si>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</si>
  <si>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</si>
  <si>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</si>
  <si>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</si>
  <si>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</si>
  <si>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</si>
  <si>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</si>
  <si>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</si>
  <si>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</si>
  <si>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</si>
  <si>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</si>
  <si>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</si>
  <si>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</si>
  <si>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</si>
  <si>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</si>
  <si>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</si>
  <si>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</si>
  <si>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</si>
  <si>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</si>
  <si>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</si>
  <si>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</si>
  <si>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</si>
  <si>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</si>
  <si>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</si>
  <si>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</si>
  <si>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</si>
  <si>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</si>
  <si>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</si>
  <si>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</si>
  <si>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</si>
  <si>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</si>
  <si>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</si>
  <si>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</si>
  <si>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</si>
  <si>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</si>
  <si>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</si>
  <si>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</si>
  <si>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</si>
  <si>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</si>
  <si>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</si>
  <si>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</si>
  <si>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</si>
  <si>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</si>
  <si>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</si>
  <si>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</si>
  <si>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</si>
  <si>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</si>
  <si>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</si>
  <si>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</si>
  <si>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</si>
  <si>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</si>
  <si>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</si>
  <si>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</si>
  <si>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</si>
  <si>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</si>
  <si>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</si>
  <si>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</si>
  <si>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</si>
  <si>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</si>
  <si>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</si>
  <si>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</si>
  <si>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</si>
  <si>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</si>
  <si>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</si>
  <si>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</si>
  <si>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</si>
  <si>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</si>
  <si>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</si>
  <si>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</si>
  <si>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</si>
  <si>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</si>
  <si>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</si>
  <si>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</si>
  <si>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</si>
  <si>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</si>
  <si>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</si>
  <si>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</si>
  <si>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</si>
  <si>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</si>
  <si>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</si>
  <si>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</si>
  <si>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</si>
  <si>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</si>
  <si>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</si>
  <si>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</si>
  <si>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</si>
  <si>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</si>
  <si>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</si>
  <si>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</si>
  <si>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</si>
  <si>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</si>
  <si>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</si>
  <si>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</si>
  <si>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</si>
  <si>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</si>
  <si>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</si>
  <si>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</si>
  <si>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</si>
  <si>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</si>
  <si>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</si>
  <si>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</si>
  <si>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</si>
  <si>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</si>
  <si>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</si>
  <si>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</si>
  <si>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</si>
  <si>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</si>
  <si>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</si>
  <si>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</si>
  <si>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</si>
  <si>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</si>
  <si>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</si>
  <si>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</si>
  <si>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</si>
  <si>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</si>
  <si>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</si>
  <si>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</si>
  <si>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</si>
  <si>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</si>
  <si>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</si>
  <si>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</si>
  <si>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</si>
  <si>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</si>
  <si>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</si>
  <si>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</si>
  <si>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</si>
  <si>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</si>
  <si>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</si>
  <si>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</si>
  <si>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</si>
  <si>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</si>
  <si>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</si>
  <si>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</si>
  <si>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</si>
  <si>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</si>
  <si>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</si>
  <si>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</si>
  <si>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</si>
  <si>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</si>
  <si>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</si>
  <si>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</si>
  <si>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</si>
  <si>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</si>
  <si>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</si>
  <si>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</si>
  <si>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</si>
  <si>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</si>
  <si>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</si>
  <si>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</si>
  <si>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</si>
  <si>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</si>
  <si>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</si>
  <si>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</si>
  <si>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</si>
  <si>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</si>
  <si>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</si>
  <si>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</si>
  <si>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</si>
  <si>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</si>
  <si>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</si>
  <si>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</si>
  <si>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</si>
  <si>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</si>
  <si>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</si>
  <si>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</si>
  <si>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</si>
  <si>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</si>
  <si>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</si>
  <si>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</si>
  <si>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</si>
  <si>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</si>
  <si>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</si>
  <si>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</si>
  <si>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</si>
  <si>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</si>
  <si>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</si>
  <si>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</si>
  <si>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</si>
  <si>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</si>
  <si>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</si>
  <si>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</si>
  <si>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</si>
  <si>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</si>
  <si>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</si>
  <si>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</si>
  <si>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</si>
  <si>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</si>
  <si>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</si>
  <si>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</si>
  <si>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</si>
  <si>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</si>
  <si>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</si>
  <si>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</si>
  <si>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</si>
  <si>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</si>
  <si>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</si>
  <si>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</si>
  <si>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</si>
  <si>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</si>
  <si>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</si>
  <si>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</si>
  <si>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</si>
  <si>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</si>
  <si>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</si>
  <si>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</si>
  <si>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</si>
  <si>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</si>
  <si>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</si>
  <si>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</si>
  <si>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</si>
  <si>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</si>
  <si>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</si>
  <si>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</si>
  <si>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</si>
  <si>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</si>
  <si>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</si>
  <si>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</si>
  <si>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</si>
  <si>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</si>
  <si>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</si>
  <si>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</si>
  <si>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</si>
  <si>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</si>
  <si>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</si>
  <si>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</si>
  <si>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</si>
  <si>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</si>
  <si>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</si>
  <si>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</si>
  <si>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</si>
  <si>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</si>
  <si>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</si>
  <si>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</si>
  <si>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</si>
  <si>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</si>
  <si>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</si>
  <si>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</si>
  <si>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</si>
  <si>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</si>
  <si>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</si>
  <si>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</si>
  <si>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</si>
  <si>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</si>
  <si>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</si>
  <si>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</si>
  <si>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</si>
  <si>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</si>
  <si>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</si>
  <si>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</si>
  <si>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</si>
  <si>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</si>
  <si>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</si>
  <si>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</si>
  <si>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</si>
  <si>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</si>
  <si>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</si>
  <si>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</si>
  <si>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</si>
  <si>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</si>
  <si>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</si>
  <si>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</si>
  <si>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</si>
  <si>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</si>
  <si>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</si>
  <si>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</si>
  <si>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</si>
  <si>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</si>
  <si>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</si>
  <si>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</si>
  <si>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</si>
  <si>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</si>
  <si>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</si>
  <si>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</si>
  <si>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</si>
  <si>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</si>
  <si>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</si>
  <si>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</si>
  <si>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</si>
  <si>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</si>
  <si>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</si>
  <si>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</si>
  <si>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</si>
  <si>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</si>
  <si>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</si>
  <si>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</si>
  <si>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</si>
  <si>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</si>
  <si>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</si>
  <si>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</si>
  <si>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</si>
  <si>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</si>
  <si>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</si>
  <si>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</si>
  <si>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</si>
  <si>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</si>
  <si>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</si>
  <si>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</si>
  <si>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</si>
  <si>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</si>
  <si>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</si>
  <si>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</si>
  <si>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</si>
  <si>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</si>
  <si>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</si>
  <si>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</si>
  <si>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</si>
  <si>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</si>
  <si>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</si>
  <si>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</si>
  <si>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</si>
  <si>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</si>
  <si>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</si>
  <si>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</si>
  <si>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</si>
  <si>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</si>
  <si>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</si>
  <si>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</si>
  <si>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</si>
  <si>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</si>
  <si>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</si>
  <si>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</si>
  <si>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</si>
  <si>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</si>
  <si>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</si>
  <si>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</si>
  <si>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</si>
  <si>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</si>
  <si>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</si>
  <si>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</si>
  <si>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</si>
  <si>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</si>
  <si>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</si>
  <si>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</si>
  <si>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</si>
  <si>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</si>
  <si>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</si>
  <si>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</si>
  <si>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</si>
  <si>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</si>
  <si>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</si>
  <si>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</si>
  <si>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</si>
  <si>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</si>
  <si>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</si>
  <si>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</si>
  <si>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</si>
  <si>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</si>
  <si>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</si>
  <si>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</si>
  <si>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</si>
  <si>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</si>
  <si>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</si>
  <si>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</si>
  <si>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</si>
  <si>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</si>
  <si>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</si>
  <si>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</si>
  <si>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</si>
  <si>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</si>
  <si>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</si>
  <si>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</si>
  <si>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</si>
  <si>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</si>
  <si>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</si>
  <si>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</si>
  <si>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</si>
  <si>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</si>
  <si>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</si>
  <si>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</si>
  <si>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</si>
  <si>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</si>
  <si>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</si>
  <si>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</si>
  <si>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</si>
  <si>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</si>
  <si>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</si>
  <si>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</si>
  <si>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</si>
  <si>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</si>
  <si>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</si>
  <si>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</si>
  <si>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</si>
  <si>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</si>
  <si>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</si>
  <si>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</si>
  <si>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</si>
  <si>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</si>
  <si>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</si>
  <si>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</si>
  <si>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</si>
  <si>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</si>
  <si>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</si>
  <si>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</si>
  <si>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</si>
  <si>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</si>
  <si>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</si>
  <si>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</si>
  <si>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</si>
  <si>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</si>
  <si>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</si>
  <si>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</si>
  <si>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</si>
  <si>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</si>
  <si>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</si>
  <si>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</si>
  <si>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</si>
  <si>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</si>
  <si>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</si>
  <si>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</si>
  <si>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</si>
  <si>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</si>
  <si>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</si>
  <si>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</si>
  <si>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</si>
  <si>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</si>
  <si>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</si>
  <si>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</si>
  <si>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</si>
  <si>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</si>
  <si>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</si>
  <si>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</si>
  <si>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</si>
  <si>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</si>
  <si>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</si>
  <si>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</si>
  <si>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</si>
  <si>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</si>
  <si>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</si>
  <si>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</si>
  <si>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</si>
  <si>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</si>
  <si>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</si>
  <si>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</si>
  <si>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</si>
  <si>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</si>
  <si>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</si>
  <si>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</si>
  <si>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</si>
  <si>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</si>
  <si>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</si>
  <si>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</si>
  <si>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</si>
  <si>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</si>
  <si>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</si>
  <si>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</si>
  <si>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</si>
  <si>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</si>
  <si>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</si>
  <si>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</si>
  <si>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</si>
  <si>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</si>
  <si>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</si>
  <si>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</si>
  <si>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</si>
  <si>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</si>
  <si>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</si>
  <si>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</si>
  <si>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</si>
  <si>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</si>
  <si>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</si>
  <si>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</si>
  <si>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</si>
  <si>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</si>
  <si>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</si>
  <si>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</si>
  <si>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</si>
  <si>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</si>
  <si>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</si>
  <si>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</si>
  <si>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</si>
  <si>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</si>
  <si>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</si>
  <si>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</si>
  <si>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</si>
  <si>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</si>
  <si>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</si>
  <si>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</si>
  <si>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</si>
  <si>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</si>
  <si>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</si>
  <si>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</si>
  <si>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</si>
  <si>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</si>
  <si>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</si>
  <si>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</si>
  <si>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</si>
  <si>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</si>
  <si>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</si>
  <si>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</si>
  <si>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</si>
  <si>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</si>
  <si>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</si>
  <si>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</si>
  <si>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</si>
  <si>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</si>
  <si>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</si>
  <si>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</si>
  <si>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</si>
  <si>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</si>
  <si>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</si>
  <si>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</si>
  <si>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</si>
  <si>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</si>
  <si>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</si>
  <si>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</si>
  <si>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</si>
  <si>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</si>
  <si>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</si>
  <si>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</si>
  <si>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</si>
  <si>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</si>
  <si>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</si>
  <si>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</si>
  <si>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</si>
  <si>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</si>
  <si>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</si>
  <si>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</si>
  <si>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</si>
  <si>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</si>
  <si>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</si>
  <si>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</si>
  <si>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</si>
  <si>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</si>
  <si>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</si>
  <si>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</si>
  <si>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</si>
  <si>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</si>
  <si>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</si>
  <si>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</si>
  <si>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</si>
  <si>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</si>
  <si>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</si>
  <si>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</si>
  <si>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</si>
  <si>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</si>
  <si>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</si>
  <si>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</si>
  <si>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</si>
  <si>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</si>
  <si>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</si>
  <si>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</si>
  <si>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</si>
  <si>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</si>
  <si>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</si>
  <si>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</si>
  <si>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</si>
  <si>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</si>
  <si>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</si>
  <si>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</si>
  <si>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</si>
  <si>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</si>
  <si>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</si>
  <si>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</si>
  <si>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</si>
  <si>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</si>
  <si>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</si>
  <si>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</si>
  <si>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</si>
  <si>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</si>
  <si>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</si>
  <si>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</si>
  <si>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</si>
  <si>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</si>
  <si>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</si>
  <si>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</si>
  <si>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</si>
  <si>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</si>
  <si>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</si>
  <si>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</si>
  <si>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</si>
  <si>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</si>
  <si>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</si>
  <si>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</si>
  <si>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</si>
  <si>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</si>
  <si>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</si>
  <si>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</si>
  <si>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</si>
  <si>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</si>
  <si>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</si>
  <si>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</si>
  <si>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</si>
  <si>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</si>
  <si>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</si>
  <si>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</si>
  <si>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</si>
  <si>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</si>
  <si>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</si>
  <si>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</si>
  <si>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</si>
  <si>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</si>
  <si>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</si>
  <si>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</si>
  <si>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</si>
  <si>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</si>
  <si>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</si>
  <si>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</si>
  <si>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</si>
  <si>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</si>
  <si>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</si>
  <si>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</si>
  <si>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</si>
  <si>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</si>
  <si>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</si>
  <si>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</si>
  <si>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</si>
  <si>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</si>
  <si>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</si>
  <si>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</si>
  <si>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</si>
  <si>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</si>
  <si>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</si>
  <si>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</si>
  <si>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</si>
  <si>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</si>
  <si>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</si>
  <si>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</si>
  <si>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</si>
  <si>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</si>
  <si>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</si>
  <si>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</si>
  <si>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</si>
  <si>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</si>
  <si>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</si>
  <si>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</si>
  <si>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</si>
  <si>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</si>
  <si>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</si>
  <si>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</si>
  <si>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</si>
  <si>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</si>
  <si>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</si>
  <si>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</si>
  <si>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</si>
  <si>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</si>
  <si>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</si>
  <si>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</si>
  <si>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</si>
  <si>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</si>
  <si>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</si>
  <si>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</si>
  <si>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</si>
  <si>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</si>
  <si>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</si>
  <si>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</si>
  <si>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</si>
  <si>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</si>
  <si>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</si>
  <si>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</si>
  <si>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</si>
  <si>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</si>
  <si>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</si>
  <si>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</si>
  <si>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</si>
  <si>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</si>
  <si>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</si>
  <si>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</si>
  <si>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</si>
  <si>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</si>
  <si>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</si>
  <si>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</si>
  <si>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</si>
  <si>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</si>
  <si>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</si>
  <si>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</si>
  <si>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</si>
  <si>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</si>
  <si>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</si>
  <si>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</si>
  <si>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</si>
  <si>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</si>
  <si>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</si>
  <si>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</si>
  <si>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</si>
  <si>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</si>
  <si>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</si>
  <si>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</si>
  <si>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</si>
  <si>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</si>
  <si>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</si>
  <si>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</si>
  <si>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</si>
  <si>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</si>
  <si>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</si>
  <si>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</si>
  <si>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</si>
  <si>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</si>
  <si>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</si>
  <si>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</si>
  <si>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</si>
  <si>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</si>
  <si>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</si>
  <si>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</si>
  <si>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</si>
  <si>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</si>
  <si>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</si>
  <si>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</si>
  <si>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</si>
  <si>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</si>
  <si>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</si>
  <si>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</si>
  <si>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</si>
  <si>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</si>
  <si>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</si>
  <si>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</si>
  <si>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</si>
  <si>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</si>
  <si>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</si>
  <si>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</si>
  <si>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</si>
  <si>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</si>
  <si>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</si>
  <si>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</si>
  <si>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</si>
  <si>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</si>
  <si>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</si>
  <si>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</si>
  <si>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</si>
  <si>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</si>
  <si>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</si>
  <si>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</si>
  <si>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</si>
  <si>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</si>
  <si>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</si>
  <si>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</si>
  <si>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</si>
  <si>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</si>
  <si>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</si>
  <si>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</si>
  <si>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</si>
  <si>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</si>
  <si>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</si>
  <si>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</si>
  <si>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</si>
  <si>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</si>
  <si>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</si>
  <si>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</si>
  <si>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</si>
  <si>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</si>
  <si>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</si>
  <si>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</si>
  <si>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</si>
  <si>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</si>
  <si>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</si>
  <si>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</si>
  <si>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</si>
  <si>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</si>
  <si>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</si>
  <si>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</si>
  <si>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</si>
  <si>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</si>
  <si>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</si>
  <si>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</si>
  <si>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</si>
  <si>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</si>
  <si>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</si>
  <si>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</si>
  <si>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</si>
  <si>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</si>
  <si>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</si>
  <si>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</si>
  <si>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</si>
  <si>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</si>
  <si>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</si>
  <si>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</si>
  <si>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</si>
  <si>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</si>
  <si>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</si>
  <si>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</si>
  <si>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</si>
  <si>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</si>
  <si>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</si>
  <si>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</si>
  <si>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</si>
  <si>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</si>
  <si>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</si>
  <si>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</si>
  <si>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</si>
  <si>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</si>
  <si>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</si>
  <si>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</si>
  <si>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</si>
  <si>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</si>
  <si>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</si>
  <si>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</si>
  <si>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</si>
  <si>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</si>
  <si>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</si>
  <si>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</si>
  <si>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</si>
  <si>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</si>
  <si>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</si>
  <si>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</si>
  <si>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</si>
  <si>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</si>
  <si>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</si>
  <si>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</si>
  <si>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</si>
  <si>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</si>
  <si>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</si>
  <si>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</si>
  <si>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</si>
  <si>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</si>
  <si>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</si>
  <si>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</si>
  <si>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</si>
  <si>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</si>
  <si>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</si>
  <si>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</si>
  <si>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</si>
  <si>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</si>
  <si>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</si>
  <si>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</si>
  <si>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</si>
  <si>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</si>
  <si>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</si>
  <si>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</si>
  <si>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</si>
  <si>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</si>
  <si>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</si>
  <si>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</si>
  <si>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</si>
  <si>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</si>
  <si>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</si>
  <si>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</si>
  <si>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</si>
  <si>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</si>
  <si>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</si>
  <si>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</si>
  <si>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</si>
  <si>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</si>
  <si>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</si>
  <si>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</si>
  <si>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</si>
  <si>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</si>
  <si>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</si>
  <si>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</si>
  <si>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</si>
  <si>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</si>
  <si>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</si>
  <si>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</si>
  <si>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</si>
  <si>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</si>
  <si>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</si>
  <si>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</si>
  <si>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</si>
  <si>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</si>
  <si>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</si>
  <si>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</si>
  <si>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</si>
  <si>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</si>
  <si>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</si>
  <si>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</si>
  <si>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</si>
  <si>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</si>
  <si>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</si>
  <si>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</si>
  <si>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</si>
  <si>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</si>
  <si>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</si>
  <si>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</si>
  <si>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</si>
  <si>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</si>
  <si>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</si>
  <si>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</si>
  <si>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</si>
  <si>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</si>
  <si>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</si>
  <si>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</si>
  <si>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</si>
  <si>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</si>
  <si>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</si>
  <si>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</si>
  <si>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</si>
  <si>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</si>
  <si>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</si>
  <si>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</si>
  <si>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</si>
  <si>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</si>
  <si>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</si>
  <si>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</si>
  <si>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</si>
  <si>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</si>
  <si>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</si>
  <si>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</si>
  <si>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</si>
  <si>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</si>
  <si>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</si>
  <si>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</si>
  <si>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</si>
  <si>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</si>
  <si>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</si>
  <si>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</si>
  <si>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</si>
  <si>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</si>
  <si>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</si>
  <si>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</si>
  <si>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</si>
  <si>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</si>
  <si>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</si>
  <si>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</si>
  <si>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</si>
  <si>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</si>
  <si>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</si>
  <si>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</si>
  <si>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</si>
  <si>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</si>
  <si>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</si>
  <si>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</si>
  <si>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</si>
  <si>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</si>
  <si>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</si>
  <si>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</si>
  <si>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</si>
  <si>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</si>
  <si>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</si>
  <si>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</si>
  <si>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</si>
  <si>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</si>
  <si>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</si>
  <si>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</si>
  <si>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</si>
  <si>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</si>
  <si>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</si>
  <si>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</si>
  <si>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</si>
  <si>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</si>
  <si>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</si>
  <si>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</si>
  <si>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</si>
  <si>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</si>
  <si>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</si>
  <si>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</si>
  <si>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</si>
  <si>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</si>
  <si>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</si>
  <si>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</si>
  <si>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</si>
  <si>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</si>
  <si>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</si>
  <si>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</si>
  <si>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</si>
  <si>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</si>
  <si>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</si>
  <si>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</si>
  <si>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</si>
  <si>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</si>
  <si>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</si>
  <si>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</si>
  <si>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</si>
  <si>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</si>
  <si>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</si>
  <si>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</si>
  <si>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</si>
  <si>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</si>
  <si>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</si>
  <si>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</si>
  <si>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</si>
  <si>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</si>
  <si>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</si>
  <si>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</si>
  <si>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</si>
  <si>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</si>
  <si>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</si>
  <si>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</si>
  <si>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</si>
  <si>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</si>
  <si>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</si>
  <si>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</si>
  <si>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</si>
  <si>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</si>
  <si>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</si>
  <si>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</si>
  <si>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</si>
  <si>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</si>
  <si>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</si>
  <si>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</si>
  <si>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</si>
  <si>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</si>
  <si>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</si>
  <si>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</si>
  <si>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</si>
  <si>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</si>
  <si>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</si>
  <si>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</si>
  <si>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</si>
  <si>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</si>
  <si>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</si>
  <si>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</si>
  <si>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</si>
  <si>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</si>
  <si>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</si>
  <si>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</si>
  <si>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</si>
  <si>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</si>
  <si>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</si>
  <si>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</si>
  <si>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</si>
  <si>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</si>
  <si>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</si>
  <si>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</si>
  <si>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</si>
  <si>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</si>
  <si>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</si>
  <si>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</si>
  <si>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</si>
  <si>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</si>
  <si>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</si>
  <si>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</si>
  <si>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</si>
  <si>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</si>
  <si>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</si>
  <si>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</si>
  <si>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</si>
  <si>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</si>
  <si>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</si>
  <si>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</si>
  <si>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</si>
  <si>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</si>
  <si>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</si>
  <si>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</si>
  <si>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</si>
  <si>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</si>
  <si>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</si>
  <si>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</si>
  <si>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</si>
  <si>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</si>
  <si>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</si>
  <si>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</si>
  <si>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</si>
  <si>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</si>
  <si>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</si>
  <si>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</si>
  <si>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</si>
  <si>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</si>
  <si>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</si>
  <si>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</si>
  <si>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</si>
  <si>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</si>
  <si>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</si>
  <si>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</si>
  <si>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</si>
  <si>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</si>
  <si>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</si>
  <si>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</si>
  <si>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</si>
  <si>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</si>
  <si>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</si>
  <si>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</si>
  <si>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</si>
  <si>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</si>
  <si>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</si>
  <si>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</si>
  <si>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</si>
  <si>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</si>
  <si>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</si>
  <si>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</si>
  <si>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</si>
  <si>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</si>
  <si>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</si>
  <si>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</si>
  <si>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</si>
  <si>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</si>
  <si>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</si>
  <si>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</si>
  <si>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</si>
  <si>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</si>
  <si>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</si>
  <si>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</si>
  <si>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</si>
  <si>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</si>
  <si>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</si>
  <si>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</si>
  <si>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</si>
  <si>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</si>
  <si>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</si>
  <si>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</si>
  <si>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</si>
  <si>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</si>
  <si>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</si>
  <si>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</si>
  <si>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</si>
  <si>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</si>
  <si>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</si>
  <si>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</si>
  <si>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</si>
  <si>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</si>
  <si>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</si>
  <si>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</si>
  <si>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</si>
  <si>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</si>
  <si>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</si>
  <si>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</si>
  <si>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</si>
  <si>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</si>
  <si>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</si>
  <si>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</si>
  <si>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</si>
  <si>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</si>
  <si>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</si>
  <si>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</si>
  <si>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</si>
  <si>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</si>
  <si>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</si>
  <si>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</si>
  <si>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</si>
  <si>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</si>
  <si>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</si>
  <si>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</si>
  <si>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</si>
  <si>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</si>
  <si>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</si>
  <si>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</si>
  <si>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</si>
  <si>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</si>
  <si>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</si>
  <si>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</si>
  <si>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</si>
  <si>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</si>
  <si>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</si>
  <si>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</si>
  <si>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</si>
  <si>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</si>
  <si>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</si>
  <si>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</si>
  <si>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</si>
  <si>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</si>
  <si>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</si>
  <si>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</si>
  <si>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</si>
  <si>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</si>
  <si>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</si>
  <si>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</si>
  <si>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</si>
  <si>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</si>
  <si>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</si>
  <si>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</si>
  <si>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</si>
  <si>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</si>
  <si>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</si>
  <si>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</si>
  <si>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</si>
  <si>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</si>
  <si>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</si>
  <si>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</si>
  <si>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</si>
  <si>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</si>
  <si>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</si>
  <si>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</si>
  <si>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</si>
  <si>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</si>
  <si>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</si>
  <si>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</si>
  <si>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</si>
  <si>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</si>
  <si>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</si>
  <si>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</si>
  <si>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</si>
  <si>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</si>
  <si>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</si>
  <si>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</si>
  <si>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</si>
  <si>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</si>
  <si>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</si>
  <si>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</si>
  <si>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</si>
  <si>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</si>
  <si>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</si>
  <si>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</si>
  <si>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</si>
  <si>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</si>
  <si>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</si>
  <si>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</si>
  <si>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</si>
  <si>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</si>
  <si>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</si>
  <si>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</si>
  <si>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</si>
  <si>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</si>
  <si>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</si>
  <si>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</si>
  <si>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</si>
  <si>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</si>
  <si>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</si>
  <si>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</si>
  <si>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</si>
  <si>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</si>
  <si>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</si>
  <si>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</si>
  <si>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</si>
  <si>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</si>
  <si>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</si>
  <si>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</si>
  <si>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</si>
  <si>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</si>
  <si>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</si>
  <si>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</si>
  <si>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</si>
  <si>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</si>
  <si>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</si>
  <si>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</si>
  <si>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</si>
  <si>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</si>
  <si>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</si>
  <si>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</si>
  <si>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</si>
  <si>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</si>
  <si>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</si>
  <si>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</si>
  <si>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</si>
  <si>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</si>
  <si>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</si>
  <si>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</si>
  <si>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</si>
  <si>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</si>
  <si>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</si>
  <si>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</si>
  <si>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</si>
  <si>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</si>
  <si>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</si>
  <si>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</si>
  <si>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</si>
  <si>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</si>
  <si>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</si>
  <si>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</si>
  <si>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</si>
  <si>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</si>
  <si>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</si>
  <si>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</si>
  <si>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</si>
  <si>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</si>
  <si>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</si>
  <si>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</si>
  <si>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</si>
  <si>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</si>
  <si>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</si>
  <si>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</si>
  <si>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</si>
  <si>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</si>
  <si>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</si>
  <si>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</si>
  <si>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</si>
  <si>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</si>
  <si>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</si>
  <si>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</si>
  <si>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</si>
  <si>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</si>
  <si>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</si>
  <si>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</si>
  <si>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</si>
  <si>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</si>
  <si>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</si>
  <si>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</si>
  <si>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</si>
  <si>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</si>
  <si>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</si>
  <si>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</si>
  <si>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</si>
  <si>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</si>
  <si>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</si>
  <si>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</si>
  <si>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</si>
  <si>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</si>
  <si>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</si>
  <si>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</si>
  <si>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</si>
  <si>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</si>
  <si>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</si>
  <si>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</si>
  <si>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</si>
  <si>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</si>
  <si>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</si>
  <si>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</si>
  <si>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</si>
  <si>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</si>
  <si>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</si>
  <si>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</si>
  <si>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</si>
  <si>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</si>
  <si>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</si>
  <si>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</si>
  <si>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</si>
  <si>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</si>
  <si>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</si>
  <si>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</si>
  <si>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</si>
  <si>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</si>
  <si>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</si>
  <si>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</si>
  <si>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</si>
  <si>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</si>
  <si>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</si>
  <si>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</si>
  <si>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</si>
  <si>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</si>
  <si>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</si>
  <si>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</si>
  <si>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</si>
  <si>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</si>
  <si>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</si>
  <si>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</si>
  <si>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</si>
  <si>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</si>
  <si>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</si>
  <si>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</si>
  <si>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</si>
  <si>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</si>
  <si>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</si>
  <si>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</si>
  <si>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</si>
  <si>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</si>
  <si>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</si>
  <si>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</si>
  <si>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</si>
  <si>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</si>
  <si>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</si>
  <si>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</si>
  <si>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</si>
  <si>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</si>
  <si>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</si>
  <si>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</si>
  <si>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</si>
  <si>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</si>
  <si>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</si>
  <si>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</si>
  <si>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</si>
  <si>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</si>
  <si>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</si>
  <si>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</si>
  <si>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</si>
  <si>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</si>
  <si>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</si>
  <si>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</si>
  <si>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</si>
  <si>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</si>
  <si>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</si>
  <si>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</si>
  <si>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</si>
  <si>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</si>
  <si>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</si>
  <si>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</si>
  <si>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</si>
  <si>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</si>
  <si>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</si>
  <si>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</si>
  <si>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</si>
  <si>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</si>
  <si>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</si>
  <si>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</si>
  <si>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</si>
  <si>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</si>
  <si>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</si>
  <si>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</si>
  <si>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</si>
  <si>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</si>
  <si>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</si>
  <si>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</si>
  <si>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</si>
  <si>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</si>
  <si>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</si>
  <si>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</si>
  <si>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</si>
  <si>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</si>
  <si>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</si>
  <si>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</si>
  <si>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</si>
  <si>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</si>
  <si>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</si>
  <si>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</si>
  <si>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</si>
  <si>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</si>
  <si>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</si>
  <si>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</si>
  <si>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</si>
  <si>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</si>
  <si>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</si>
  <si>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</si>
  <si>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</si>
  <si>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</si>
  <si>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</si>
  <si>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</si>
  <si>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</si>
  <si>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</si>
  <si>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</si>
  <si>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</si>
  <si>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</si>
  <si>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</si>
  <si>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</si>
  <si>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</si>
  <si>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</si>
  <si>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</si>
  <si>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</si>
  <si>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</si>
  <si>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</si>
  <si>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</si>
  <si>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</si>
  <si>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</si>
  <si>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</si>
  <si>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</si>
  <si>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</si>
  <si>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</si>
  <si>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</si>
  <si>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</si>
  <si>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</si>
  <si>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</si>
  <si>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</si>
  <si>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</si>
  <si>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</si>
  <si>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</si>
  <si>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</si>
  <si>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</si>
  <si>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</si>
  <si>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</si>
  <si>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</si>
  <si>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</si>
  <si>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</si>
  <si>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</si>
  <si>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</si>
  <si>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</si>
  <si>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</si>
  <si>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</si>
  <si>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</si>
  <si>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</si>
  <si>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</si>
  <si>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</si>
  <si>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</si>
  <si>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</si>
  <si>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</si>
  <si>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</si>
  <si>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</si>
  <si>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</si>
  <si>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</si>
  <si>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</si>
  <si>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</si>
  <si>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</si>
  <si>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</si>
  <si>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</si>
  <si>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</si>
  <si>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</si>
  <si>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</si>
  <si>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</si>
  <si>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</si>
  <si>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</si>
  <si>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</si>
  <si>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</si>
  <si>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</si>
  <si>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</si>
  <si>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</si>
  <si>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</si>
  <si>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</si>
  <si>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</si>
  <si>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</si>
  <si>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</si>
  <si>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</si>
  <si>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</si>
  <si>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</si>
  <si>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</si>
  <si>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</si>
  <si>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</si>
  <si>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</si>
  <si>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</si>
  <si>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</si>
  <si>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</si>
  <si>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</si>
  <si>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</si>
  <si>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</si>
  <si>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</si>
  <si>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</si>
  <si>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</si>
  <si>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</si>
  <si>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</si>
  <si>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</si>
  <si>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</si>
  <si>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</si>
  <si>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</si>
  <si>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</si>
  <si>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</si>
  <si>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</si>
  <si>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</si>
  <si>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</si>
  <si>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</si>
  <si>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</si>
  <si>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</si>
  <si>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</si>
  <si>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</si>
  <si>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</si>
  <si>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</si>
  <si>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</si>
  <si>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</si>
  <si>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</si>
  <si>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</si>
  <si>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</si>
  <si>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</si>
  <si>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</si>
  <si>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</si>
  <si>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</si>
  <si>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</si>
  <si>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</si>
  <si>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</si>
  <si>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</si>
  <si>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</si>
  <si>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</si>
  <si>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</si>
  <si>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</si>
  <si>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</si>
  <si>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</si>
  <si>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</si>
  <si>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</si>
  <si>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</si>
  <si>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</si>
  <si>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</si>
  <si>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</si>
  <si>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</si>
  <si>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</si>
  <si>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</si>
  <si>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</si>
  <si>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</si>
  <si>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</si>
  <si>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</si>
  <si>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</si>
  <si>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</si>
  <si>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</si>
  <si>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</si>
  <si>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</si>
  <si>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</si>
  <si>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</si>
  <si>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</si>
  <si>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</si>
  <si>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</si>
  <si>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</si>
  <si>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</si>
  <si>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</si>
  <si>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</si>
  <si>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</si>
  <si>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</si>
  <si>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</si>
  <si>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</si>
  <si>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</si>
  <si>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</si>
  <si>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</si>
  <si>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</si>
  <si>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</si>
  <si>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</si>
  <si>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</si>
  <si>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</si>
  <si>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</si>
  <si>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</si>
  <si>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</si>
  <si>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</si>
  <si>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</si>
  <si>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</si>
  <si>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</si>
  <si>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</si>
  <si>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</si>
  <si>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</si>
  <si>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</si>
  <si>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</si>
  <si>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</si>
  <si>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</si>
  <si>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</si>
  <si>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</si>
  <si>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</si>
  <si>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</si>
  <si>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</si>
  <si>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</si>
  <si>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</si>
  <si>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</si>
  <si>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</si>
  <si>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</si>
  <si>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</si>
  <si>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</si>
  <si>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</si>
  <si>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</si>
  <si>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</si>
  <si>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</si>
  <si>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</si>
  <si>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</si>
  <si>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</si>
  <si>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</si>
  <si>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</si>
  <si>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</si>
  <si>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</si>
  <si>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</si>
  <si>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</si>
  <si>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</si>
  <si>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</si>
  <si>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</si>
  <si>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</si>
  <si>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</si>
  <si>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</si>
  <si>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</si>
  <si>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</si>
  <si>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</si>
  <si>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</si>
  <si>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</si>
  <si>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</si>
  <si>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</si>
  <si>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</si>
  <si>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</si>
  <si>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</si>
  <si>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</si>
  <si>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</si>
  <si>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</si>
  <si>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</si>
  <si>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</si>
  <si>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</si>
  <si>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</si>
  <si>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</si>
  <si>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</si>
  <si>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</si>
  <si>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</si>
  <si>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</si>
  <si>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</si>
  <si>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</si>
  <si>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</si>
  <si>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</si>
  <si>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</si>
  <si>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</si>
  <si>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</si>
  <si>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</si>
  <si>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</si>
  <si>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</si>
  <si>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</si>
  <si>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</si>
  <si>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</si>
  <si>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</si>
  <si>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</si>
  <si>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</si>
  <si>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</si>
  <si>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</si>
  <si>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</si>
  <si>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</si>
  <si>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</si>
  <si>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</si>
  <si>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</si>
  <si>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</si>
  <si>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</si>
  <si>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</si>
  <si>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</si>
  <si>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</si>
  <si>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</si>
  <si>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</si>
  <si>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</si>
  <si>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</si>
  <si>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</si>
  <si>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</si>
  <si>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</si>
  <si>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</si>
  <si>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</si>
  <si>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</si>
  <si>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</si>
  <si>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</si>
  <si>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</si>
  <si>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</si>
  <si>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</si>
  <si>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</si>
  <si>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</si>
  <si>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</si>
  <si>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</si>
  <si>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</si>
  <si>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</si>
  <si>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</si>
  <si>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</si>
  <si>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</si>
  <si>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</si>
  <si>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</si>
  <si>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</si>
  <si>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</si>
  <si>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</si>
  <si>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</si>
  <si>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</si>
  <si>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</si>
  <si>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</si>
  <si>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</si>
  <si>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</si>
  <si>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</si>
  <si>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</si>
  <si>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</si>
  <si>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</si>
  <si>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</si>
  <si>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</si>
  <si>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</si>
  <si>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</si>
  <si>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</si>
  <si>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</si>
  <si>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</si>
  <si>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</si>
  <si>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</si>
  <si>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</si>
  <si>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</si>
  <si>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</si>
  <si>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</si>
  <si>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</si>
  <si>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</si>
  <si>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</si>
  <si>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</si>
  <si>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</si>
  <si>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</si>
  <si>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</si>
  <si>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</si>
  <si>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</si>
  <si>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</si>
  <si>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</si>
  <si>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</si>
  <si>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</si>
  <si>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</si>
  <si>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</si>
  <si>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</si>
  <si>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</si>
  <si>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</si>
  <si>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</si>
  <si>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</si>
  <si>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</si>
  <si>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</si>
  <si>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</si>
  <si>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</si>
  <si>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</si>
  <si>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</si>
  <si>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</si>
  <si>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</si>
  <si>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</si>
  <si>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</si>
  <si>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</si>
  <si>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</si>
  <si>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</si>
  <si>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</si>
  <si>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</si>
  <si>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</si>
  <si>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</si>
  <si>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</si>
  <si>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</si>
  <si>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</si>
  <si>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</si>
  <si>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</si>
  <si>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</si>
  <si>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</si>
  <si>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</si>
  <si>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</si>
  <si>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</si>
  <si>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</si>
  <si>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</si>
  <si>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</si>
  <si>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</si>
  <si>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</si>
  <si>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</si>
  <si>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</si>
  <si>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</si>
  <si>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</si>
  <si>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</si>
  <si>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</si>
  <si>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</si>
  <si>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</si>
  <si>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</si>
  <si>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</si>
  <si>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</si>
  <si>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</si>
  <si>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</si>
  <si>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</si>
  <si>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</si>
  <si>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</si>
  <si>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</si>
  <si>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</si>
  <si>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</si>
  <si>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</si>
  <si>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</si>
  <si>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</si>
  <si>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</si>
  <si>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</si>
  <si>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</si>
  <si>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</si>
  <si>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</si>
  <si>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</si>
  <si>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</si>
  <si>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</si>
  <si>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</si>
  <si>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</si>
  <si>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</si>
  <si>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</si>
  <si>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</si>
  <si>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</si>
  <si>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</si>
  <si>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</si>
  <si>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</si>
  <si>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</si>
  <si>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</si>
  <si>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</si>
  <si>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</si>
  <si>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</si>
  <si>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</si>
  <si>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</si>
  <si>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</si>
  <si>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</si>
  <si>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</si>
  <si>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</si>
  <si>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</si>
  <si>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</si>
  <si>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</si>
  <si>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</si>
  <si>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</si>
  <si>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</si>
  <si>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</si>
  <si>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</si>
  <si>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</si>
  <si>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</si>
  <si>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</si>
  <si>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</si>
  <si>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</si>
  <si>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</si>
  <si>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</si>
  <si>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</si>
  <si>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</si>
  <si>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</si>
  <si>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</si>
  <si>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</si>
  <si>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</si>
  <si>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</si>
  <si>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</si>
  <si>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</si>
  <si>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</si>
  <si>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</si>
  <si>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</si>
  <si>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</si>
  <si>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</si>
  <si>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</si>
  <si>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</si>
  <si>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</si>
  <si>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</si>
  <si>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</si>
  <si>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</si>
  <si>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</si>
  <si>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</si>
  <si>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</si>
  <si>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</si>
  <si>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</si>
  <si>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</si>
  <si>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</si>
  <si>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</si>
  <si>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</si>
  <si>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</si>
  <si>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</si>
  <si>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</si>
  <si>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</si>
  <si>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</si>
  <si>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</si>
  <si>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</si>
  <si>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</si>
  <si>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</si>
  <si>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</si>
  <si>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</si>
  <si>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</si>
  <si>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</si>
  <si>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</si>
  <si>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</si>
  <si>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</si>
  <si>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</si>
  <si>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</si>
  <si>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</si>
  <si>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</si>
  <si>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</si>
  <si>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</si>
  <si>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</si>
  <si>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</si>
  <si>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</si>
  <si>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</si>
  <si>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</si>
  <si>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</si>
  <si>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</si>
  <si>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</si>
  <si>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</si>
  <si>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</si>
  <si>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</si>
  <si>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</si>
  <si>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</si>
  <si>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</si>
  <si>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</si>
  <si>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</si>
  <si>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</si>
  <si>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</si>
  <si>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</si>
  <si>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</si>
  <si>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</si>
  <si>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</si>
  <si>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</si>
  <si>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</si>
  <si>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</si>
  <si>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</si>
  <si>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</si>
  <si>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</si>
  <si>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</si>
  <si>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</si>
  <si>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</si>
  <si>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</si>
  <si>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</si>
  <si>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</si>
  <si>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</si>
  <si>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</si>
  <si>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</si>
  <si>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</si>
  <si>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</si>
  <si>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</si>
  <si>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</si>
  <si>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</si>
  <si>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</si>
  <si>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</si>
  <si>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</si>
  <si>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</si>
  <si>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</si>
  <si>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</si>
  <si>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</si>
  <si>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</si>
  <si>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</si>
  <si>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</si>
  <si>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</si>
  <si>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</si>
  <si>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</si>
  <si>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</si>
  <si>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</si>
  <si>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</si>
  <si>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</si>
  <si>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</si>
  <si>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</si>
  <si>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</si>
  <si>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</si>
  <si>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</si>
  <si>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</si>
  <si>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</si>
  <si>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</si>
  <si>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</si>
  <si>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</si>
  <si>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</si>
  <si>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</si>
  <si>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</si>
  <si>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</si>
  <si>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</si>
  <si>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</si>
  <si>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</si>
  <si>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</si>
  <si>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</si>
  <si>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</si>
  <si>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</si>
  <si>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</si>
  <si>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</si>
  <si>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</si>
  <si>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</si>
  <si>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</si>
  <si>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</si>
  <si>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</si>
  <si>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</si>
  <si>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</si>
  <si>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</si>
  <si>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</si>
  <si>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</si>
  <si>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</si>
  <si>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</si>
  <si>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</si>
  <si>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</si>
  <si>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</si>
  <si>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</si>
  <si>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</si>
  <si>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</si>
  <si>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</si>
  <si>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</si>
  <si>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</si>
  <si>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</si>
  <si>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</si>
  <si>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</si>
  <si>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</si>
  <si>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</si>
  <si>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</si>
  <si>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</si>
  <si>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</si>
  <si>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</si>
  <si>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</si>
  <si>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</si>
  <si>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</si>
  <si>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</si>
  <si>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</si>
  <si>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</si>
  <si>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</si>
  <si>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</si>
  <si>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</si>
  <si>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</si>
  <si>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</si>
  <si>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</si>
  <si>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</si>
  <si>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</si>
  <si>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</si>
  <si>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</si>
  <si>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</si>
  <si>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</si>
  <si>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</si>
  <si>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</si>
  <si>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</si>
  <si>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</si>
  <si>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</si>
  <si>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</si>
  <si>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</si>
  <si>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</si>
  <si>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</si>
  <si>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</si>
  <si>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</si>
  <si>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</si>
  <si>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</si>
  <si>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</si>
  <si>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</si>
  <si>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</si>
  <si>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</si>
  <si>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</si>
  <si>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</si>
  <si>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</si>
  <si>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</si>
  <si>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</si>
  <si>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</si>
  <si>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</si>
  <si>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</si>
  <si>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</si>
  <si>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</si>
  <si>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</si>
  <si>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</si>
  <si>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</si>
  <si>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</si>
  <si>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</si>
  <si>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</si>
  <si>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</si>
  <si>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</si>
  <si>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</si>
  <si>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</si>
  <si>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</si>
  <si>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</si>
  <si>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</si>
  <si>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</si>
  <si>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</si>
  <si>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</si>
  <si>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</si>
  <si>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</si>
  <si>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</si>
  <si>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</si>
  <si>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</si>
  <si>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</si>
  <si>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</si>
  <si>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</si>
  <si>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</si>
  <si>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</si>
  <si>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</si>
  <si>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</si>
  <si>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</si>
  <si>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</si>
  <si>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</si>
  <si>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</si>
  <si>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</si>
  <si>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</si>
  <si>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</si>
  <si>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</si>
  <si>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</si>
  <si>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</si>
  <si>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</si>
  <si>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</si>
  <si>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</si>
  <si>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</si>
  <si>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</si>
  <si>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</si>
  <si>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</si>
  <si>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</si>
  <si>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</si>
  <si>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</si>
  <si>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</si>
  <si>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</si>
  <si>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</si>
  <si>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</si>
  <si>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</si>
  <si>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</si>
  <si>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</si>
  <si>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</si>
  <si>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</si>
  <si>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</si>
  <si>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</si>
  <si>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</si>
  <si>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</si>
  <si>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</si>
  <si>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</si>
  <si>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</si>
  <si>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</si>
  <si>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</si>
  <si>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</si>
  <si>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</si>
  <si>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</si>
  <si>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</si>
  <si>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</si>
  <si>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</si>
  <si>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</si>
  <si>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</si>
  <si>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</si>
  <si>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</si>
  <si>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</si>
  <si>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</si>
  <si>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</si>
  <si>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</si>
  <si>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</si>
  <si>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</si>
  <si>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</si>
  <si>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</si>
  <si>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</si>
  <si>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</si>
  <si>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</si>
  <si>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</si>
  <si>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</si>
  <si>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</si>
  <si>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</si>
  <si>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</si>
  <si>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</si>
  <si>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</si>
  <si>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</si>
  <si>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</si>
  <si>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</si>
  <si>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</si>
  <si>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</si>
  <si>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</si>
  <si>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</si>
  <si>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</si>
  <si>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</si>
  <si>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</si>
  <si>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</si>
  <si>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</si>
  <si>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</si>
  <si>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</si>
  <si>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</si>
  <si>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</si>
  <si>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</si>
  <si>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</si>
  <si>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</si>
  <si>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</si>
  <si>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</si>
  <si>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</si>
  <si>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</si>
  <si>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</si>
  <si>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</si>
  <si>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</si>
  <si>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</si>
  <si>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</si>
  <si>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</si>
  <si>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</si>
  <si>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</si>
  <si>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</si>
  <si>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</si>
  <si>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</si>
  <si>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</si>
  <si>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</si>
  <si>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</si>
  <si>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</si>
  <si>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</si>
  <si>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</si>
  <si>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</si>
  <si>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</si>
  <si>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</si>
  <si>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</si>
  <si>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</si>
  <si>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</si>
  <si>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</si>
  <si>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</si>
  <si>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</si>
  <si>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</si>
  <si>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</si>
  <si>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</si>
  <si>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</si>
  <si>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</si>
  <si>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</si>
  <si>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</si>
  <si>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</si>
  <si>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</si>
  <si>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</si>
  <si>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</si>
  <si>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</si>
  <si>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</si>
  <si>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</si>
  <si>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</si>
  <si>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</si>
  <si>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</si>
  <si>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</si>
  <si>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</si>
  <si>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</si>
  <si>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</si>
  <si>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</si>
  <si>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</si>
  <si>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</si>
  <si>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</si>
  <si>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</si>
  <si>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</si>
  <si>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</si>
  <si>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</si>
  <si>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</si>
  <si>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</si>
  <si>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</si>
  <si>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</si>
  <si>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</si>
  <si>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</si>
  <si>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</si>
  <si>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</si>
  <si>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</si>
  <si>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</si>
  <si>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</si>
  <si>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</si>
  <si>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</si>
  <si>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</si>
  <si>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</si>
  <si>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</si>
  <si>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</si>
  <si>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</si>
  <si>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</si>
  <si>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</si>
  <si>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</si>
  <si>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</si>
  <si>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</si>
  <si>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</si>
  <si>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</si>
  <si>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</si>
  <si>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</si>
  <si>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</si>
  <si>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</si>
  <si>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</si>
  <si>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</si>
  <si>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</si>
  <si>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</si>
  <si>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</si>
  <si>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</si>
  <si>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</si>
  <si>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</si>
  <si>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</si>
  <si>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</si>
  <si>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</si>
  <si>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</si>
  <si>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</si>
  <si>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</si>
  <si>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</si>
  <si>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</si>
  <si>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</si>
  <si>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</si>
  <si>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</si>
  <si>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</si>
  <si>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</si>
  <si>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</si>
  <si>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</si>
  <si>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</si>
  <si>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</si>
  <si>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</si>
  <si>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</si>
  <si>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</si>
  <si>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</si>
  <si>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</si>
  <si>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</si>
  <si>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</si>
  <si>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</si>
  <si>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</si>
  <si>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</si>
  <si>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</si>
  <si>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</si>
  <si>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</si>
  <si>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</si>
  <si>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</si>
  <si>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</si>
  <si>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</si>
  <si>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</si>
  <si>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</si>
  <si>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</si>
  <si>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</si>
  <si>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</si>
  <si>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</si>
  <si>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</si>
  <si>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</si>
  <si>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</si>
  <si>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</si>
  <si>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</si>
  <si>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</si>
  <si>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</si>
  <si>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</si>
  <si>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</si>
  <si>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</si>
  <si>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</si>
  <si>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</si>
  <si>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</si>
  <si>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</si>
  <si>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</si>
  <si>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</si>
  <si>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</si>
  <si>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</si>
  <si>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</si>
  <si>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</si>
  <si>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</si>
  <si>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</si>
  <si>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</si>
  <si>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</si>
  <si>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</si>
  <si>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</si>
  <si>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</si>
  <si>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</si>
  <si>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</si>
  <si>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</si>
  <si>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</si>
  <si>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</si>
  <si>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</si>
  <si>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</si>
  <si>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</si>
  <si>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</si>
  <si>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</si>
  <si>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</si>
  <si>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</si>
  <si>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</si>
  <si>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</si>
  <si>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</si>
  <si>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</si>
  <si>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</si>
  <si>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</si>
  <si>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</si>
  <si>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</si>
  <si>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</si>
  <si>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</si>
  <si>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</si>
  <si>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</si>
  <si>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</si>
  <si>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</si>
  <si>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</si>
  <si>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</si>
  <si>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</si>
  <si>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</si>
  <si>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</si>
  <si>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</si>
  <si>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</si>
  <si>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</si>
  <si>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</si>
  <si>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</si>
  <si>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</si>
  <si>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</si>
  <si>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</si>
  <si>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</si>
  <si>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</si>
  <si>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</si>
  <si>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</si>
  <si>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</si>
  <si>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</si>
  <si>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</si>
  <si>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</si>
  <si>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</si>
  <si>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</si>
  <si>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</si>
  <si>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</si>
  <si>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</si>
  <si>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</si>
  <si>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</si>
  <si>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</si>
  <si>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</si>
  <si>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</si>
  <si>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</si>
  <si>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</si>
  <si>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</si>
  <si>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</si>
  <si>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</si>
  <si>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</si>
  <si>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</si>
  <si>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</si>
  <si>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</si>
  <si>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</si>
  <si>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</si>
  <si>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</si>
  <si>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</si>
  <si>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</si>
  <si>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</si>
  <si>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</si>
  <si>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</si>
  <si>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</si>
  <si>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</si>
  <si>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</si>
  <si>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</si>
  <si>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</si>
  <si>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</si>
  <si>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</si>
  <si>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</si>
  <si>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</si>
  <si>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</si>
  <si>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</si>
  <si>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</si>
  <si>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</si>
  <si>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</si>
  <si>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</si>
  <si>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</si>
  <si>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</si>
  <si>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</si>
  <si>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</si>
  <si>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</si>
  <si>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</si>
  <si>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</si>
  <si>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</si>
  <si>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</si>
  <si>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</si>
  <si>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</si>
  <si>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</si>
  <si>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</si>
  <si>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</si>
  <si>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</si>
  <si>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</si>
  <si>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</si>
  <si>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</si>
  <si>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</si>
  <si>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</si>
  <si>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</si>
  <si>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</si>
  <si>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</si>
  <si>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</si>
  <si>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</si>
  <si>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</si>
  <si>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</si>
  <si>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</si>
  <si>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</si>
  <si>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</si>
  <si>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</si>
  <si>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</si>
  <si>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</si>
  <si>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</si>
  <si>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</si>
  <si>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</si>
  <si>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</si>
  <si>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</si>
  <si>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</si>
  <si>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</si>
  <si>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</si>
  <si>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</si>
  <si>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</si>
  <si>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</si>
  <si>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</si>
  <si>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</si>
  <si>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</si>
  <si>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</si>
  <si>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</si>
  <si>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</si>
  <si>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</si>
  <si>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</si>
  <si>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</si>
  <si>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</si>
  <si>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</si>
  <si>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</si>
  <si>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</si>
  <si>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</si>
  <si>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</si>
  <si>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</si>
  <si>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</si>
  <si>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</si>
  <si>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</si>
  <si>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</si>
  <si>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</si>
  <si>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</si>
  <si>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</si>
  <si>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</si>
  <si>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</si>
  <si>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</si>
  <si>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</si>
  <si>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</si>
  <si>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</si>
  <si>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</si>
  <si>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</si>
  <si>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</si>
  <si>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</si>
  <si>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</si>
  <si>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</si>
  <si>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</si>
  <si>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</si>
  <si>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</si>
  <si>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</si>
  <si>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</si>
  <si>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</si>
  <si>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</si>
  <si>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</si>
  <si>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</si>
  <si>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</si>
  <si>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</si>
  <si>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</si>
  <si>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</si>
  <si>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</si>
  <si>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</si>
  <si>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</si>
  <si>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</si>
  <si>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</si>
  <si>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</si>
  <si>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</si>
  <si>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</si>
  <si>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</si>
  <si>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</si>
  <si>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</si>
  <si>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</si>
  <si>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</si>
  <si>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</si>
  <si>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</si>
  <si>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</si>
  <si>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</si>
  <si>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</si>
  <si>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</si>
  <si>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</si>
  <si>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</si>
  <si>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</si>
  <si>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</si>
  <si>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</si>
  <si>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</si>
  <si>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</si>
  <si>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</si>
  <si>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</si>
  <si>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</si>
  <si>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</si>
  <si>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</si>
  <si>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</si>
  <si>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</si>
  <si>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</si>
  <si>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</si>
  <si>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</si>
  <si>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</si>
  <si>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</si>
  <si>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</si>
  <si>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</si>
  <si>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</si>
  <si>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</si>
  <si>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</si>
  <si>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</si>
  <si>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</si>
  <si>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</si>
  <si>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</si>
  <si>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</si>
  <si>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</si>
  <si>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</si>
  <si>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</si>
  <si>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</si>
  <si>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</si>
  <si>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</si>
  <si>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</si>
  <si>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</si>
  <si>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</si>
  <si>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</si>
  <si>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</si>
  <si>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</si>
  <si>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</si>
  <si>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</si>
  <si>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</si>
  <si>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</si>
  <si>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</si>
  <si>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</si>
  <si>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</si>
  <si>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</si>
  <si>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</si>
  <si>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</si>
  <si>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</si>
  <si>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</si>
  <si>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</si>
  <si>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</si>
  <si>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</si>
  <si>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</si>
  <si>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</si>
  <si>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</si>
  <si>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</si>
  <si>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</si>
  <si>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</si>
  <si>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</si>
  <si>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</si>
  <si>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</si>
  <si>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</si>
  <si>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</si>
  <si>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</si>
  <si>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</si>
  <si>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</si>
  <si>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</si>
  <si>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</si>
  <si>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</si>
  <si>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</si>
  <si>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</si>
  <si>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</si>
  <si>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</si>
  <si>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</si>
  <si>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</si>
  <si>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</si>
  <si>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</si>
  <si>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</si>
  <si>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</si>
  <si>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</si>
  <si>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</si>
  <si>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</si>
  <si>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</si>
  <si>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</si>
  <si>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</si>
  <si>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</si>
  <si>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</si>
  <si>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</si>
  <si>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</si>
  <si>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</si>
  <si>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</si>
  <si>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</si>
  <si>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</si>
  <si>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</si>
  <si>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</si>
  <si>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</si>
  <si>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</si>
  <si>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</si>
  <si>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</si>
  <si>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</si>
  <si>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</si>
  <si>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</si>
  <si>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</si>
  <si>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</si>
  <si>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</si>
  <si>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</si>
  <si>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</si>
  <si>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</si>
  <si>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</si>
  <si>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</si>
  <si>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</si>
  <si>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</si>
  <si>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</si>
  <si>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</si>
  <si>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</si>
  <si>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</si>
  <si>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</si>
  <si>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</si>
  <si>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</si>
  <si>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</si>
  <si>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</si>
  <si>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</si>
  <si>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</si>
  <si>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</si>
  <si>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</si>
  <si>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</si>
  <si>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</si>
  <si>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</si>
  <si>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</si>
  <si>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</si>
  <si>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</si>
  <si>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</si>
  <si>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</si>
  <si>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</si>
  <si>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</si>
  <si>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</si>
  <si>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</si>
  <si>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</si>
  <si>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</si>
  <si>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</si>
  <si>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</si>
  <si>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</si>
  <si>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</si>
  <si>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</si>
  <si>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</si>
  <si>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</si>
  <si>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</si>
  <si>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</si>
  <si>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</si>
  <si>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</si>
  <si>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</si>
  <si>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</si>
  <si>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</si>
  <si>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</si>
  <si>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</si>
  <si>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</si>
  <si>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</si>
  <si>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</si>
  <si>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</si>
  <si>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</si>
  <si>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</si>
  <si>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</si>
  <si>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</si>
  <si>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</si>
  <si>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</si>
  <si>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</si>
  <si>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</si>
  <si>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</si>
  <si>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</si>
  <si>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</si>
  <si>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</si>
  <si>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</si>
  <si>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</si>
  <si>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</si>
  <si>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</si>
  <si>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</si>
  <si>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</si>
  <si>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</si>
  <si>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</si>
  <si>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</si>
  <si>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</si>
  <si>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</si>
  <si>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</si>
  <si>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</si>
  <si>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</si>
  <si>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</si>
  <si>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</si>
  <si>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</si>
  <si>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</si>
  <si>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</si>
  <si>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</si>
  <si>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</si>
  <si>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</si>
  <si>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</si>
  <si>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</si>
  <si>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</si>
  <si>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</si>
  <si>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</si>
  <si>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</si>
  <si>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</si>
  <si>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</si>
  <si>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</si>
  <si>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</si>
  <si>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</si>
  <si>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</si>
  <si>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</si>
  <si>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</si>
  <si>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</si>
  <si>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</si>
  <si>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</si>
  <si>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</si>
  <si>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</si>
  <si>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</si>
  <si>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</si>
  <si>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</si>
  <si>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</si>
  <si>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</si>
  <si>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</si>
  <si>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</si>
  <si>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</si>
  <si>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</si>
  <si>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</si>
  <si>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</si>
  <si>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</si>
  <si>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</si>
  <si>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</si>
  <si>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</si>
  <si>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</si>
  <si>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</si>
  <si>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</si>
  <si>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</si>
  <si>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</si>
  <si>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</si>
  <si>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</si>
  <si>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</si>
  <si>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</si>
  <si>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</si>
  <si>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</si>
  <si>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</si>
  <si>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</si>
  <si>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</si>
  <si>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</si>
  <si>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</si>
  <si>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</si>
  <si>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</si>
  <si>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</si>
  <si>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</si>
  <si>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</si>
  <si>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</si>
  <si>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</si>
  <si>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</si>
  <si>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</si>
  <si>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</si>
  <si>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</si>
  <si>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</si>
  <si>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</si>
  <si>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</si>
  <si>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</si>
  <si>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</si>
  <si>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</si>
  <si>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</si>
  <si>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</si>
  <si>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</si>
  <si>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</si>
  <si>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</si>
  <si>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</si>
  <si>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</si>
  <si>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</si>
  <si>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</si>
  <si>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</si>
  <si>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</si>
  <si>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</si>
  <si>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</si>
  <si>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</si>
  <si>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</si>
  <si>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</si>
  <si>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</si>
  <si>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</si>
  <si>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</si>
  <si>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</si>
  <si>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</si>
  <si>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</si>
  <si>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</si>
  <si>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</si>
  <si>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</si>
  <si>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</si>
  <si>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</si>
  <si>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</si>
  <si>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</si>
  <si>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</si>
  <si>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</si>
  <si>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</si>
  <si>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</si>
  <si>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</si>
  <si>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</si>
  <si>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</si>
  <si>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</si>
  <si>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</si>
  <si>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</si>
  <si>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</si>
  <si>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</si>
  <si>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</si>
  <si>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</si>
  <si>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</si>
  <si>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</si>
  <si>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</si>
  <si>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</si>
  <si>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</si>
  <si>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</si>
  <si>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</si>
  <si>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</si>
  <si>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</si>
  <si>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</si>
  <si>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</si>
  <si>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</si>
  <si>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</si>
  <si>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</si>
  <si>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</si>
  <si>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</si>
  <si>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</si>
  <si>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</si>
  <si>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</si>
  <si>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</si>
  <si>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</si>
  <si>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</si>
  <si>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</si>
  <si>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</si>
  <si>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</si>
  <si>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</si>
  <si>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</si>
  <si>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</si>
  <si>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</si>
  <si>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</si>
  <si>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</si>
  <si>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</si>
  <si>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</si>
  <si>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</si>
  <si>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</si>
  <si>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</si>
  <si>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</si>
  <si>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</si>
  <si>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</si>
  <si>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</si>
  <si>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</si>
  <si>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</si>
  <si>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</si>
  <si>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</si>
  <si>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</si>
  <si>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</si>
  <si>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</si>
  <si>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</si>
  <si>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</si>
  <si>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</si>
  <si>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</si>
  <si>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</si>
  <si>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</si>
  <si>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</si>
  <si>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</si>
  <si>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</si>
  <si>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</si>
  <si>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</si>
  <si>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</si>
  <si>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</si>
  <si>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</si>
  <si>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</si>
  <si>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</si>
  <si>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</si>
  <si>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</si>
  <si>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</si>
  <si>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</si>
  <si>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</si>
  <si>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</si>
  <si>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</si>
  <si>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</si>
  <si>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</si>
  <si>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</si>
  <si>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</si>
  <si>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</si>
  <si>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</si>
  <si>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</si>
  <si>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</si>
  <si>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</si>
  <si>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</si>
  <si>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</si>
  <si>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</si>
  <si>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</si>
  <si>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</si>
  <si>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</si>
  <si>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</si>
  <si>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</si>
  <si>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</si>
  <si>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</si>
  <si>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</si>
  <si>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</si>
  <si>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</si>
  <si>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</si>
  <si>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</si>
  <si>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</si>
  <si>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</si>
  <si>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</si>
  <si>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</si>
  <si>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</si>
  <si>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</si>
  <si>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</si>
  <si>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</si>
  <si>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</si>
  <si>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</si>
  <si>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</si>
  <si>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</si>
  <si>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</si>
  <si>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</si>
  <si>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</si>
  <si>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</si>
  <si>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</si>
  <si>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</si>
  <si>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</si>
  <si>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</si>
  <si>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</si>
  <si>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</si>
  <si>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</si>
  <si>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</si>
  <si>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</si>
  <si>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</si>
  <si>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</si>
  <si>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</si>
  <si>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</si>
  <si>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</si>
  <si>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</si>
  <si>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</si>
  <si>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</si>
  <si>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</si>
  <si>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</si>
  <si>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</si>
  <si>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</si>
  <si>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</si>
  <si>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</si>
  <si>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</si>
  <si>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</si>
  <si>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</si>
  <si>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</si>
  <si>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</si>
  <si>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</si>
  <si>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</si>
  <si>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</si>
  <si>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</si>
  <si>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</si>
  <si>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</si>
  <si>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</si>
  <si>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</si>
  <si>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</si>
  <si>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</si>
  <si>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</si>
  <si>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</si>
  <si>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</si>
  <si>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</si>
  <si>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</si>
  <si>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</si>
  <si>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</si>
  <si>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</si>
  <si>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</si>
  <si>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</si>
  <si>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</si>
  <si>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</si>
  <si>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</si>
  <si>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</si>
  <si>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</si>
  <si>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</si>
  <si>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</si>
  <si>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</si>
  <si>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</si>
  <si>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</si>
  <si>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</si>
  <si>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</si>
  <si>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</si>
  <si>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</si>
  <si>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</si>
  <si>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</si>
  <si>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</si>
  <si>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</si>
  <si>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</si>
  <si>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</si>
  <si>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</si>
  <si>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</si>
  <si>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</si>
  <si>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</si>
  <si>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</si>
  <si>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</si>
  <si>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</si>
  <si>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</si>
  <si>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</si>
  <si>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</si>
  <si>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</si>
  <si>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</si>
  <si>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</si>
  <si>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</si>
  <si>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</si>
  <si>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</si>
  <si>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</si>
  <si>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</si>
  <si>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</si>
  <si>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</si>
  <si>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</si>
  <si>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</si>
  <si>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</si>
  <si>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</si>
  <si>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</si>
  <si>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</si>
  <si>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</si>
  <si>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</si>
  <si>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</si>
  <si>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</si>
  <si>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</si>
  <si>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</si>
  <si>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</si>
  <si>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</si>
  <si>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</si>
  <si>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</si>
  <si>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</si>
  <si>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</si>
  <si>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</si>
  <si>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</si>
  <si>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</si>
  <si>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</si>
  <si>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</si>
  <si>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</si>
  <si>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</si>
  <si>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</si>
  <si>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</si>
  <si>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</si>
  <si>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</si>
  <si>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</si>
  <si>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</si>
  <si>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</si>
  <si>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</si>
  <si>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</si>
  <si>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</si>
  <si>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</si>
  <si>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</si>
  <si>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</si>
  <si>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</si>
  <si>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</si>
  <si>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</si>
  <si>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</si>
  <si>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</si>
  <si>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</si>
  <si>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</si>
  <si>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</si>
  <si>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</si>
  <si>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</si>
  <si>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</si>
  <si>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</si>
  <si>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</si>
  <si>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</si>
  <si>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</si>
  <si>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</si>
  <si>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</si>
  <si>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</si>
  <si>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</si>
  <si>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</si>
  <si>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</si>
  <si>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</si>
  <si>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</si>
  <si>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</si>
  <si>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</si>
  <si>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</si>
  <si>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</si>
  <si>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</si>
  <si>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</si>
  <si>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</si>
  <si>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</si>
  <si>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</si>
  <si>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</si>
  <si>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</si>
  <si>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</si>
  <si>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</si>
  <si>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</si>
  <si>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</si>
  <si>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</si>
  <si>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</si>
  <si>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</si>
  <si>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</si>
  <si>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</si>
  <si>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</si>
  <si>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</si>
  <si>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</si>
  <si>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</si>
  <si>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</si>
  <si>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</si>
  <si>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</si>
  <si>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</si>
  <si>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</si>
  <si>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</si>
  <si>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</si>
  <si>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</si>
  <si>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</si>
  <si>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</si>
  <si>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</si>
  <si>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</si>
  <si>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</si>
  <si>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</si>
  <si>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</si>
  <si>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</si>
  <si>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</si>
  <si>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</si>
  <si>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</si>
  <si>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</si>
  <si>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</si>
  <si>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</si>
  <si>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</si>
  <si>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</si>
  <si>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</si>
  <si>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</si>
  <si>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</si>
  <si>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</si>
  <si>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</si>
  <si>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</si>
  <si>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</si>
  <si>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</si>
  <si>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</si>
  <si>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</si>
  <si>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</si>
  <si>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</si>
  <si>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</si>
  <si>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</si>
  <si>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</si>
  <si>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</si>
  <si>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</si>
  <si>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</si>
  <si>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</si>
  <si>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</si>
  <si>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</si>
  <si>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</si>
  <si>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</si>
  <si>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</si>
  <si>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</si>
  <si>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</si>
  <si>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</si>
  <si>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</si>
  <si>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</si>
  <si>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</si>
  <si>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</si>
  <si>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</si>
  <si>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</si>
  <si>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</si>
  <si>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</si>
  <si>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</si>
  <si>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</si>
  <si>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</si>
  <si>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</si>
  <si>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</si>
  <si>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</si>
  <si>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</si>
  <si>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</si>
  <si>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</si>
  <si>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</si>
  <si>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</si>
  <si>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</si>
  <si>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</si>
  <si>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</si>
  <si>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</si>
  <si>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</si>
  <si>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</si>
  <si>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</si>
  <si>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</si>
  <si>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</si>
  <si>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</si>
  <si>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</si>
  <si>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</si>
  <si>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</si>
  <si>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</si>
  <si>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</si>
  <si>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</si>
  <si>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</si>
  <si>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</si>
  <si>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</si>
  <si>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</si>
  <si>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</si>
  <si>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</si>
  <si>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</si>
  <si>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</si>
  <si>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</si>
  <si>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</si>
  <si>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</si>
  <si>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</si>
  <si>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</si>
  <si>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</si>
  <si>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</si>
  <si>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</si>
  <si>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</si>
  <si>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</si>
  <si>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</si>
  <si>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</si>
  <si>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</si>
  <si>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</si>
  <si>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</si>
  <si>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</si>
  <si>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</si>
  <si>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</si>
  <si>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</si>
  <si>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</si>
  <si>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</si>
  <si>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</si>
  <si>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</si>
  <si>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</si>
  <si>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</si>
  <si>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</si>
  <si>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</si>
  <si>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</si>
  <si>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</si>
  <si>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</si>
  <si>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</si>
  <si>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</si>
  <si>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</si>
  <si>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</si>
  <si>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</si>
  <si>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</si>
  <si>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</si>
  <si>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</si>
  <si>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</si>
  <si>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</si>
  <si>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</si>
  <si>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</si>
  <si>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</si>
  <si>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</si>
  <si>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</si>
  <si>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</si>
  <si>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</si>
  <si>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</si>
  <si>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</si>
  <si>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</si>
  <si>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</si>
  <si>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</si>
  <si>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</si>
  <si>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</si>
  <si>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</si>
  <si>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</si>
  <si>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</si>
  <si>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</si>
  <si>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</si>
  <si>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</si>
  <si>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</si>
  <si>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</si>
  <si>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</si>
  <si>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</si>
  <si>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</si>
  <si>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</si>
  <si>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</si>
  <si>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</si>
  <si>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</si>
  <si>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</si>
  <si>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</si>
  <si>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</si>
  <si>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</si>
  <si>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</si>
  <si>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</si>
  <si>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</si>
  <si>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</si>
  <si>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</si>
  <si>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</si>
  <si>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</si>
  <si>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</si>
  <si>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</si>
  <si>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</si>
  <si>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</si>
  <si>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</si>
  <si>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</si>
  <si>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</si>
  <si>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</si>
  <si>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</si>
  <si>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</si>
  <si>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</si>
  <si>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</si>
  <si>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</si>
  <si>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</si>
  <si>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</si>
  <si>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</si>
  <si>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</si>
  <si>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</si>
  <si>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</si>
  <si>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</si>
  <si>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</si>
  <si>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</si>
  <si>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</si>
  <si>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</si>
  <si>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</si>
  <si>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</si>
  <si>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</si>
  <si>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</si>
  <si>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</si>
  <si>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</si>
  <si>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</si>
  <si>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</si>
  <si>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</si>
  <si>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</si>
  <si>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</si>
  <si>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</si>
  <si>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</si>
  <si>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</si>
  <si>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</si>
  <si>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</si>
  <si>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</si>
  <si>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</si>
  <si>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</si>
  <si>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</si>
  <si>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</si>
  <si>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</si>
  <si>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</si>
  <si>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</si>
  <si>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</si>
  <si>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</si>
  <si>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</si>
  <si>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</si>
  <si>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</si>
  <si>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</si>
  <si>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</si>
  <si>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</si>
  <si>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</si>
  <si>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</si>
  <si>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</si>
  <si>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</si>
  <si>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</si>
  <si>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</si>
  <si>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</si>
  <si>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</si>
  <si>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</si>
  <si>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</si>
  <si>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</si>
  <si>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</si>
  <si>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</si>
  <si>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</si>
  <si>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</si>
  <si>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</si>
  <si>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</si>
  <si>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</si>
  <si>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</si>
  <si>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</si>
  <si>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</si>
  <si>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</si>
  <si>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</si>
  <si>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</si>
  <si>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</si>
  <si>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</si>
  <si>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</si>
  <si>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</si>
  <si>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</si>
  <si>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</si>
  <si>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</si>
  <si>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</si>
  <si>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</si>
  <si>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</si>
  <si>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</si>
  <si>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</si>
  <si>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</si>
  <si>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</si>
  <si>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</si>
  <si>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</si>
  <si>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</si>
  <si>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</si>
  <si>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</si>
  <si>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</si>
  <si>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</si>
  <si>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</si>
  <si>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</si>
  <si>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</si>
  <si>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</si>
  <si>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</si>
  <si>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</si>
  <si>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</si>
  <si>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</si>
  <si>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</si>
  <si>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</si>
  <si>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</si>
  <si>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</si>
  <si>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</si>
  <si>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</si>
  <si>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</si>
  <si>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</si>
  <si>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</si>
  <si>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</si>
  <si>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</si>
  <si>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</si>
  <si>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</si>
  <si>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</si>
  <si>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</si>
  <si>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</si>
  <si>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</si>
  <si>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</si>
  <si>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</si>
  <si>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</si>
  <si>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</si>
  <si>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</si>
  <si>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</si>
  <si>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</si>
  <si>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</si>
  <si>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</si>
  <si>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</si>
  <si>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</si>
  <si>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</si>
  <si>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</si>
  <si>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</si>
  <si>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</si>
  <si>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</si>
  <si>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</si>
  <si>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</si>
  <si>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</si>
  <si>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</si>
  <si>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</si>
  <si>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</si>
  <si>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</si>
  <si>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</si>
  <si>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</si>
  <si>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</si>
  <si>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</si>
  <si>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</si>
  <si>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</si>
  <si>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</si>
  <si>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</si>
  <si>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</si>
  <si>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</si>
  <si>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</si>
  <si>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</si>
  <si>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</si>
  <si>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</si>
  <si>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</si>
  <si>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</si>
  <si>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</si>
  <si>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</si>
  <si>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</si>
  <si>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</si>
  <si>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</si>
  <si>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</si>
  <si>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</si>
  <si>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</si>
  <si>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</si>
  <si>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</si>
  <si>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</si>
  <si>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</si>
  <si>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</si>
  <si>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</si>
  <si>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</si>
  <si>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</si>
  <si>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</si>
  <si>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</si>
  <si>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</si>
  <si>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</si>
  <si>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</si>
  <si>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</si>
  <si>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</si>
  <si>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</si>
  <si>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</si>
  <si>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</si>
  <si>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</si>
  <si>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</si>
  <si>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</si>
  <si>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</si>
  <si>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</si>
  <si>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</si>
  <si>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</si>
  <si>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</si>
  <si>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</si>
  <si>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</si>
  <si>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</si>
  <si>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</si>
  <si>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</si>
  <si>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</si>
  <si>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</si>
  <si>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</si>
  <si>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</si>
  <si>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</si>
  <si>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</si>
  <si>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</si>
  <si>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</si>
  <si>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</si>
  <si>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</si>
  <si>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</si>
  <si>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</si>
  <si>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</si>
  <si>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</si>
  <si>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</si>
  <si>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</si>
  <si>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</si>
  <si>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</si>
  <si>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</si>
  <si>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</si>
  <si>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</si>
  <si>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</si>
  <si>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</si>
  <si>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</si>
  <si>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</si>
  <si>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</si>
  <si>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</si>
  <si>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</si>
  <si>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</si>
  <si>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</si>
  <si>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</si>
  <si>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</si>
  <si>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</si>
  <si>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</si>
  <si>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</si>
  <si>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</si>
  <si>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</si>
  <si>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</si>
  <si>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</si>
  <si>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</si>
  <si>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</si>
  <si>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</si>
  <si>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</si>
  <si>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</si>
  <si>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</si>
  <si>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</si>
  <si>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</si>
  <si>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</si>
  <si>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</si>
  <si>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</si>
  <si>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</si>
  <si>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</si>
  <si>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</si>
  <si>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</si>
  <si>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</si>
  <si>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</si>
  <si>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</si>
  <si>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</si>
  <si>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</si>
  <si>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</si>
  <si>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</si>
  <si>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</si>
  <si>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</si>
  <si>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</si>
  <si>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</si>
  <si>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</si>
  <si>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</si>
  <si>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</si>
  <si>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</si>
  <si>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</si>
  <si>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</si>
  <si>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</si>
  <si>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</si>
  <si>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</si>
  <si>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</si>
  <si>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</si>
  <si>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</si>
  <si>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</si>
  <si>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</si>
  <si>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</si>
  <si>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</si>
  <si>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</si>
  <si>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</si>
  <si>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</si>
  <si>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</si>
  <si>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</si>
  <si>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</si>
  <si>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</si>
  <si>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</si>
  <si>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</si>
  <si>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</si>
  <si>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</si>
  <si>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</si>
  <si>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</si>
  <si>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</si>
  <si>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</si>
  <si>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</si>
  <si>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</si>
  <si>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</si>
  <si>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</si>
  <si>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</si>
  <si>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</si>
  <si>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</si>
  <si>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</si>
  <si>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</si>
  <si>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</si>
  <si>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</si>
  <si>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</si>
  <si>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</si>
  <si>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</si>
  <si>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</si>
  <si>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</si>
  <si>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</si>
  <si>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</si>
  <si>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</si>
  <si>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</si>
  <si>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</si>
  <si>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</si>
  <si>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</si>
  <si>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</si>
  <si>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</si>
  <si>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</si>
  <si>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</si>
  <si>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</si>
  <si>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</si>
  <si>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</si>
  <si>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</si>
  <si>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</si>
  <si>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</si>
  <si>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</si>
  <si>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</si>
  <si>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</si>
  <si>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</si>
  <si>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</si>
  <si>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</si>
  <si>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</si>
  <si>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</si>
  <si>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</si>
  <si>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</si>
  <si>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</si>
  <si>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</si>
  <si>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</si>
  <si>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</si>
  <si>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</si>
  <si>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</si>
  <si>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</si>
  <si>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</si>
  <si>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</si>
  <si>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</si>
  <si>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</si>
  <si>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</si>
  <si>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</si>
  <si>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</si>
  <si>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</si>
  <si>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</si>
  <si>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</si>
  <si>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</si>
  <si>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</si>
  <si>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</si>
  <si>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</si>
  <si>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</si>
  <si>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</si>
  <si>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</si>
  <si>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</si>
  <si>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</si>
  <si>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</si>
  <si>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</si>
  <si>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</si>
  <si>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</si>
  <si>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</si>
  <si>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</si>
  <si>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</si>
  <si>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</si>
  <si>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</si>
  <si>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</si>
  <si>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</si>
  <si>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</si>
  <si>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</si>
  <si>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</si>
  <si>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</si>
  <si>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</si>
  <si>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</si>
  <si>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</si>
  <si>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</si>
  <si>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</si>
  <si>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</si>
  <si>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</si>
  <si>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</si>
  <si>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</si>
  <si>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</si>
  <si>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</si>
  <si>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</si>
  <si>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</si>
  <si>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</si>
  <si>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</si>
  <si>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</si>
  <si>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</si>
  <si>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</si>
  <si>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</si>
  <si>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</si>
  <si>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</si>
  <si>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</si>
  <si>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</si>
  <si>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</si>
  <si>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</si>
  <si>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</si>
  <si>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</si>
  <si>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</si>
  <si>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</si>
  <si>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</si>
  <si>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</si>
  <si>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</si>
  <si>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</si>
  <si>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</si>
  <si>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</si>
  <si>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</si>
  <si>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</si>
  <si>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</si>
  <si>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</si>
  <si>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</si>
  <si>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</si>
  <si>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</si>
  <si>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</si>
  <si>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</si>
  <si>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</si>
  <si>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</si>
  <si>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</si>
  <si>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</si>
  <si>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</si>
  <si>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</si>
  <si>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</si>
  <si>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</si>
  <si>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</si>
  <si>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</si>
  <si>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</si>
  <si>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</si>
  <si>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</si>
  <si>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</si>
  <si>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</si>
  <si>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</si>
  <si>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</si>
  <si>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</si>
  <si>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</si>
  <si>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</si>
  <si>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</si>
  <si>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</si>
  <si>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</si>
  <si>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</si>
  <si>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</si>
  <si>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</si>
  <si>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</si>
  <si>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</si>
  <si>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</si>
  <si>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</si>
  <si>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</si>
  <si>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</si>
  <si>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</si>
  <si>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</si>
  <si>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</si>
  <si>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</si>
  <si>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</si>
  <si>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</si>
  <si>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</si>
  <si>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</si>
  <si>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</si>
  <si>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</si>
  <si>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</si>
  <si>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</si>
  <si>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</si>
  <si>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</si>
  <si>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</si>
  <si>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</si>
  <si>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</si>
  <si>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</si>
  <si>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</si>
  <si>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</si>
  <si>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</si>
  <si>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</si>
  <si>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</si>
  <si>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</si>
  <si>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</si>
  <si>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</si>
  <si>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</si>
  <si>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</si>
  <si>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</si>
  <si>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</si>
  <si>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</si>
  <si>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</si>
  <si>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</si>
  <si>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</si>
  <si>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</si>
  <si>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</si>
  <si>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</si>
  <si>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</si>
  <si>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</si>
  <si>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</si>
  <si>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</si>
  <si>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</si>
  <si>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</si>
  <si>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</si>
  <si>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</si>
  <si>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</si>
  <si>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</si>
  <si>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</si>
  <si>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</si>
  <si>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</si>
  <si>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</si>
  <si>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</si>
  <si>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</si>
  <si>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</si>
  <si>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</si>
  <si>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</si>
  <si>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</si>
  <si>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</si>
  <si>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</si>
  <si>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</si>
  <si>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</si>
  <si>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</si>
  <si>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</si>
  <si>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</si>
  <si>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</si>
  <si>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</si>
  <si>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</si>
  <si>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</si>
  <si>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</si>
  <si>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</si>
  <si>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</si>
  <si>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</si>
  <si>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</si>
  <si>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</si>
  <si>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</si>
  <si>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</si>
  <si>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</si>
  <si>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</si>
  <si>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</si>
  <si>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</si>
  <si>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</si>
  <si>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</si>
  <si>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</si>
  <si>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</si>
  <si>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</si>
  <si>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</si>
  <si>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</si>
  <si>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</si>
  <si>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</si>
  <si>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</si>
  <si>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</si>
  <si>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</si>
  <si>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</si>
  <si>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</si>
  <si>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</si>
  <si>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</si>
  <si>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</si>
  <si>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</si>
  <si>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</si>
  <si>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</si>
  <si>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</si>
  <si>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</si>
  <si>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</si>
  <si>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</si>
  <si>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</si>
  <si>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</si>
  <si>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</si>
  <si>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</si>
  <si>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</si>
  <si>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</si>
  <si>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</si>
  <si>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</si>
  <si>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</si>
  <si>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</si>
  <si>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</si>
  <si>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</si>
  <si>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</si>
  <si>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</si>
  <si>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</si>
  <si>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</si>
  <si>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</si>
  <si>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</si>
  <si>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</si>
  <si>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</si>
  <si>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</si>
  <si>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</si>
  <si>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</si>
  <si>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</si>
  <si>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</si>
  <si>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</si>
  <si>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</si>
  <si>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</si>
  <si>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</si>
  <si>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</si>
  <si>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</si>
  <si>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</si>
  <si>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</si>
  <si>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</si>
  <si>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</si>
  <si>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</si>
  <si>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</si>
  <si>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</si>
  <si>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</si>
  <si>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</si>
  <si>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</si>
  <si>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</si>
  <si>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</si>
  <si>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</si>
  <si>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</si>
  <si>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</si>
  <si>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</si>
  <si>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</si>
  <si>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</si>
  <si>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</si>
  <si>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</si>
  <si>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</si>
  <si>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</si>
  <si>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</si>
  <si>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</si>
  <si>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</si>
  <si>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</si>
  <si>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</si>
  <si>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</si>
  <si>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</si>
  <si>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</si>
  <si>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</si>
  <si>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</si>
  <si>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</si>
  <si>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</si>
  <si>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</si>
  <si>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</si>
  <si>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</si>
  <si>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</si>
  <si>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</si>
  <si>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</si>
  <si>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</si>
  <si>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</si>
  <si>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</si>
  <si>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</si>
  <si>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</si>
  <si>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</si>
  <si>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</si>
  <si>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</si>
  <si>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</si>
  <si>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</si>
  <si>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</si>
  <si>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</si>
  <si>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</si>
  <si>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</si>
  <si>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</si>
  <si>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</si>
  <si>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</si>
  <si>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</si>
  <si>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</si>
  <si>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</si>
  <si>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</si>
  <si>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</si>
  <si>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</si>
  <si>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</si>
  <si>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</si>
  <si>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</si>
  <si>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</si>
  <si>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</si>
  <si>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</si>
  <si>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</si>
  <si>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</si>
  <si>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</si>
  <si>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</si>
  <si>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</si>
  <si>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</si>
  <si>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</si>
  <si>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</si>
  <si>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</si>
  <si>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</si>
  <si>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</si>
  <si>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</si>
  <si>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</si>
  <si>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</si>
  <si>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</si>
  <si>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</si>
  <si>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</si>
  <si>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</si>
  <si>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</si>
  <si>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</si>
  <si>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</si>
  <si>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</si>
  <si>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</si>
  <si>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</si>
  <si>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</si>
  <si>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</si>
  <si>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</si>
  <si>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</si>
  <si>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</si>
  <si>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</si>
  <si>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</si>
  <si>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</si>
  <si>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</si>
  <si>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</si>
  <si>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</si>
  <si>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</si>
  <si>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</si>
  <si>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</si>
  <si>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</si>
  <si>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</si>
  <si>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</si>
  <si>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</si>
  <si>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</si>
  <si>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</si>
  <si>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</si>
  <si>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</si>
  <si>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</si>
  <si>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</si>
  <si>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</si>
  <si>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</si>
  <si>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</si>
  <si>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</si>
  <si>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</si>
  <si>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</si>
  <si>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</si>
  <si>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</si>
  <si>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</si>
  <si>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</si>
  <si>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</si>
  <si>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</si>
  <si>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</si>
  <si>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</si>
  <si>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</si>
  <si>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</si>
  <si>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</si>
  <si>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</si>
  <si>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</si>
  <si>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</si>
  <si>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</si>
  <si>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</si>
  <si>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</si>
  <si>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</si>
  <si>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</si>
  <si>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</si>
  <si>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</si>
  <si>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</si>
  <si>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</si>
  <si>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</si>
  <si>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</si>
  <si>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</si>
  <si>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</si>
  <si>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</si>
  <si>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</si>
  <si>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</si>
  <si>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</si>
  <si>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</si>
  <si>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</si>
  <si>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</si>
  <si>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</si>
  <si>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</si>
  <si>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</si>
  <si>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</si>
  <si>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</si>
  <si>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</si>
  <si>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</si>
  <si>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</si>
  <si>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</si>
  <si>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</si>
  <si>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</si>
  <si>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</si>
  <si>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</si>
  <si>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</si>
  <si>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</si>
  <si>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</si>
  <si>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</si>
  <si>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</si>
  <si>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</si>
  <si>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</si>
  <si>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</si>
  <si>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</si>
  <si>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</si>
  <si>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</si>
  <si>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</si>
  <si>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</si>
  <si>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</si>
  <si>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</si>
  <si>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</si>
  <si>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</si>
  <si>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</si>
  <si>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</si>
  <si>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</si>
  <si>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</si>
  <si>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</si>
  <si>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</si>
  <si>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</si>
  <si>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</si>
  <si>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</si>
  <si>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</si>
  <si>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</si>
  <si>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</si>
  <si>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</si>
  <si>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</si>
  <si>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</si>
  <si>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</si>
  <si>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</si>
  <si>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</si>
  <si>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</si>
  <si>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</si>
  <si>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</si>
  <si>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</si>
  <si>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</si>
  <si>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</si>
  <si>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</si>
  <si>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</si>
  <si>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</si>
  <si>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</si>
  <si>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</si>
  <si>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</si>
  <si>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</si>
  <si>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</si>
  <si>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</si>
  <si>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</si>
  <si>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</si>
  <si>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</si>
  <si>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</si>
  <si>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</si>
  <si>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</si>
  <si>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</si>
  <si>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</si>
  <si>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</si>
  <si>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</si>
  <si>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</si>
  <si>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</si>
  <si>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</si>
  <si>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</si>
  <si>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</si>
  <si>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</si>
  <si>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</si>
  <si>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</si>
  <si>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</si>
  <si>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</si>
  <si>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</si>
  <si>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</si>
  <si>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</si>
  <si>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</si>
  <si>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</si>
  <si>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</si>
  <si>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</si>
  <si>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</si>
  <si>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</si>
  <si>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</si>
  <si>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</si>
  <si>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</si>
  <si>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</si>
  <si>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</si>
  <si>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</si>
  <si>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</si>
  <si>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</si>
  <si>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</si>
  <si>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</si>
  <si>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</si>
  <si>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</si>
  <si>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</si>
  <si>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</si>
  <si>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</si>
  <si>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</si>
  <si>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</si>
  <si>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</si>
  <si>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</si>
  <si>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</si>
  <si>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</si>
  <si>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</si>
  <si>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</si>
  <si>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</si>
  <si>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</si>
  <si>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</si>
  <si>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</si>
  <si>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</si>
  <si>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</si>
  <si>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</si>
  <si>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</si>
  <si>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</si>
  <si>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</si>
  <si>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</si>
  <si>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</si>
  <si>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</si>
  <si>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</si>
  <si>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</si>
  <si>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</si>
  <si>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</si>
  <si>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</si>
  <si>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</si>
  <si>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</si>
  <si>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</si>
  <si>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</si>
  <si>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</si>
  <si>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</si>
  <si>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</si>
  <si>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</si>
  <si>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</si>
  <si>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</si>
  <si>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</si>
  <si>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</si>
  <si>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</si>
  <si>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</si>
  <si>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</si>
  <si>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</si>
  <si>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</si>
  <si>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</si>
  <si>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</si>
  <si>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</si>
  <si>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</si>
  <si>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</si>
  <si>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</si>
  <si>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</si>
  <si>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</si>
  <si>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</si>
  <si>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</si>
  <si>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</si>
  <si>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</si>
  <si>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</si>
  <si>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</si>
  <si>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</si>
  <si>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</si>
  <si>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</si>
  <si>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</si>
  <si>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</si>
  <si>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</si>
  <si>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</si>
  <si>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</si>
  <si>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</si>
  <si>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</si>
  <si>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</si>
  <si>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</si>
  <si>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</si>
  <si>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</si>
  <si>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</si>
  <si>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</si>
  <si>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</si>
  <si>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</si>
  <si>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</si>
  <si>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</si>
  <si>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</si>
  <si>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</si>
  <si>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</si>
  <si>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</si>
  <si>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</si>
  <si>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</si>
  <si>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</si>
  <si>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</si>
  <si>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</si>
  <si>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</si>
  <si>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</si>
  <si>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</si>
  <si>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</si>
  <si>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</si>
  <si>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</si>
  <si>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</si>
  <si>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</si>
  <si>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</si>
  <si>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</si>
  <si>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</si>
  <si>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</si>
  <si>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</si>
  <si>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</si>
  <si>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</si>
  <si>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</si>
  <si>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</si>
  <si>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</si>
  <si>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</si>
  <si>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</si>
  <si>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</si>
  <si>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</si>
  <si>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</si>
  <si>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</si>
  <si>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</si>
  <si>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</si>
  <si>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</si>
  <si>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</si>
  <si>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</si>
  <si>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</si>
  <si>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</si>
  <si>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</si>
  <si>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</si>
  <si>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</si>
  <si>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</si>
  <si>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</si>
  <si>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</si>
  <si>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</si>
  <si>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</si>
  <si>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</si>
  <si>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</si>
  <si>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</si>
  <si>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</si>
  <si>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</si>
  <si>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</si>
  <si>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</si>
  <si>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</si>
  <si>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</si>
  <si>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</si>
  <si>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</si>
  <si>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</si>
  <si>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</si>
  <si>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</si>
  <si>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</si>
  <si>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</si>
  <si>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</si>
  <si>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</si>
  <si>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</si>
  <si>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</si>
  <si>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</si>
  <si>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</si>
  <si>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</si>
  <si>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</si>
  <si>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</si>
  <si>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</si>
  <si>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</si>
  <si>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</si>
  <si>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</si>
  <si>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</si>
  <si>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</si>
  <si>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</si>
  <si>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</si>
  <si>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</si>
  <si>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</si>
  <si>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</si>
  <si>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</si>
  <si>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</si>
  <si>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</si>
  <si>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</si>
  <si>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</si>
  <si>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</si>
  <si>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</si>
  <si>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</si>
  <si>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</si>
  <si>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</si>
  <si>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</si>
  <si>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</si>
  <si>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</si>
  <si>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</si>
  <si>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</si>
  <si>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</si>
  <si>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</si>
  <si>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</si>
  <si>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</si>
  <si>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</si>
  <si>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</si>
  <si>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</si>
  <si>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</si>
  <si>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</si>
  <si>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</si>
  <si>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</si>
  <si>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</si>
  <si>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</si>
  <si>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</si>
  <si>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</si>
  <si>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</si>
  <si>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</si>
  <si>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</si>
  <si>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</si>
  <si>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</si>
  <si>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</si>
  <si>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</si>
  <si>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</si>
  <si>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</si>
  <si>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</si>
  <si>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</si>
  <si>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</si>
  <si>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</si>
  <si>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</si>
  <si>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</si>
  <si>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</si>
  <si>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</si>
  <si>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</si>
  <si>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</si>
  <si>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</si>
  <si>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</si>
  <si>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</si>
  <si>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</si>
  <si>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</si>
  <si>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</si>
  <si>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</si>
  <si>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</si>
  <si>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</si>
  <si>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</si>
  <si>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</si>
  <si>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</si>
  <si>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</si>
  <si>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</si>
  <si>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</si>
  <si>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</si>
  <si>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</si>
  <si>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</si>
  <si>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</si>
  <si>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</si>
  <si>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</si>
  <si>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</si>
  <si>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</si>
  <si>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</si>
  <si>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</si>
  <si>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</si>
  <si>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</si>
  <si>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</si>
  <si>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</si>
  <si>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</si>
  <si>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</si>
  <si>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</si>
  <si>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</si>
  <si>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</si>
  <si>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</si>
  <si>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</si>
  <si>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</si>
  <si>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</si>
  <si>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</si>
  <si>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</si>
  <si>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</si>
  <si>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</si>
  <si>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</si>
  <si>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</si>
  <si>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</si>
  <si>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</si>
  <si>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</si>
  <si>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</si>
  <si>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</si>
  <si>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</si>
  <si>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</si>
  <si>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</si>
  <si>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</si>
  <si>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</si>
  <si>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</si>
  <si>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</si>
  <si>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</si>
  <si>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</si>
  <si>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</si>
  <si>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</si>
  <si>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</si>
  <si>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</si>
  <si>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</si>
  <si>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</si>
  <si>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</si>
  <si>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</si>
  <si>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</si>
  <si>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</si>
  <si>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</si>
  <si>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</si>
  <si>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</si>
  <si>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</si>
  <si>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</si>
  <si>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</si>
  <si>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</si>
  <si>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</si>
  <si>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</si>
  <si>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</si>
  <si>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</si>
  <si>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</si>
  <si>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</si>
  <si>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</si>
  <si>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</si>
  <si>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</si>
  <si>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</si>
  <si>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</si>
  <si>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</si>
  <si>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</si>
  <si>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</si>
  <si>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</si>
  <si>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</si>
  <si>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</si>
  <si>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</si>
  <si>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</si>
  <si>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</si>
  <si>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</si>
  <si>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</si>
  <si>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</si>
  <si>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</si>
  <si>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</si>
  <si>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</si>
  <si>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</si>
  <si>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</si>
  <si>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</si>
  <si>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</si>
  <si>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</si>
  <si>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</si>
  <si>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</si>
  <si>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</si>
  <si>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</si>
  <si>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</si>
  <si>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</si>
  <si>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</si>
  <si>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</si>
  <si>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</si>
  <si>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</si>
  <si>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</si>
  <si>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</si>
  <si>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</si>
  <si>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</si>
  <si>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</si>
  <si>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</si>
  <si>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</si>
  <si>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</si>
  <si>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</si>
  <si>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</si>
  <si>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</si>
  <si>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</si>
  <si>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</si>
  <si>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</si>
  <si>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</si>
  <si>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</si>
  <si>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</si>
  <si>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</si>
  <si>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</si>
  <si>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</si>
  <si>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</si>
  <si>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</si>
  <si>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</si>
  <si>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</si>
  <si>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</si>
  <si>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</si>
  <si>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</si>
  <si>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</si>
  <si>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</si>
  <si>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</si>
  <si>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</si>
  <si>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</si>
  <si>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</si>
  <si>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</si>
  <si>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</si>
  <si>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</si>
  <si>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</si>
  <si>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</si>
  <si>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</si>
  <si>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</si>
  <si>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</si>
  <si>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</si>
  <si>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</si>
  <si>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</si>
  <si>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</si>
  <si>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</si>
  <si>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</si>
  <si>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</si>
  <si>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</si>
  <si>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</si>
  <si>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</si>
  <si>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</si>
  <si>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</si>
  <si>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</si>
  <si>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</si>
  <si>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</si>
  <si>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</si>
  <si>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</si>
  <si>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</si>
  <si>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</si>
  <si>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</si>
  <si>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</si>
  <si>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</si>
  <si>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</si>
  <si>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</si>
  <si>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</si>
  <si>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</si>
  <si>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</si>
  <si>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</si>
  <si>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</si>
  <si>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</si>
  <si>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</si>
  <si>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</si>
  <si>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</si>
  <si>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</si>
  <si>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</si>
  <si>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</si>
  <si>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</si>
  <si>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</si>
  <si>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</si>
  <si>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</si>
  <si>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</si>
  <si>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</si>
  <si>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</si>
  <si>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</si>
  <si>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</si>
  <si>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</si>
  <si>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</si>
  <si>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</si>
  <si>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</si>
  <si>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</si>
  <si>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</si>
  <si>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</si>
  <si>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</si>
  <si>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</si>
  <si>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</si>
  <si>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</si>
  <si>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</si>
  <si>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</si>
  <si>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</si>
  <si>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</si>
  <si>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</si>
  <si>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</si>
  <si>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</si>
  <si>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</si>
  <si>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</si>
  <si>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</si>
  <si>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</si>
  <si>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</si>
  <si>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</si>
  <si>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</si>
  <si>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</si>
  <si>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</si>
  <si>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</si>
  <si>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</si>
  <si>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</si>
  <si>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</si>
  <si>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</si>
  <si>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</si>
  <si>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</si>
  <si>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</si>
  <si>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</si>
  <si>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</si>
  <si>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</si>
  <si>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</si>
  <si>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</si>
  <si>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</si>
  <si>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</si>
  <si>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</si>
  <si>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</si>
  <si>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</si>
  <si>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</si>
  <si>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</si>
  <si>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</si>
  <si>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</si>
  <si>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</si>
  <si>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</si>
  <si>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</si>
  <si>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</si>
  <si>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</si>
  <si>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</si>
  <si>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</si>
  <si>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</si>
  <si>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</si>
  <si>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</si>
  <si>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</si>
  <si>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</si>
  <si>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</si>
  <si>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</si>
  <si>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</si>
  <si>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</si>
  <si>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</si>
  <si>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</si>
  <si>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</si>
  <si>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</si>
  <si>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</si>
  <si>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</si>
  <si>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</si>
  <si>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</si>
  <si>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</si>
  <si>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</si>
  <si>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</si>
  <si>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</si>
  <si>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</si>
  <si>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</si>
  <si>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</si>
  <si>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</si>
  <si>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</si>
  <si>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</si>
  <si>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</si>
  <si>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</si>
  <si>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</si>
  <si>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</si>
  <si>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</si>
  <si>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</si>
  <si>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</si>
  <si>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</si>
  <si>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</si>
  <si>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</si>
  <si>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</si>
  <si>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</si>
  <si>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</si>
  <si>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</si>
  <si>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</si>
  <si>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</si>
  <si>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</si>
  <si>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</si>
  <si>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</si>
  <si>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</si>
  <si>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</si>
  <si>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</si>
  <si>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</si>
  <si>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</si>
  <si>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</si>
  <si>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</si>
  <si>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</si>
  <si>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</si>
  <si>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</si>
  <si>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</si>
  <si>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</si>
  <si>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</si>
  <si>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</si>
  <si>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</si>
  <si>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</si>
  <si>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</si>
  <si>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</si>
  <si>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</si>
  <si>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</si>
  <si>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</si>
  <si>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</si>
  <si>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</si>
  <si>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</si>
  <si>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</si>
  <si>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</si>
  <si>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</si>
  <si>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</si>
  <si>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</si>
  <si>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</si>
  <si>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</si>
  <si>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</si>
  <si>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</si>
  <si>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</si>
  <si>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</si>
  <si>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</si>
  <si>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</si>
  <si>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</si>
  <si>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</si>
  <si>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</si>
  <si>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</si>
  <si>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</si>
  <si>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</si>
  <si>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</si>
  <si>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</si>
  <si>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</si>
  <si>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</si>
  <si>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</si>
  <si>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</si>
  <si>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</si>
  <si>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</si>
  <si>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</si>
  <si>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</si>
  <si>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</si>
  <si>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</si>
  <si>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</si>
  <si>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</si>
  <si>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</si>
  <si>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</si>
  <si>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</si>
  <si>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</si>
  <si>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</si>
  <si>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</si>
  <si>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</si>
  <si>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</si>
  <si>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</si>
  <si>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</si>
  <si>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</si>
  <si>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</si>
  <si>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</si>
  <si>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</si>
  <si>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</si>
  <si>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</si>
  <si>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</si>
  <si>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</si>
  <si>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</si>
  <si>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</si>
  <si>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</si>
  <si>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</si>
  <si>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</si>
  <si>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</si>
  <si>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</si>
  <si>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</si>
  <si>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</si>
  <si>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</si>
  <si>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</si>
  <si>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</si>
  <si>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</si>
  <si>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</si>
  <si>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</si>
  <si>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</si>
  <si>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</si>
  <si>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</si>
  <si>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</si>
  <si>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</si>
  <si>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</si>
  <si>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</si>
  <si>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</si>
  <si>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</si>
  <si>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</si>
  <si>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</si>
  <si>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</si>
  <si>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</si>
  <si>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</si>
  <si>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</si>
  <si>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</si>
  <si>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</si>
  <si>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</si>
  <si>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</si>
  <si>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</si>
  <si>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</si>
  <si>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</si>
  <si>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</si>
  <si>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</si>
  <si>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</si>
  <si>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</si>
  <si>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</si>
  <si>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</si>
  <si>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</si>
  <si>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</si>
  <si>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</si>
  <si>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</si>
  <si>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</si>
  <si>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</si>
  <si>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</si>
  <si>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</si>
  <si>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</si>
  <si>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</si>
  <si>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</si>
  <si>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</si>
  <si>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</si>
  <si>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</si>
  <si>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</si>
  <si>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</si>
  <si>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</si>
  <si>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</si>
  <si>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</si>
  <si>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</si>
  <si>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</si>
  <si>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</si>
  <si>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</si>
  <si>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</si>
  <si>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</si>
  <si>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</si>
  <si>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</si>
  <si>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</si>
  <si>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</si>
  <si>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</si>
  <si>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</si>
  <si>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</si>
  <si>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</si>
  <si>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</si>
  <si>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</si>
  <si>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</si>
  <si>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</si>
  <si>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</si>
  <si>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</si>
  <si>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</si>
  <si>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</si>
  <si>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</si>
  <si>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</si>
  <si>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</si>
  <si>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</si>
  <si>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</si>
  <si>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</si>
  <si>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</si>
  <si>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</si>
  <si>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</si>
  <si>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</si>
  <si>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</si>
  <si>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</si>
  <si>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</si>
  <si>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</si>
  <si>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</si>
  <si>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</si>
  <si>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</si>
  <si>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</si>
  <si>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</si>
  <si>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</si>
  <si>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</si>
  <si>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</si>
  <si>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</si>
  <si>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</si>
  <si>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</si>
  <si>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</si>
  <si>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</si>
  <si>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</si>
  <si>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</si>
  <si>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</si>
  <si>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</si>
  <si>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</si>
  <si>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</si>
  <si>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</si>
  <si>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</si>
  <si>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</si>
  <si>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</si>
  <si>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</si>
  <si>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</si>
  <si>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</si>
  <si>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</si>
  <si>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</si>
  <si>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</si>
  <si>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</si>
  <si>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</si>
  <si>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</si>
  <si>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</si>
  <si>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</si>
  <si>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</si>
  <si>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</si>
  <si>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</si>
  <si>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</si>
  <si>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</si>
  <si>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</si>
  <si>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</si>
  <si>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</si>
  <si>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</si>
  <si>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</si>
  <si>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</si>
  <si>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</si>
  <si>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</si>
  <si>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</si>
  <si>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</si>
  <si>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</si>
  <si>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</si>
  <si>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</si>
  <si>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</si>
  <si>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</si>
  <si>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</si>
  <si>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</si>
  <si>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</si>
  <si>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</si>
  <si>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</si>
  <si>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</si>
  <si>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</si>
  <si>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</si>
  <si>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</si>
  <si>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</si>
  <si>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</si>
  <si>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</si>
  <si>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</si>
  <si>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</si>
  <si>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</si>
  <si>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</si>
  <si>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</si>
  <si>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</si>
  <si>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</si>
  <si>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</si>
  <si>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</si>
  <si>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</si>
  <si>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</si>
  <si>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</si>
  <si>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</si>
  <si>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</si>
  <si>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</si>
  <si>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</si>
  <si>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</si>
  <si>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</si>
  <si>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</si>
  <si>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</si>
  <si>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</si>
  <si>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</si>
  <si>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</si>
  <si>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</si>
  <si>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</si>
  <si>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</si>
  <si>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</si>
  <si>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</si>
  <si>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</si>
  <si>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</si>
  <si>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</si>
  <si>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</si>
  <si>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</si>
  <si>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</si>
  <si>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</si>
  <si>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</si>
  <si>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</si>
  <si>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</si>
  <si>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</si>
  <si>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</si>
  <si>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</si>
  <si>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</si>
  <si>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</si>
  <si>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</si>
  <si>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</si>
  <si>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</si>
  <si>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</si>
  <si>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</si>
  <si>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</si>
  <si>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</si>
  <si>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</si>
  <si>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</si>
  <si>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</si>
  <si>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</si>
  <si>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</si>
  <si>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</si>
  <si>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</si>
  <si>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</si>
  <si>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</si>
  <si>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</si>
  <si>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</si>
  <si>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</si>
  <si>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</si>
  <si>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</si>
  <si>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</si>
  <si>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</si>
  <si>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</si>
  <si>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</si>
  <si>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</si>
  <si>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</si>
  <si>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</si>
  <si>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</si>
  <si>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</si>
  <si>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</si>
  <si>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</si>
  <si>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</si>
  <si>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</si>
  <si>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</si>
  <si>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</si>
  <si>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</si>
  <si>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</si>
  <si>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</si>
  <si>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</si>
  <si>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</si>
  <si>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</si>
  <si>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</si>
  <si>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</si>
  <si>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</si>
  <si>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</si>
  <si>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</si>
  <si>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</si>
  <si>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</si>
  <si>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</si>
  <si>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</si>
  <si>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</si>
  <si>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</si>
  <si>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</si>
  <si>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</si>
  <si>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</si>
  <si>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</si>
  <si>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</si>
  <si>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</si>
  <si>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</si>
  <si>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</si>
  <si>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</si>
  <si>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</si>
  <si>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</si>
  <si>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</si>
  <si>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</si>
  <si>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</si>
  <si>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</si>
  <si>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</si>
  <si>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</si>
  <si>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</si>
  <si>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</si>
  <si>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</si>
  <si>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</si>
  <si>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</si>
  <si>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</si>
  <si>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</si>
  <si>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</si>
  <si>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</si>
  <si>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</si>
  <si>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</si>
  <si>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</si>
  <si>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</si>
  <si>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</si>
  <si>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</si>
  <si>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</si>
  <si>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</si>
  <si>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</si>
  <si>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</si>
  <si>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</si>
  <si>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</si>
  <si>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</si>
  <si>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</si>
  <si>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</si>
  <si>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</si>
  <si>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</si>
  <si>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</si>
  <si>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</si>
  <si>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</si>
  <si>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</si>
  <si>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</si>
  <si>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</si>
  <si>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</si>
  <si>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</si>
  <si>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</si>
  <si>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</si>
  <si>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</si>
  <si>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</si>
  <si>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</si>
  <si>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</si>
  <si>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</si>
  <si>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</si>
  <si>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</si>
  <si>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</si>
  <si>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</si>
  <si>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</si>
  <si>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</si>
  <si>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</si>
  <si>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</si>
  <si>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</si>
  <si>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</si>
  <si>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</si>
  <si>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</si>
  <si>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</si>
  <si>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</si>
  <si>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</si>
  <si>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</si>
  <si>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</si>
  <si>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</si>
  <si>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</si>
  <si>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</si>
  <si>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</si>
  <si>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</si>
  <si>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</si>
  <si>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</si>
  <si>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</si>
  <si>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</si>
  <si>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</si>
  <si>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</si>
  <si>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</si>
  <si>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</si>
  <si>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</si>
  <si>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</si>
  <si>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</si>
  <si>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</si>
  <si>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</si>
  <si>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</si>
  <si>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</si>
  <si>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</si>
  <si>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</si>
  <si>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</si>
  <si>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</si>
  <si>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</si>
  <si>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</si>
  <si>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</si>
  <si>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</si>
  <si>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</si>
  <si>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</si>
  <si>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</si>
  <si>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</si>
  <si>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</si>
  <si>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</si>
  <si>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</si>
  <si>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</si>
  <si>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</si>
  <si>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</si>
  <si>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</si>
  <si>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</si>
  <si>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</si>
  <si>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</si>
  <si>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</si>
  <si>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</si>
  <si>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</si>
  <si>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</si>
  <si>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</si>
  <si>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</si>
  <si>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</si>
  <si>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</si>
  <si>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</si>
  <si>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</si>
  <si>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</si>
  <si>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</si>
  <si>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</si>
  <si>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</si>
  <si>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</si>
  <si>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</si>
  <si>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</si>
  <si>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</si>
  <si>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</si>
  <si>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</si>
  <si>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</si>
  <si>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</si>
  <si>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</si>
  <si>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</si>
  <si>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</si>
  <si>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</si>
  <si>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</si>
  <si>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</si>
  <si>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</si>
  <si>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</si>
  <si>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</si>
  <si>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</si>
  <si>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</si>
  <si>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</si>
  <si>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</si>
  <si>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</si>
  <si>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</si>
  <si>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</si>
  <si>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</si>
  <si>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</si>
  <si>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</si>
  <si>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</si>
  <si>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</si>
  <si>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</si>
  <si>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</si>
  <si>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</si>
  <si>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</si>
  <si>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</si>
  <si>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</si>
  <si>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</si>
  <si>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</si>
  <si>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</si>
  <si>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</si>
  <si>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</si>
  <si>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</si>
  <si>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</si>
  <si>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</si>
  <si>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</si>
  <si>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</si>
  <si>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</si>
  <si>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</si>
  <si>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</si>
  <si>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</si>
  <si>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</si>
  <si>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</si>
  <si>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</si>
  <si>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</si>
  <si>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</si>
  <si>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</si>
  <si>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</si>
  <si>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</si>
  <si>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</si>
  <si>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</si>
  <si>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</si>
  <si>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</si>
  <si>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</si>
  <si>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</si>
  <si>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</si>
  <si>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</si>
  <si>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</si>
  <si>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</si>
  <si>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</si>
  <si>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</si>
  <si>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</si>
  <si>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</si>
  <si>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</si>
  <si>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</si>
  <si>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</si>
  <si>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</si>
  <si>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</si>
  <si>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</si>
  <si>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</si>
  <si>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</si>
  <si>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</si>
  <si>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</si>
  <si>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</si>
  <si>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</si>
  <si>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</si>
  <si>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</si>
  <si>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</si>
  <si>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</si>
  <si>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</si>
  <si>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</si>
  <si>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</si>
  <si>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</si>
  <si>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</si>
  <si>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</si>
  <si>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</si>
  <si>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</si>
  <si>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</si>
  <si>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</si>
  <si>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</si>
  <si>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</si>
  <si>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</si>
  <si>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</si>
  <si>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</si>
  <si>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</si>
  <si>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</si>
  <si>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</si>
  <si>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</si>
  <si>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</si>
  <si>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</si>
  <si>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</si>
  <si>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</si>
  <si>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</si>
  <si>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</si>
  <si>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</si>
  <si>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</si>
  <si>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</si>
  <si>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</si>
  <si>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</si>
  <si>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</si>
  <si>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</si>
  <si>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</si>
  <si>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</si>
  <si>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</si>
  <si>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</si>
  <si>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</si>
  <si>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</si>
  <si>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</si>
  <si>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</si>
  <si>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</si>
  <si>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</si>
  <si>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</si>
  <si>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</si>
  <si>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</si>
  <si>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</si>
  <si>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</si>
  <si>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</si>
  <si>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</si>
  <si>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</si>
  <si>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</si>
  <si>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</si>
  <si>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</si>
  <si>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</si>
  <si>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</si>
  <si>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</si>
  <si>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</si>
  <si>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</si>
  <si>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</si>
  <si>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</si>
  <si>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</si>
  <si>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</si>
  <si>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</si>
  <si>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</si>
  <si>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</si>
  <si>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</si>
  <si>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</si>
  <si>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</si>
  <si>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</si>
  <si>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</si>
  <si>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</si>
  <si>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</si>
  <si>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</si>
  <si>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</si>
  <si>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</si>
  <si>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</si>
  <si>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</si>
  <si>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</si>
  <si>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</si>
  <si>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</si>
  <si>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</si>
  <si>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</si>
  <si>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</si>
  <si>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</si>
  <si>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</si>
  <si>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</si>
  <si>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</si>
  <si>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</si>
  <si>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</si>
  <si>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</si>
  <si>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</si>
  <si>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</si>
  <si>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</si>
  <si>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</si>
  <si>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</si>
  <si>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</si>
  <si>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</si>
  <si>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</si>
  <si>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</si>
  <si>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</si>
  <si>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</si>
  <si>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</si>
  <si>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</si>
  <si>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</si>
  <si>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</si>
  <si>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</si>
  <si>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</si>
  <si>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</si>
  <si>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</si>
  <si>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</si>
  <si>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</si>
  <si>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</si>
  <si>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</si>
  <si>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</si>
  <si>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</si>
  <si>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</si>
  <si>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</si>
  <si>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</si>
  <si>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</si>
  <si>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</si>
  <si>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</si>
  <si>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</si>
  <si>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</si>
  <si>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</si>
  <si>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</si>
  <si>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</si>
  <si>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</si>
  <si>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</si>
  <si>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</si>
  <si>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</si>
  <si>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</si>
  <si>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</si>
  <si>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</si>
  <si>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</si>
  <si>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</si>
  <si>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</si>
  <si>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</si>
  <si>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</si>
  <si>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</si>
  <si>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</si>
  <si>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</si>
  <si>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</si>
  <si>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</si>
  <si>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</si>
  <si>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</si>
  <si>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</si>
  <si>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</si>
  <si>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</si>
  <si>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</si>
  <si>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</si>
  <si>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</si>
  <si>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</si>
  <si>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</si>
  <si>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</si>
  <si>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</si>
  <si>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</si>
  <si>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</si>
  <si>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</si>
  <si>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</si>
  <si>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</si>
  <si>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</si>
  <si>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</si>
  <si>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</si>
  <si>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</si>
  <si>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</si>
  <si>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</si>
  <si>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</si>
  <si>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</si>
  <si>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</si>
  <si>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</si>
  <si>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</si>
  <si>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</si>
  <si>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</si>
  <si>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</si>
  <si>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</si>
  <si>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</si>
  <si>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</si>
  <si>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</si>
  <si>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</si>
  <si>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</si>
  <si>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</si>
  <si>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</si>
  <si>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</si>
  <si>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</si>
  <si>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</si>
  <si>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</si>
  <si>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</si>
  <si>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</si>
  <si>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</si>
  <si>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</si>
  <si>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</si>
  <si>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</si>
  <si>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</si>
  <si>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</si>
  <si>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</si>
  <si>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</si>
  <si>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</si>
  <si>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</si>
  <si>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</si>
  <si>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</si>
  <si>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</si>
  <si>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</si>
  <si>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</si>
  <si>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</si>
  <si>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</si>
  <si>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</si>
  <si>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</si>
  <si>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</si>
  <si>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</si>
  <si>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</si>
  <si>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</si>
  <si>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</si>
  <si>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</si>
  <si>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</si>
  <si>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</si>
  <si>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</si>
  <si>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</si>
  <si>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</si>
  <si>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</si>
  <si>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</si>
  <si>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</si>
  <si>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</si>
  <si>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</si>
  <si>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</si>
  <si>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</si>
  <si>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</si>
  <si>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</si>
  <si>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</si>
  <si>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</si>
  <si>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</si>
  <si>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</si>
  <si>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</si>
  <si>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</si>
  <si>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</si>
  <si>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</si>
  <si>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</si>
  <si>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</si>
  <si>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</si>
  <si>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</si>
  <si>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</si>
  <si>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</si>
  <si>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</si>
  <si>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</si>
  <si>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</si>
  <si>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</si>
  <si>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</si>
  <si>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</si>
  <si>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</si>
  <si>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</si>
  <si>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</si>
  <si>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</si>
  <si>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</si>
  <si>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</si>
  <si>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</si>
  <si>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</si>
  <si>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</si>
  <si>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</si>
  <si>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</si>
  <si>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</si>
  <si>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</si>
  <si>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</si>
  <si>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</si>
  <si>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</si>
  <si>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</si>
  <si>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</si>
  <si>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</si>
  <si>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</si>
  <si>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</si>
  <si>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</si>
  <si>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</si>
  <si>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</si>
  <si>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</si>
  <si>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</si>
  <si>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</si>
  <si>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</si>
  <si>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</si>
  <si>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</si>
  <si>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</si>
  <si>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</si>
  <si>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</si>
  <si>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</si>
  <si>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</si>
  <si>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</si>
  <si>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</si>
  <si>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</si>
  <si>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</si>
  <si>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</si>
  <si>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</si>
  <si>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</si>
  <si>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</si>
  <si>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</si>
  <si>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</si>
  <si>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</si>
  <si>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</si>
  <si>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</si>
  <si>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</si>
  <si>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</si>
  <si>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</si>
  <si>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</si>
  <si>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</si>
  <si>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</si>
  <si>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</si>
  <si>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</si>
  <si>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</si>
  <si>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</si>
  <si>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</si>
  <si>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</si>
  <si>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</si>
  <si>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</si>
  <si>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</si>
  <si>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</si>
  <si>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</si>
  <si>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</si>
  <si>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</si>
  <si>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</si>
  <si>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</si>
  <si>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</si>
  <si>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</si>
  <si>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</si>
  <si>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</si>
  <si>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</si>
  <si>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</si>
  <si>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</si>
  <si>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</si>
  <si>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</si>
  <si>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</si>
  <si>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</si>
  <si>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</si>
  <si>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</si>
  <si>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</si>
  <si>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</si>
  <si>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</si>
  <si>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</si>
  <si>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</si>
  <si>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</si>
  <si>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</si>
  <si>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</si>
  <si>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</si>
  <si>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</si>
  <si>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</si>
  <si>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</si>
  <si>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</si>
  <si>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</si>
  <si>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</si>
  <si>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</si>
  <si>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</si>
  <si>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</si>
  <si>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</si>
  <si>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</si>
  <si>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</si>
  <si>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</si>
  <si>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</si>
  <si>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</si>
  <si>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</si>
  <si>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</si>
  <si>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</si>
  <si>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</si>
  <si>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</si>
  <si>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</si>
  <si>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</si>
  <si>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</si>
  <si>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</si>
  <si>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</si>
  <si>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</si>
  <si>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</si>
  <si>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</si>
  <si>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</si>
  <si>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</si>
  <si>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</si>
  <si>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</si>
  <si>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</si>
  <si>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</si>
  <si>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</si>
  <si>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</si>
  <si>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</si>
  <si>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</si>
  <si>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</si>
  <si>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</si>
  <si>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</si>
  <si>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</si>
  <si>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</si>
  <si>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</si>
  <si>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</si>
  <si>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</si>
  <si>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</si>
  <si>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</si>
  <si>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</si>
  <si>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</si>
  <si>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</si>
  <si>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</si>
  <si>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</si>
  <si>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</si>
  <si>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</si>
  <si>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</si>
  <si>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</si>
  <si>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</si>
  <si>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</si>
  <si>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</si>
  <si>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</si>
  <si>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</si>
  <si>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</si>
  <si>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</si>
  <si>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</si>
  <si>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</si>
  <si>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</si>
  <si>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</si>
  <si>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</si>
  <si>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</si>
  <si>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</si>
  <si>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</si>
  <si>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</si>
  <si>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</si>
  <si>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</si>
  <si>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</si>
  <si>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</si>
  <si>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</si>
  <si>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</si>
  <si>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</si>
  <si>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</si>
  <si>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</si>
  <si>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</si>
  <si>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</si>
  <si>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</si>
  <si>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</si>
  <si>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</si>
  <si>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</si>
  <si>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</si>
  <si>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</si>
  <si>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</si>
  <si>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</si>
  <si>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</si>
  <si>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</si>
  <si>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</si>
  <si>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</si>
  <si>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</si>
  <si>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</si>
  <si>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</si>
  <si>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</si>
  <si>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</si>
  <si>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</si>
  <si>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</si>
  <si>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</si>
  <si>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</si>
  <si>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</si>
  <si>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</si>
  <si>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</si>
  <si>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</si>
  <si>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</si>
  <si>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</si>
  <si>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</si>
  <si>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</si>
  <si>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</si>
  <si>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</si>
  <si>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</si>
  <si>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</si>
  <si>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</si>
  <si>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</si>
  <si>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</si>
  <si>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</si>
  <si>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</si>
  <si>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</si>
  <si>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</si>
  <si>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</si>
  <si>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</si>
  <si>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</si>
  <si>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</si>
  <si>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</si>
  <si>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</si>
  <si>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</si>
  <si>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</si>
  <si>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</si>
  <si>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</si>
  <si>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</si>
  <si>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</si>
  <si>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</si>
  <si>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</si>
  <si>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</si>
  <si>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</si>
  <si>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</si>
  <si>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</si>
  <si>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</si>
  <si>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</si>
  <si>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</si>
  <si>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</si>
  <si>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</si>
  <si>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</si>
  <si>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</si>
  <si>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</si>
  <si>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</si>
  <si>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</si>
  <si>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</si>
  <si>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</si>
  <si>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</si>
  <si>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</si>
  <si>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</si>
  <si>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</si>
  <si>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</si>
  <si>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</si>
  <si>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</si>
  <si>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</si>
  <si>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</si>
  <si>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</si>
  <si>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</si>
  <si>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</si>
  <si>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</si>
  <si>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</si>
  <si>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</si>
  <si>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</si>
  <si>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</si>
  <si>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</si>
  <si>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</si>
  <si>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</si>
  <si>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</si>
  <si>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</si>
  <si>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</si>
  <si>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</si>
  <si>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</si>
  <si>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</si>
  <si>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</si>
  <si>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</si>
  <si>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</si>
  <si>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</si>
  <si>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</si>
  <si>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</si>
  <si>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</si>
  <si>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</si>
  <si>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</si>
  <si>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</si>
  <si>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</si>
  <si>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</si>
  <si>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</si>
  <si>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</si>
  <si>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</si>
  <si>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</si>
  <si>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</si>
  <si>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</si>
  <si>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</si>
  <si>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</si>
  <si>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</si>
  <si>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</si>
  <si>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</si>
  <si>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</si>
  <si>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</si>
  <si>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</si>
  <si>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</si>
  <si>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</si>
  <si>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</si>
  <si>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</si>
  <si>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</si>
  <si>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</si>
  <si>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</si>
  <si>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</si>
  <si>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</si>
  <si>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</si>
  <si>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</si>
  <si>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</si>
  <si>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</si>
  <si>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</si>
  <si>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</si>
  <si>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</si>
  <si>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</si>
  <si>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</si>
  <si>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</si>
  <si>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</si>
  <si>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</si>
  <si>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</si>
  <si>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</si>
  <si>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</si>
  <si>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</si>
  <si>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</si>
  <si>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</si>
  <si>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</si>
  <si>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</si>
  <si>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</si>
  <si>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</si>
  <si>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</si>
  <si>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</si>
  <si>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</si>
  <si>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</si>
  <si>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</si>
  <si>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</si>
  <si>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</si>
  <si>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</si>
  <si>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</si>
  <si>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</si>
  <si>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</si>
  <si>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</si>
  <si>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</si>
  <si>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</si>
  <si>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</si>
  <si>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</si>
  <si>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</si>
  <si>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</si>
  <si>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</si>
  <si>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</si>
  <si>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</si>
  <si>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</si>
  <si>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</si>
  <si>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</si>
  <si>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</si>
  <si>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</si>
  <si>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</si>
  <si>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</si>
  <si>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</si>
  <si>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</si>
  <si>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</si>
  <si>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</si>
  <si>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</si>
  <si>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</si>
  <si>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</si>
  <si>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</si>
  <si>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</si>
  <si>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</si>
  <si>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</si>
  <si>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</si>
  <si>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</si>
  <si>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</si>
  <si>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</si>
  <si>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</si>
  <si>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</si>
  <si>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</si>
  <si>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</si>
  <si>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</si>
  <si>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</si>
  <si>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</si>
  <si>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</si>
  <si>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</si>
  <si>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</si>
  <si>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</si>
  <si>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</si>
  <si>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</si>
  <si>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</si>
  <si>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</si>
  <si>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</si>
  <si>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</si>
  <si>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</si>
  <si>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</si>
  <si>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</si>
  <si>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</si>
  <si>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</si>
  <si>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</si>
  <si>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</si>
  <si>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</si>
  <si>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</si>
  <si>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</si>
  <si>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</si>
  <si>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</si>
  <si>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</si>
  <si>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</si>
  <si>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</si>
  <si>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</si>
  <si>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</si>
  <si>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</si>
  <si>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</si>
  <si>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</si>
  <si>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</si>
  <si>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</si>
  <si>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</si>
  <si>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</si>
  <si>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</si>
  <si>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</si>
  <si>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</si>
  <si>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</si>
  <si>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</si>
  <si>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</si>
  <si>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</si>
  <si>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</si>
  <si>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</si>
  <si>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</si>
  <si>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</si>
  <si>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</si>
  <si>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</si>
  <si>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</si>
  <si>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</si>
  <si>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</si>
  <si>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</si>
  <si>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</si>
  <si>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</si>
  <si>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</si>
  <si>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</si>
  <si>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</si>
  <si>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</si>
  <si>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</si>
  <si>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</si>
  <si>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</si>
  <si>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</si>
  <si>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</si>
  <si>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</si>
  <si>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</si>
  <si>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</si>
  <si>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</si>
  <si>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</si>
  <si>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</si>
  <si>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</si>
  <si>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</si>
  <si>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</si>
  <si>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</si>
  <si>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</si>
  <si>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</si>
  <si>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</si>
  <si>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</si>
  <si>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</si>
  <si>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</si>
  <si>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</si>
  <si>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</si>
  <si>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</si>
  <si>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</si>
  <si>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</si>
  <si>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</si>
  <si>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</si>
  <si>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</si>
  <si>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</si>
  <si>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</si>
  <si>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</si>
  <si>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</si>
  <si>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</si>
  <si>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</si>
  <si>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</si>
  <si>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</si>
  <si>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</si>
  <si>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</si>
  <si>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</si>
  <si>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</si>
  <si>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</si>
  <si>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</si>
  <si>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</si>
  <si>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</si>
  <si>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</si>
  <si>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</si>
  <si>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</si>
  <si>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</si>
  <si>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</si>
  <si>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</si>
  <si>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</si>
  <si>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</si>
  <si>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</si>
  <si>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</si>
  <si>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</si>
  <si>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</si>
  <si>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</si>
  <si>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</si>
  <si>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</si>
  <si>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</si>
  <si>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</si>
  <si>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</si>
  <si>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</si>
  <si>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</si>
  <si>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</si>
  <si>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</si>
  <si>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</si>
  <si>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</si>
  <si>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</si>
  <si>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</si>
  <si>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</si>
  <si>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</si>
  <si>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</si>
  <si>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</si>
  <si>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</si>
  <si>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</si>
  <si>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</si>
  <si>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</si>
  <si>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</si>
  <si>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</si>
  <si>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</si>
  <si>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</si>
  <si>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</si>
  <si>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</si>
  <si>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</si>
  <si>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</si>
  <si>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</si>
  <si>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</si>
  <si>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</si>
  <si>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</si>
  <si>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</si>
  <si>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</si>
  <si>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</si>
  <si>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</si>
  <si>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</si>
  <si>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</si>
  <si>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</si>
  <si>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</si>
  <si>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</si>
  <si>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</si>
  <si>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</si>
  <si>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</si>
  <si>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</si>
  <si>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</si>
  <si>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</si>
  <si>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</si>
  <si>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</si>
  <si>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</si>
  <si>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</si>
  <si>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</si>
  <si>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</si>
  <si>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</si>
  <si>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</si>
  <si>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</si>
  <si>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</si>
  <si>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</si>
  <si>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</si>
  <si>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</si>
  <si>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</si>
  <si>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</si>
  <si>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</si>
  <si>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</si>
  <si>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</si>
  <si>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</si>
  <si>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</si>
  <si>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</si>
  <si>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</si>
  <si>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</si>
  <si>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</si>
  <si>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</si>
  <si>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</si>
  <si>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</si>
  <si>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</si>
  <si>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</si>
  <si>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</si>
  <si>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</si>
  <si>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</si>
  <si>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</si>
  <si>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</si>
  <si>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</si>
  <si>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</si>
  <si>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</si>
  <si>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</si>
  <si>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</si>
  <si>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</si>
  <si>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</si>
  <si>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</si>
  <si>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</si>
  <si>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</si>
  <si>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</si>
  <si>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</si>
  <si>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</si>
  <si>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</si>
  <si>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</si>
  <si>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</si>
  <si>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</si>
  <si>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</si>
  <si>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</si>
  <si>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</si>
  <si>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</si>
  <si>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</si>
  <si>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</si>
  <si>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</si>
  <si>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</si>
  <si>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</si>
  <si>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</si>
  <si>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</si>
  <si>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</si>
  <si>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</si>
  <si>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</si>
  <si>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</si>
  <si>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</si>
  <si>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</si>
  <si>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</si>
  <si>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</si>
  <si>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</si>
  <si>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</si>
  <si>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</si>
  <si>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</si>
  <si>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</si>
  <si>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</si>
  <si>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</si>
  <si>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</si>
  <si>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</si>
  <si>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</si>
  <si>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</si>
  <si>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</si>
  <si>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</si>
  <si>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</si>
  <si>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</si>
  <si>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</si>
  <si>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</si>
  <si>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</si>
  <si>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</si>
  <si>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</si>
  <si>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</si>
  <si>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</si>
  <si>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</si>
  <si>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</si>
  <si>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</si>
  <si>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</si>
  <si>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</si>
  <si>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</si>
  <si>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</si>
  <si>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</si>
  <si>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</si>
  <si>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</si>
  <si>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</si>
  <si>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</si>
  <si>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</si>
  <si>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</si>
  <si>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</si>
  <si>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</si>
  <si>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</si>
  <si>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</si>
  <si>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</si>
  <si>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</si>
  <si>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</si>
  <si>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</si>
  <si>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</si>
  <si>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</si>
  <si>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</si>
  <si>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</si>
  <si>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</si>
  <si>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</si>
  <si>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</si>
  <si>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</si>
  <si>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</si>
  <si>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</si>
  <si>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</si>
  <si>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</si>
  <si>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</si>
  <si>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</si>
  <si>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</si>
  <si>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</si>
  <si>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</si>
  <si>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</si>
  <si>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</si>
  <si>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</si>
  <si>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</si>
  <si>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</si>
  <si>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</si>
  <si>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</si>
  <si>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</si>
  <si>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</si>
  <si>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</si>
  <si>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</si>
  <si>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</si>
  <si>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</si>
  <si>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</si>
  <si>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</si>
  <si>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</si>
  <si>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</si>
  <si>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</si>
  <si>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</si>
  <si>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</si>
  <si>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</si>
  <si>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</si>
  <si>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</si>
  <si>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</si>
  <si>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</si>
  <si>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</si>
  <si>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</si>
  <si>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</si>
  <si>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</si>
  <si>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</si>
  <si>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</si>
  <si>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</si>
  <si>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</si>
  <si>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</si>
  <si>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</si>
  <si>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</si>
  <si>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</si>
  <si>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</si>
  <si>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</si>
  <si>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</si>
  <si>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</si>
  <si>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</si>
  <si>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</si>
  <si>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</si>
  <si>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</si>
  <si>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</si>
  <si>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</si>
  <si>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</si>
  <si>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</si>
  <si>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</si>
  <si>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</si>
  <si>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</si>
  <si>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</si>
  <si>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</si>
  <si>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</si>
  <si>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</si>
  <si>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</si>
  <si>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</si>
  <si>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</si>
  <si>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</si>
  <si>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</si>
  <si>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</si>
  <si>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</si>
  <si>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</si>
  <si>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</si>
  <si>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</si>
  <si>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</si>
  <si>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</si>
  <si>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</si>
  <si>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</si>
  <si>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</si>
  <si>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</si>
  <si>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</si>
  <si>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</si>
  <si>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</si>
  <si>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</si>
  <si>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</si>
  <si>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</si>
  <si>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</si>
  <si>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</si>
  <si>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</si>
  <si>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</si>
  <si>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</si>
  <si>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</si>
  <si>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</si>
  <si>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</si>
  <si>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</si>
  <si>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</si>
  <si>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</si>
  <si>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</si>
  <si>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</si>
  <si>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</si>
  <si>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</si>
  <si>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</si>
  <si>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</si>
  <si>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</si>
  <si>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</si>
  <si>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</si>
  <si>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</si>
  <si>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</si>
  <si>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</si>
  <si>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</si>
  <si>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</si>
  <si>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</si>
  <si>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</si>
  <si>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</si>
  <si>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</si>
  <si>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</si>
  <si>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</si>
  <si>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</si>
  <si>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</si>
  <si>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</si>
  <si>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</si>
  <si>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</si>
  <si>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</si>
  <si>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</si>
  <si>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</si>
  <si>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</si>
  <si>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</si>
  <si>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</si>
  <si>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</si>
  <si>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</si>
  <si>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</si>
  <si>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</si>
  <si>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</si>
  <si>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</si>
  <si>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</si>
  <si>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</si>
  <si>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</si>
  <si>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</si>
  <si>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</si>
  <si>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</si>
  <si>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</si>
  <si>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</si>
  <si>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</si>
  <si>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</si>
  <si>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</si>
  <si>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</si>
  <si>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</si>
  <si>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</si>
  <si>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</si>
  <si>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</si>
  <si>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</si>
  <si>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</si>
  <si>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</si>
  <si>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</si>
  <si>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</si>
  <si>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</si>
  <si>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</si>
  <si>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</si>
  <si>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</si>
  <si>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</si>
  <si>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</si>
  <si>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</si>
  <si>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</si>
  <si>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</si>
  <si>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</si>
  <si>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</si>
  <si>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</si>
  <si>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</si>
  <si>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</si>
  <si>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</si>
  <si>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</si>
  <si>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</si>
  <si>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</si>
  <si>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</si>
  <si>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</si>
  <si>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</si>
  <si>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</si>
  <si>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</si>
  <si>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</si>
  <si>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</si>
  <si>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</si>
  <si>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</si>
  <si>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</si>
  <si>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</si>
  <si>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</si>
  <si>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</si>
  <si>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</si>
  <si>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</si>
  <si>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</si>
  <si>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</si>
  <si>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</si>
  <si>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</si>
  <si>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</si>
  <si>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</si>
  <si>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</si>
  <si>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</si>
  <si>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</si>
  <si>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</si>
  <si>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</si>
  <si>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</si>
  <si>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</si>
  <si>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</si>
  <si>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</si>
  <si>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</si>
  <si>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</si>
  <si>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</si>
  <si>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</si>
  <si>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</si>
  <si>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</si>
  <si>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</si>
  <si>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</si>
  <si>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</si>
  <si>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</si>
  <si>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</si>
  <si>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</si>
  <si>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</si>
  <si>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</si>
  <si>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</si>
  <si>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</si>
  <si>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</si>
  <si>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</si>
  <si>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</si>
  <si>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</si>
  <si>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</si>
  <si>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</si>
  <si>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</si>
  <si>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</si>
  <si>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</si>
  <si>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</si>
  <si>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</si>
  <si>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</si>
  <si>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</si>
  <si>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</si>
  <si>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</si>
  <si>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</si>
  <si>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</si>
  <si>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</si>
  <si>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</si>
  <si>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</si>
  <si>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</si>
  <si>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</si>
  <si>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</si>
  <si>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</si>
  <si>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</si>
  <si>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</si>
  <si>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</si>
  <si>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</si>
  <si>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</si>
  <si>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</si>
  <si>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</si>
  <si>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</si>
  <si>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</si>
  <si>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</si>
  <si>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</si>
  <si>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</si>
  <si>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</si>
  <si>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</si>
  <si>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</si>
  <si>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</si>
  <si>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</si>
  <si>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</si>
  <si>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</si>
  <si>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</si>
  <si>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Doe2</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</si>
  <si>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</si>
  <si>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</si>
  <si>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</si>
  <si>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</si>
  <si>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</si>
  <si>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</si>
  <si>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</si>
  <si>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</si>
  <si>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</si>
  <si>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</si>
  <si>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</si>
  <si>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</si>
  <si>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</si>
  <si>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</si>
  <si>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</si>
  <si>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</si>
  <si>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</si>
  <si>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</si>
  <si>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</si>
  <si>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</si>
  <si>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</si>
  <si>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</si>
  <si>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</si>
  <si>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</si>
  <si>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</si>
  <si>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</si>
  <si>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</si>
  <si>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</si>
  <si>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</si>
  <si>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</si>
  <si>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Jane2</t>
  </si>
  <si>
    <t>jane2.doe2@test.edu</t>
  </si>
  <si>
    <t>Doe3</t>
  </si>
  <si>
    <t>John3</t>
  </si>
  <si>
    <t>John4</t>
  </si>
  <si>
    <t>Doe4</t>
  </si>
  <si>
    <t>john3.doe3@rtest.edu</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</si>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</sst>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2">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2">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6758</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Jane2 Doe2</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tabSelected="1" zoomScale="90" zoomScaleNormal="90" workbookViewId="0">
      <pane xSplit="4" ySplit="12" topLeftCell="S13" activePane="bottomRight" state="frozen"/>
      <selection pane="topRight" activeCell="E1" sqref="E1"/>
      <selection pane="bottomLeft" activeCell="A13" sqref="A13"/>
      <selection pane="bottomRight" activeCell="BD16" sqref="BD16"/>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29" t="s">
        <v>5994</v>
      </c>
      <c r="K8" s="330"/>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6720</v>
      </c>
      <c r="BC11" s="197"/>
      <c r="BD11" s="180" t="s">
        <v>6752</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
      </c>
      <c r="R13" s="87"/>
      <c r="S13" s="79" t="str">
        <f t="shared" ref="S13" si="2">IF(ISBLANK(S$11),"",S$11)</f>
        <v/>
      </c>
      <c r="T13" s="87"/>
      <c r="U13" s="218" t="s">
        <v>6743</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6720</v>
      </c>
      <c r="BC13" s="79" t="str" cm="1">
        <f t="array" ref="BC13">MultiMatch(Persons[[#This Row],[Person.achieved.MultiReference.LearningAchievement.]],AchievementNames,0)</f>
        <v>13</v>
      </c>
      <c r="BD13" s="87" t="s">
        <v>6752</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Jane2 Doe2</v>
      </c>
      <c r="C14" s="216" t="s">
        <v>6744</v>
      </c>
      <c r="D14" s="216" t="s">
        <v>6713</v>
      </c>
      <c r="E14" s="303"/>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
      </c>
      <c r="R14" s="87"/>
      <c r="S14" s="98" t="str">
        <f>IF(ISBLANK(S$11),"",S$11)</f>
        <v/>
      </c>
      <c r="T14" s="87"/>
      <c r="U14" s="218" t="s">
        <v>6745</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6720</v>
      </c>
      <c r="BC14" s="98" t="str" cm="1">
        <f t="array" ref="BC14">MultiMatch(Persons[[#This Row],[Person.achieved.MultiReference.LearningAchievement.]],AchievementNames,0)</f>
        <v>13</v>
      </c>
      <c r="BD14" s="315" t="s">
        <v>6752</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6747</v>
      </c>
      <c r="D15" s="216" t="s">
        <v>6746</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
      </c>
      <c r="R15" s="87"/>
      <c r="S15" s="98" t="str">
        <f>IF(ISBLANK(S$11),"",S$11)</f>
        <v/>
      </c>
      <c r="T15" s="87"/>
      <c r="U15" s="218" t="s">
        <v>6750</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6720</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6748</v>
      </c>
      <c r="D16" s="216" t="s">
        <v>6749</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
      </c>
      <c r="R16" s="87"/>
      <c r="S16" s="98" t="str">
        <f>IF(ISBLANK(S$11),"",S$11)</f>
        <v/>
      </c>
      <c r="T16" s="87"/>
      <c r="U16" s="218" t="s">
        <v>6751</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6720</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13" sqref="DU13"/>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29" t="s">
        <v>319</v>
      </c>
      <c r="DU8" s="330"/>
      <c r="DV8" s="331" t="s">
        <v>320</v>
      </c>
      <c r="DW8" s="332"/>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6714</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6715</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6716</v>
      </c>
      <c r="BI13" s="103" t="s">
        <v>6717</v>
      </c>
      <c r="BJ13" s="103" t="s">
        <v>6718</v>
      </c>
      <c r="BK13" s="87" t="s">
        <v>6719</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GD13" activePane="bottomRight" state="frozen"/>
      <selection pane="topRight" activeCell="AB1" sqref="AB1"/>
      <selection pane="bottomLeft" activeCell="A13" sqref="A13"/>
      <selection pane="bottomRight" activeCell="IM13" sqref="IM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3" t="s">
        <v>430</v>
      </c>
      <c r="CC1" s="334"/>
      <c r="CD1" s="334"/>
      <c r="CE1" s="334"/>
      <c r="CF1" s="334"/>
      <c r="CG1" s="334"/>
      <c r="CH1" s="334"/>
      <c r="CI1" s="334"/>
      <c r="CJ1" s="334"/>
      <c r="CK1" s="334"/>
      <c r="CL1" s="334"/>
      <c r="CM1" s="334"/>
      <c r="CN1" s="334"/>
      <c r="CO1" s="334"/>
      <c r="CP1" s="334"/>
      <c r="CQ1" s="334"/>
      <c r="CR1" s="334"/>
      <c r="CS1" s="334"/>
      <c r="CT1" s="334"/>
      <c r="CU1" s="334"/>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6720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6721</v>
      </c>
      <c r="BN13" s="90">
        <f>IF(ISBLANK(Achievements[[#This Row],[LearningAchievement.wasDerivedFrom.Reference.Assessment.]]),"",(MATCH(Achievements[[#This Row],[LearningAchievement.wasDerivedFrom.Reference.Assessment.]],AssessmentNames,0)+12))</f>
        <v>13</v>
      </c>
      <c r="BO13" s="87" t="s">
        <v>6722</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6730</v>
      </c>
      <c r="EL13" s="104" t="str" cm="1">
        <f t="array" ref="EL13">MultiMatch(Achievements[[#This Row],[LearningAchievement.specifiedBy.learningOutcome.MultiReference.LearningOutcome.]],LearningOutcomeNames,0)</f>
        <v>14; 15; 16</v>
      </c>
      <c r="EM13" s="184"/>
      <c r="EN13" s="184"/>
      <c r="EO13" s="162"/>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6" sqref="AE16"/>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6723</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6726</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6735</v>
      </c>
      <c r="BP14" s="304" t="str">
        <f>IF(ISBLANK(BQ14),"",BN$11)</f>
        <v>http://data.europa.eu/esco/model#Skill</v>
      </c>
      <c r="BQ14" s="305" t="s">
        <v>6736</v>
      </c>
      <c r="BR14" s="304" t="str">
        <f>IF(ISBLANK(BS14),"",BN$11)</f>
        <v>http://data.europa.eu/esco/model#Skill</v>
      </c>
      <c r="BS14" s="305" t="s">
        <v>6738</v>
      </c>
      <c r="BT14" s="322" t="str">
        <f>IF(ISBLANK(BU14),"",BT$11)</f>
        <v/>
      </c>
      <c r="BU14" s="310"/>
      <c r="BV14" s="305"/>
      <c r="BW14" s="306" t="str">
        <f>IF(ISBLANK(BX14),"",BT$11)</f>
        <v/>
      </c>
      <c r="BX14" s="311"/>
      <c r="BY14" s="305"/>
      <c r="BZ14" s="306" t="str">
        <f>IF(ISBLANK(CA14),"",BT$11)</f>
        <v/>
      </c>
      <c r="CA14" s="310"/>
      <c r="CB14" s="305"/>
    </row>
    <row r="15" spans="1:80" ht="29.1" customHeight="1">
      <c r="B15" s="235" t="s">
        <v>6724</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6727</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6734</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6725</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6728</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6733</v>
      </c>
      <c r="BP16" s="304" t="str">
        <f>IF(ISBLANK(BQ16),"",BN$11)</f>
        <v>http://data.europa.eu/esco/model#Skill</v>
      </c>
      <c r="BQ16" s="305" t="s">
        <v>6729</v>
      </c>
      <c r="BR16" s="304" t="str">
        <f>IF(ISBLANK(BS16),"",BN$11)</f>
        <v>http://data.europa.eu/esco/model#Skill</v>
      </c>
      <c r="BS16" s="305" t="s">
        <v>6737</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AE14" activePane="bottomRight" state="frozen"/>
      <selection pane="topRight" activeCell="AB1" sqref="AB1"/>
      <selection pane="bottomLeft" activeCell="A13" sqref="A13"/>
      <selection pane="bottomRight" activeCell="GJ16" sqref="GJ16"/>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5" t="s">
        <v>430</v>
      </c>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6731</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6732</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6739</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6740</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6741</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6742</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zoomScale="90" zoomScaleNormal="90" workbookViewId="0">
      <pane xSplit="30" ySplit="12" topLeftCell="AE13" activePane="bottomRight" state="frozen"/>
      <selection pane="topRight" activeCell="AB1" sqref="AB1"/>
      <selection pane="bottomLeft" activeCell="A13" sqref="A13"/>
      <selection pane="bottomRight" activeCell="A11" sqref="A11"/>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7" t="s">
        <v>430</v>
      </c>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9" t="s">
        <v>1067</v>
      </c>
      <c r="GP1" s="339"/>
      <c r="GQ1" s="339"/>
      <c r="GR1" s="339"/>
      <c r="GS1" s="339"/>
      <c r="GT1" s="339"/>
      <c r="GU1" s="339"/>
      <c r="GV1" s="339"/>
      <c r="GW1" s="339"/>
      <c r="GX1" s="339"/>
      <c r="GY1" s="339"/>
      <c r="GZ1" s="339"/>
      <c r="HA1" s="339"/>
      <c r="HB1" s="339"/>
      <c r="HC1" s="339"/>
      <c r="HD1" s="339"/>
      <c r="HE1" s="339"/>
      <c r="HF1" s="339"/>
      <c r="HG1" s="339"/>
      <c r="HH1" s="339"/>
      <c r="HI1" s="339"/>
      <c r="HJ1" s="339"/>
      <c r="HK1" s="339"/>
      <c r="HL1" s="339"/>
      <c r="HM1" s="339"/>
      <c r="HN1" s="339"/>
      <c r="HO1" s="339"/>
      <c r="HP1" s="339"/>
      <c r="HQ1" s="339"/>
      <c r="HR1" s="339"/>
      <c r="HS1" s="339"/>
      <c r="HT1" s="339"/>
      <c r="HU1" s="339"/>
      <c r="HV1" s="339"/>
      <c r="HW1" s="339"/>
      <c r="HX1" s="339"/>
      <c r="HY1" s="339"/>
      <c r="HZ1" s="339"/>
      <c r="IA1" s="339"/>
      <c r="IB1" s="339"/>
      <c r="IC1" s="339"/>
      <c r="ID1" s="339"/>
      <c r="IE1" s="339"/>
      <c r="IF1" s="339"/>
      <c r="IG1" s="339"/>
      <c r="IH1" s="339"/>
      <c r="II1" s="339"/>
      <c r="IJ1" s="339"/>
      <c r="IK1" s="339"/>
      <c r="IL1" s="339"/>
      <c r="IM1" s="339"/>
      <c r="IN1" s="339"/>
      <c r="IO1" s="339"/>
      <c r="IP1" s="339"/>
      <c r="IQ1" s="339"/>
      <c r="IR1" s="339"/>
      <c r="IS1" s="339"/>
      <c r="IT1" s="339"/>
      <c r="IU1" s="339"/>
      <c r="IV1" s="339"/>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6721</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6756</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6753</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t="s">
        <v>6757</v>
      </c>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6754</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t="s">
        <v>6757</v>
      </c>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6755</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t="s">
        <v>6757</v>
      </c>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0" t="s">
        <v>430</v>
      </c>
      <c r="BO1" s="341"/>
      <c r="BP1" s="341"/>
      <c r="BQ1" s="341"/>
      <c r="BR1" s="341"/>
      <c r="BS1" s="341"/>
      <c r="BT1" s="34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c r="DA1" s="341"/>
      <c r="DB1" s="341"/>
      <c r="DC1" s="341"/>
      <c r="DD1" s="341"/>
      <c r="DE1" s="341"/>
      <c r="DF1" s="341"/>
      <c r="DG1" s="341"/>
      <c r="DH1" s="341"/>
      <c r="DI1" s="341"/>
      <c r="DJ1" s="341"/>
      <c r="DK1" s="341"/>
      <c r="DL1" s="341"/>
      <c r="DM1" s="341"/>
      <c r="DN1" s="341"/>
      <c r="DO1" s="341"/>
      <c r="DP1" s="341"/>
      <c r="DQ1" s="341"/>
      <c r="DR1" s="341"/>
      <c r="DS1" s="341"/>
      <c r="DT1" s="341"/>
      <c r="DU1" s="341"/>
      <c r="DV1" s="341"/>
      <c r="DW1" s="341"/>
      <c r="DX1" s="341"/>
      <c r="DY1" s="341"/>
      <c r="DZ1" s="341"/>
      <c r="EA1" s="341"/>
      <c r="EB1" s="341"/>
      <c r="EC1" s="341"/>
      <c r="ED1" s="341"/>
      <c r="EE1" s="341"/>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2021-12-15T15:47:28Z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