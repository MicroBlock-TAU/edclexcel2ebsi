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defaultThemeVersion="124226"/>
  <mc:AlternateContent xmlns:mc="http://schemas.openxmlformats.org/markup-compatibility/2006">
    <mc:Choice Requires="x15">
      <x15ac:absPath xmlns:x15ac="http://schemas.microsoft.com/office/spreadsheetml/2010/11/ac" url="C:\Users\hylli\koodit\microblock\edclexcel2ebsi\"/>
    </mc:Choice>
  </mc:AlternateContent>
  <xr:revisionPtr revIDLastSave="0" documentId="13_ncr:1_{3A398088-7524-46C4-9732-D30012F94208}" xr6:coauthVersionLast="47" xr6:coauthVersionMax="47" xr10:uidLastSave="{00000000-0000-0000-0000-000000000000}"/>
  <bookViews>
    <workbookView xWindow="810" yWindow="810" windowWidth="21600" windowHeight="11385" tabRatio="859" activeTab="7" xr2:uid="{00000000-000D-0000-FFFF-FFFF00000000}"/>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state="hidden" r:id="rId10"/>
    <sheet name="Service" sheetId="8" state="hidden" r:id="rId11"/>
    <sheet name="ToDo" sheetId="11" state="hidden" r:id="rId12"/>
  </sheets>
  <functionGroups builtInGroupCount="19"/>
  <definedNames>
    <definedName name="AchievementNames">Achievements[LearningAchievement.title.Property.content.en]</definedName>
    <definedName name="ActivityNames">Activities[LearningActivity.title.Property.content.en]</definedName>
    <definedName name="Albanian_Qualifications_Framework">References!$D$1022:$D$1029</definedName>
    <definedName name="AssessmentNames">Assessments[Assessment.title.Property.content.en]</definedName>
    <definedName name="assessmentTypeNames">References!$D$1445:$D$1458</definedName>
    <definedName name="Austrian_Qualifications_Framework">References!$D$1030:$D$1037</definedName>
    <definedName name="Belgian_Qualifications_Framework_Flemish">References!$D$1120:$D$1127</definedName>
    <definedName name="Belgian_Qualifications_Framework_French">References!$D$1128:$D$1135</definedName>
    <definedName name="Belgian_Qualifications_Framework_German">References!$D$1136:$D$1143</definedName>
    <definedName name="Bosnia_and_Herzegovina_Qualifications_Framework">References!$D$1038:$D$1045</definedName>
    <definedName name="Bulgarian_Qualifications_Framework">References!$D$1046:$D$1054</definedName>
    <definedName name="CountryNames">References!$D$47:$D$328</definedName>
    <definedName name="CredentialTypeNames">References!$D$42:$D$46</definedName>
    <definedName name="Croatian_Qualifications_Framework">References!$D$1055:$D$1065</definedName>
    <definedName name="Cypriot_Qualifications_Framework">References!$D$1066:$D$1077</definedName>
    <definedName name="Czech_Qualifications_Framework">References!$D$1078:$D$1085</definedName>
    <definedName name="Danish_Qualifications_Framework">References!$D$1086:$D$1093</definedName>
    <definedName name="Dutch_Qualifications_Framework">References!$D$1094:$D$1103</definedName>
    <definedName name="EntitlementNames">Entitlements[Column1]</definedName>
    <definedName name="EntitlementStatusNames">References!$D$1439:$D$1440</definedName>
    <definedName name="entitlementTypeNames">References!$D$1436:$D$1438</definedName>
    <definedName name="EQF_Levels">References!$D$971:$D$978</definedName>
    <definedName name="Estonian_Qualifications_Framework">References!$D$1104:$D$1111</definedName>
    <definedName name="EULanguageNames">References!$D$13:$D$41</definedName>
    <definedName name="Finnish_Qualifications_Framework">References!$D$1112:$D$1119</definedName>
    <definedName name="French_Qualifications_Framework">References!$D$1144:$D$1149</definedName>
    <definedName name="GenderNames">References!$D$1441:$D$1444</definedName>
    <definedName name="German_Qualifications_Framework">References!$D$1150:$D$1157</definedName>
    <definedName name="Greek_Qualifications_Framework">References!$D$1158:$D$1165</definedName>
    <definedName name="Hungarian_Qualifications_Framework">References!$D$1166:$D$1173</definedName>
    <definedName name="Icelandic_Qualifications_Framework">References!$D$1174:$D$1182</definedName>
    <definedName name="IDVerificationNames">References!$D$1432:$D$1435</definedName>
    <definedName name="Irish_Qualifications_Framework">References!$D$1183:$D$1192</definedName>
    <definedName name="ISCEDFLabels">References!$D$329:$D$548</definedName>
    <definedName name="Italian_Qualifications_Framework">References!$D$1193:$D$1200</definedName>
    <definedName name="Kosovo_Qualifications_Framework">References!$D$1201:$D$1208</definedName>
    <definedName name="LanguageNames">References!$D$549:$D$942</definedName>
    <definedName name="LanguageNamesFull">References!$D$549:$D$942</definedName>
    <definedName name="Latvian_Qualifications_Framework">References!$D$1209:$D$1216</definedName>
    <definedName name="LearningActivityTypeNames">References!$D$1403:$D$1413</definedName>
    <definedName name="LearningOpportunityTypeNames">References!$D$1414:$D$1425</definedName>
    <definedName name="LearningOutcomeNames">LearningOutcomes[LearningOutcome.name.Property.content.en]</definedName>
    <definedName name="LearningSettingNames">References!$D$949:$D$950</definedName>
    <definedName name="Lichtenstein_Qualifications_Framework">References!$D$1254:$D$1261</definedName>
    <definedName name="Lithuanian_Qualifications_Framework">References!$D$1217:$D$1224</definedName>
    <definedName name="LOTypeNames">References!$D$1430:$D$1431</definedName>
    <definedName name="Luxembourg_Qualifications_Framework">References!$D$1225:$D$1232</definedName>
    <definedName name="Macedonian_Qualifications_Framework">References!$D$1270:$D$1283</definedName>
    <definedName name="Maltese_Qualifications_Framework">References!$D$1233:$D$1242</definedName>
    <definedName name="ModeOfLearningNames">References!$D$943:$D$948</definedName>
    <definedName name="Montenegrin_Qualifications_Framework">References!$D$1243:$D$1253</definedName>
    <definedName name="Norwegian_Qualifications_Framework">References!$D$1284:$D$1293</definedName>
    <definedName name="NQFLevels">References!$D$1022:$D$1402</definedName>
    <definedName name="NQFNames">References!$D$979:$D$1021</definedName>
    <definedName name="NQFSelector">Achievements!$BX$11</definedName>
    <definedName name="OrganisationNames">Organisations[Organisation.preferredName.Property.content.en]</definedName>
    <definedName name="PersonNames">Persons[Person.fullName.Property.content.en]</definedName>
    <definedName name="Polish_Qualifications_Framework">References!$D$1294:$D$1301</definedName>
    <definedName name="Portuguese_Qualifications_Framework">References!$D$1302:$D$1309</definedName>
    <definedName name="Qualifications_Framework_England_and_Northern_Ireland">References!$D$1310:$D$1319</definedName>
    <definedName name="Qualifications_Framework_Scotland">References!$D$1329:$D$1340</definedName>
    <definedName name="Qualifications_Framework_Wales">References!$D$1320:$D$1328</definedName>
    <definedName name="Romanian_Qualifications_Framework">References!$D$1341:$D$1348</definedName>
    <definedName name="Serbian_Qualifications_Framework">References!$D$1349:$D$1360</definedName>
    <definedName name="SkillReuseNames">References!$D$1426:$D$1429</definedName>
    <definedName name="Slovak_Qualifications_Framework">References!$D$1361:$D$1368</definedName>
    <definedName name="Slovenian_Qualifications_Framework">References!$D$1369:$D$1378</definedName>
    <definedName name="Spanish_Qualifications_Framework">References!$D$1379:$D$1386</definedName>
    <definedName name="Swedish_Qualifications_Framework">References!$D$1387:$D$1394</definedName>
    <definedName name="Swiss_Qualifications_Framework">References!$D$1262:$D$1269</definedName>
    <definedName name="TargetGroupNames">References!$D$951:$D$970</definedName>
    <definedName name="Turkish_Qualifications_Framework">References!$D$1395:$D$1402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 i="1" l="1"/>
  <c r="E16" i="1"/>
  <c r="F16" i="1"/>
  <c r="G16" i="1"/>
  <c r="H16" i="1"/>
  <c r="I16" i="1"/>
  <c r="J16" i="1"/>
  <c r="K16" i="1"/>
  <c r="L16" i="1"/>
  <c r="M16" i="1"/>
  <c r="N16" i="1"/>
  <c r="O16" i="1"/>
  <c r="P16" i="1"/>
  <c r="Q16" i="1"/>
  <c r="R16" i="1"/>
  <c r="S16" i="1"/>
  <c r="T16" i="1"/>
  <c r="V16" i="1"/>
  <c r="W16" i="1"/>
  <c r="X16" i="1"/>
  <c r="Y16" i="1"/>
  <c r="Z16" i="1"/>
  <c r="AA16" i="1"/>
  <c r="AB16" i="1"/>
  <c r="AC16" i="1"/>
  <c r="AF16" i="1"/>
  <c r="AH16" i="1"/>
  <c r="AI16" i="1"/>
  <c r="AJ16" i="1"/>
  <c r="AK16" i="1"/>
  <c r="AL16" i="1"/>
  <c r="AM16" i="1"/>
  <c r="AN16" i="1"/>
  <c r="AO16" i="1"/>
  <c r="AP16" i="1"/>
  <c r="AQ16" i="1"/>
  <c r="AR16" i="1"/>
  <c r="AS16" i="1"/>
  <c r="AT16" i="1"/>
  <c r="AU16" i="1"/>
  <c r="AV16" i="1"/>
  <c r="AW16" i="1"/>
  <c r="AY16" i="1"/>
  <c r="AZ16" i="1"/>
  <c r="BA16" i="1"/>
  <c r="BB16" i="1"/>
  <c r="BC16" i="1"/>
  <c r="BD16" i="1"/>
  <c r="BE16" i="1"/>
  <c r="BF16" i="1"/>
  <c r="BI16" i="1"/>
  <c r="BJ16" i="1"/>
  <c r="BK16" i="1"/>
  <c r="BL16" i="1"/>
  <c r="BS16" i="1"/>
  <c r="BT16" i="1"/>
  <c r="BU16" i="1"/>
  <c r="CW16" i="1"/>
  <c r="CX16" i="1"/>
  <c r="CY16" i="1"/>
  <c r="EB16" i="1"/>
  <c r="EC16" i="1"/>
  <c r="FF16" i="1"/>
  <c r="FG16" i="1"/>
  <c r="GJ16" i="1"/>
  <c r="GK16" i="1"/>
  <c r="HN16" i="1"/>
  <c r="C15" i="1"/>
  <c r="E15" i="1"/>
  <c r="F15" i="1"/>
  <c r="G15" i="1"/>
  <c r="H15" i="1"/>
  <c r="I15" i="1"/>
  <c r="J15" i="1"/>
  <c r="K15" i="1"/>
  <c r="L15" i="1"/>
  <c r="M15" i="1"/>
  <c r="N15" i="1"/>
  <c r="O15" i="1"/>
  <c r="P15" i="1"/>
  <c r="Q15" i="1"/>
  <c r="R15" i="1"/>
  <c r="S15" i="1"/>
  <c r="T15" i="1"/>
  <c r="V15" i="1"/>
  <c r="W15" i="1"/>
  <c r="X15" i="1"/>
  <c r="Y15" i="1"/>
  <c r="Z15" i="1"/>
  <c r="AA15" i="1"/>
  <c r="AB15" i="1"/>
  <c r="AC15" i="1"/>
  <c r="AF15" i="1"/>
  <c r="AH15" i="1"/>
  <c r="AI15" i="1"/>
  <c r="AJ15" i="1"/>
  <c r="AK15" i="1"/>
  <c r="AL15" i="1"/>
  <c r="AM15" i="1"/>
  <c r="AN15" i="1"/>
  <c r="AO15" i="1"/>
  <c r="AP15" i="1"/>
  <c r="AQ15" i="1"/>
  <c r="AR15" i="1"/>
  <c r="AS15" i="1"/>
  <c r="AT15" i="1"/>
  <c r="AU15" i="1"/>
  <c r="AV15" i="1"/>
  <c r="AW15" i="1"/>
  <c r="AY15" i="1"/>
  <c r="AZ15" i="1"/>
  <c r="BA15" i="1"/>
  <c r="BB15" i="1"/>
  <c r="BC15" i="1"/>
  <c r="BD15" i="1"/>
  <c r="BE15" i="1"/>
  <c r="BF15" i="1"/>
  <c r="BI15" i="1"/>
  <c r="BJ15" i="1"/>
  <c r="BK15" i="1"/>
  <c r="BL15" i="1"/>
  <c r="BS15" i="1"/>
  <c r="BT15" i="1"/>
  <c r="BU15" i="1"/>
  <c r="CW15" i="1"/>
  <c r="CX15" i="1"/>
  <c r="CY15" i="1"/>
  <c r="EB15" i="1"/>
  <c r="EC15" i="1"/>
  <c r="FF15" i="1"/>
  <c r="FG15" i="1"/>
  <c r="GJ15" i="1"/>
  <c r="GK15" i="1"/>
  <c r="HN15" i="1"/>
  <c r="C14" i="1"/>
  <c r="E14" i="1"/>
  <c r="F14" i="1"/>
  <c r="G14" i="1"/>
  <c r="H14" i="1"/>
  <c r="I14" i="1"/>
  <c r="J14" i="1"/>
  <c r="K14" i="1"/>
  <c r="L14" i="1"/>
  <c r="M14" i="1"/>
  <c r="N14" i="1"/>
  <c r="O14" i="1"/>
  <c r="P14" i="1"/>
  <c r="Q14" i="1"/>
  <c r="R14" i="1"/>
  <c r="S14" i="1"/>
  <c r="T14" i="1"/>
  <c r="V14" i="1"/>
  <c r="W14" i="1"/>
  <c r="X14" i="1"/>
  <c r="Y14" i="1"/>
  <c r="Z14" i="1"/>
  <c r="AA14" i="1"/>
  <c r="AB14" i="1"/>
  <c r="AC14" i="1"/>
  <c r="AF14" i="1"/>
  <c r="AH14" i="1"/>
  <c r="AI14" i="1"/>
  <c r="AJ14" i="1"/>
  <c r="AK14" i="1"/>
  <c r="AL14" i="1"/>
  <c r="AM14" i="1"/>
  <c r="AN14" i="1"/>
  <c r="AO14" i="1"/>
  <c r="AP14" i="1"/>
  <c r="AQ14" i="1"/>
  <c r="AR14" i="1"/>
  <c r="AS14" i="1"/>
  <c r="AT14" i="1"/>
  <c r="AU14" i="1"/>
  <c r="AV14" i="1"/>
  <c r="AW14" i="1"/>
  <c r="AY14" i="1"/>
  <c r="AZ14" i="1"/>
  <c r="BA14" i="1"/>
  <c r="BB14" i="1"/>
  <c r="BC14" i="1"/>
  <c r="BD14" i="1"/>
  <c r="BE14" i="1"/>
  <c r="BF14" i="1"/>
  <c r="BI14" i="1"/>
  <c r="BJ14" i="1"/>
  <c r="BK14" i="1"/>
  <c r="BL14" i="1"/>
  <c r="BS14" i="1"/>
  <c r="BT14" i="1"/>
  <c r="BU14" i="1"/>
  <c r="CW14" i="1"/>
  <c r="CX14" i="1"/>
  <c r="CY14" i="1"/>
  <c r="EB14" i="1"/>
  <c r="EC14" i="1"/>
  <c r="FF14" i="1"/>
  <c r="FG14" i="1"/>
  <c r="GJ14" i="1"/>
  <c r="GK14" i="1"/>
  <c r="HN14" i="1"/>
  <c r="C13" i="1"/>
  <c r="E13" i="1"/>
  <c r="F13" i="1"/>
  <c r="G13" i="1"/>
  <c r="H13" i="1"/>
  <c r="I13" i="1"/>
  <c r="J13" i="1"/>
  <c r="K13" i="1"/>
  <c r="L13" i="1"/>
  <c r="M13" i="1"/>
  <c r="N13" i="1"/>
  <c r="O13" i="1"/>
  <c r="P13" i="1"/>
  <c r="Q13" i="1"/>
  <c r="R13" i="1"/>
  <c r="S13" i="1"/>
  <c r="T13" i="1"/>
  <c r="V13" i="1"/>
  <c r="W13" i="1"/>
  <c r="X13" i="1"/>
  <c r="Y13" i="1"/>
  <c r="Z13" i="1"/>
  <c r="AA13" i="1"/>
  <c r="AB13" i="1"/>
  <c r="AC13" i="1"/>
  <c r="AF13" i="1"/>
  <c r="AH13" i="1"/>
  <c r="AI13" i="1"/>
  <c r="AJ13" i="1"/>
  <c r="AK13" i="1"/>
  <c r="AL13" i="1"/>
  <c r="AM13" i="1"/>
  <c r="AN13" i="1"/>
  <c r="AO13" i="1"/>
  <c r="AP13" i="1"/>
  <c r="AQ13" i="1"/>
  <c r="AR13" i="1"/>
  <c r="AS13" i="1"/>
  <c r="AT13" i="1"/>
  <c r="AU13" i="1"/>
  <c r="AV13" i="1"/>
  <c r="AW13" i="1"/>
  <c r="AY13" i="1"/>
  <c r="AZ13" i="1"/>
  <c r="BA13" i="1"/>
  <c r="BB13" i="1"/>
  <c r="BC13" i="1"/>
  <c r="BD13" i="1"/>
  <c r="BE13" i="1"/>
  <c r="BF13" i="1"/>
  <c r="BI13" i="1"/>
  <c r="BJ13" i="1"/>
  <c r="BK13" i="1"/>
  <c r="BL13" i="1"/>
  <c r="BQ16" i="1" a="1"/>
  <c r="BM16" i="1" a="1"/>
  <c r="BO15" i="1" a="1"/>
  <c r="BQ15" i="1" a="1"/>
  <c r="BM15" i="1" a="1"/>
  <c r="BO14" i="1" a="1"/>
  <c r="BM14" i="1" a="1"/>
  <c r="BM13" i="1" a="1"/>
  <c r="BQ14" i="1" a="1"/>
  <c r="BO13" i="1" a="1"/>
  <c r="BO16" i="1" a="1"/>
  <c r="BQ13" i="1" a="1"/>
  <c r="BM16" i="1" l="1"/>
  <c r="BQ16" i="1"/>
  <c r="BO16" i="1"/>
  <c r="BM15" i="1"/>
  <c r="BQ15" i="1"/>
  <c r="BO15" i="1"/>
  <c r="BM14" i="1"/>
  <c r="BQ14" i="1"/>
  <c r="BO14" i="1"/>
  <c r="BM13" i="1"/>
  <c r="BQ13" i="1"/>
  <c r="BO13" i="1"/>
  <c r="AE17" i="6" l="1"/>
  <c r="BJ17" i="6"/>
  <c r="BL17" i="6"/>
  <c r="BN17" i="6"/>
  <c r="BQ17" i="6"/>
  <c r="CT17" i="6"/>
  <c r="DZ17" i="6"/>
  <c r="EB17" i="6"/>
  <c r="ED17" i="6"/>
  <c r="EG17" i="6"/>
  <c r="EH17" i="6"/>
  <c r="EI17" i="6"/>
  <c r="EJ17" i="6"/>
  <c r="EK17" i="6"/>
  <c r="EL17" i="6"/>
  <c r="EM17" i="6"/>
  <c r="EN17" i="6"/>
  <c r="EO17" i="6"/>
  <c r="EP17" i="6"/>
  <c r="EQ17" i="6"/>
  <c r="ER17" i="6"/>
  <c r="ES17" i="6"/>
  <c r="ET17" i="6"/>
  <c r="EU17" i="6"/>
  <c r="EV17" i="6"/>
  <c r="EW17" i="6"/>
  <c r="EX17" i="6"/>
  <c r="EZ17" i="6"/>
  <c r="FA17" i="6"/>
  <c r="FB17" i="6"/>
  <c r="FC17" i="6"/>
  <c r="FD17" i="6"/>
  <c r="FE17" i="6"/>
  <c r="FF17" i="6"/>
  <c r="FG17" i="6"/>
  <c r="FJ17" i="6"/>
  <c r="FK17" i="6"/>
  <c r="FL17" i="6"/>
  <c r="FM17" i="6"/>
  <c r="FN17" i="6"/>
  <c r="FO17" i="6"/>
  <c r="FP17" i="6"/>
  <c r="FQ17" i="6"/>
  <c r="FR17" i="6"/>
  <c r="FS17" i="6"/>
  <c r="FT17" i="6"/>
  <c r="FU17" i="6"/>
  <c r="FV17" i="6"/>
  <c r="FW17" i="6"/>
  <c r="FX17" i="6"/>
  <c r="FY17" i="6"/>
  <c r="FZ17" i="6"/>
  <c r="GA17" i="6"/>
  <c r="GB17" i="6"/>
  <c r="GC17" i="6"/>
  <c r="GD17" i="6"/>
  <c r="GE17" i="6"/>
  <c r="GF17" i="6"/>
  <c r="GG17" i="6"/>
  <c r="GH17" i="6"/>
  <c r="GI17" i="6"/>
  <c r="GJ17" i="6"/>
  <c r="GK17" i="6"/>
  <c r="GL17" i="6"/>
  <c r="GM17" i="6"/>
  <c r="GN17" i="6"/>
  <c r="GO17" i="6"/>
  <c r="GP17" i="6"/>
  <c r="GQ17" i="6"/>
  <c r="GR17" i="6"/>
  <c r="GS17" i="6"/>
  <c r="GT17" i="6"/>
  <c r="GU17" i="6"/>
  <c r="GV17" i="6"/>
  <c r="GW17" i="6"/>
  <c r="GX17" i="6"/>
  <c r="GY17" i="6"/>
  <c r="GZ17" i="6"/>
  <c r="HA17" i="6"/>
  <c r="HB17" i="6"/>
  <c r="HC17" i="6"/>
  <c r="HD17" i="6"/>
  <c r="HE17" i="6"/>
  <c r="HG17" i="6"/>
  <c r="HH17" i="6"/>
  <c r="HI17" i="6"/>
  <c r="HJ17" i="6"/>
  <c r="HK17" i="6"/>
  <c r="HL17" i="6"/>
  <c r="HM17" i="6"/>
  <c r="HN17" i="6"/>
  <c r="HQ17" i="6"/>
  <c r="HT17" i="6"/>
  <c r="HU17" i="6"/>
  <c r="HV17" i="6"/>
  <c r="HW17" i="6"/>
  <c r="HX17" i="6"/>
  <c r="HY17" i="6"/>
  <c r="HZ17" i="6"/>
  <c r="IA17" i="6"/>
  <c r="IB17" i="6"/>
  <c r="IC17" i="6"/>
  <c r="ID17" i="6"/>
  <c r="IE17" i="6"/>
  <c r="IF17" i="6"/>
  <c r="IG17" i="6"/>
  <c r="IH17" i="6"/>
  <c r="II17" i="6"/>
  <c r="IJ17" i="6"/>
  <c r="IL17" i="6"/>
  <c r="IM17" i="6"/>
  <c r="IN17" i="6"/>
  <c r="IO17" i="6"/>
  <c r="IP17" i="6"/>
  <c r="IQ17" i="6"/>
  <c r="IR17" i="6"/>
  <c r="IS17" i="6"/>
  <c r="IV17" i="6"/>
  <c r="AE16" i="6"/>
  <c r="BJ16" i="6"/>
  <c r="BL16" i="6"/>
  <c r="BN16" i="6"/>
  <c r="BQ16" i="6"/>
  <c r="CT16" i="6"/>
  <c r="DZ16" i="6"/>
  <c r="EB16" i="6"/>
  <c r="ED16" i="6"/>
  <c r="EG16" i="6"/>
  <c r="EH16" i="6"/>
  <c r="EI16" i="6"/>
  <c r="EJ16" i="6"/>
  <c r="EK16" i="6"/>
  <c r="EL16" i="6"/>
  <c r="EM16" i="6"/>
  <c r="EN16" i="6"/>
  <c r="EO16" i="6"/>
  <c r="EP16" i="6"/>
  <c r="EQ16" i="6"/>
  <c r="ER16" i="6"/>
  <c r="ES16" i="6"/>
  <c r="ET16" i="6"/>
  <c r="EU16" i="6"/>
  <c r="EV16" i="6"/>
  <c r="EW16" i="6"/>
  <c r="EX16" i="6"/>
  <c r="EZ16" i="6"/>
  <c r="FA16" i="6"/>
  <c r="FB16" i="6"/>
  <c r="FC16" i="6"/>
  <c r="FD16" i="6"/>
  <c r="FE16" i="6"/>
  <c r="FF16" i="6"/>
  <c r="FG16" i="6"/>
  <c r="FJ16" i="6"/>
  <c r="FK16" i="6"/>
  <c r="FL16" i="6"/>
  <c r="FM16" i="6"/>
  <c r="FN16" i="6"/>
  <c r="FO16" i="6"/>
  <c r="FP16" i="6"/>
  <c r="FQ16" i="6"/>
  <c r="FR16" i="6"/>
  <c r="FS16" i="6"/>
  <c r="FT16" i="6"/>
  <c r="FU16" i="6"/>
  <c r="FV16" i="6"/>
  <c r="FW16" i="6"/>
  <c r="FX16" i="6"/>
  <c r="FY16" i="6"/>
  <c r="FZ16" i="6"/>
  <c r="GA16" i="6"/>
  <c r="GB16" i="6"/>
  <c r="GC16" i="6"/>
  <c r="GD16" i="6"/>
  <c r="GE16" i="6"/>
  <c r="GF16" i="6"/>
  <c r="GG16" i="6"/>
  <c r="GH16" i="6"/>
  <c r="GI16" i="6"/>
  <c r="GJ16" i="6"/>
  <c r="GK16" i="6"/>
  <c r="GL16" i="6"/>
  <c r="GM16" i="6"/>
  <c r="GN16" i="6"/>
  <c r="GO16" i="6"/>
  <c r="GP16" i="6"/>
  <c r="GQ16" i="6"/>
  <c r="GR16" i="6"/>
  <c r="GS16" i="6"/>
  <c r="GT16" i="6"/>
  <c r="GU16" i="6"/>
  <c r="GV16" i="6"/>
  <c r="GW16" i="6"/>
  <c r="GX16" i="6"/>
  <c r="GY16" i="6"/>
  <c r="GZ16" i="6"/>
  <c r="HA16" i="6"/>
  <c r="HB16" i="6"/>
  <c r="HC16" i="6"/>
  <c r="HD16" i="6"/>
  <c r="HE16" i="6"/>
  <c r="HG16" i="6"/>
  <c r="HH16" i="6"/>
  <c r="HI16" i="6"/>
  <c r="HJ16" i="6"/>
  <c r="HK16" i="6"/>
  <c r="HL16" i="6"/>
  <c r="HM16" i="6"/>
  <c r="HN16" i="6"/>
  <c r="HQ16" i="6"/>
  <c r="HT16" i="6"/>
  <c r="HU16" i="6"/>
  <c r="HV16" i="6"/>
  <c r="HW16" i="6"/>
  <c r="HX16" i="6"/>
  <c r="HY16" i="6"/>
  <c r="HZ16" i="6"/>
  <c r="IA16" i="6"/>
  <c r="IB16" i="6"/>
  <c r="IC16" i="6"/>
  <c r="ID16" i="6"/>
  <c r="IE16" i="6"/>
  <c r="IF16" i="6"/>
  <c r="IG16" i="6"/>
  <c r="IH16" i="6"/>
  <c r="II16" i="6"/>
  <c r="IJ16" i="6"/>
  <c r="IL16" i="6"/>
  <c r="IM16" i="6"/>
  <c r="IN16" i="6"/>
  <c r="IO16" i="6"/>
  <c r="IP16" i="6"/>
  <c r="IQ16" i="6"/>
  <c r="IR16" i="6"/>
  <c r="IS16" i="6"/>
  <c r="IV16" i="6"/>
  <c r="AE15" i="6"/>
  <c r="BJ15" i="6"/>
  <c r="BL15" i="6"/>
  <c r="BN15" i="6"/>
  <c r="BQ15" i="6"/>
  <c r="CT15" i="6"/>
  <c r="DZ15" i="6"/>
  <c r="EB15" i="6"/>
  <c r="ED15" i="6"/>
  <c r="EG15" i="6"/>
  <c r="EH15" i="6"/>
  <c r="EI15" i="6"/>
  <c r="EJ15" i="6"/>
  <c r="EK15" i="6"/>
  <c r="EL15" i="6"/>
  <c r="EM15" i="6"/>
  <c r="EN15" i="6"/>
  <c r="EO15" i="6"/>
  <c r="EP15" i="6"/>
  <c r="EQ15" i="6"/>
  <c r="ER15" i="6"/>
  <c r="ES15" i="6"/>
  <c r="ET15" i="6"/>
  <c r="EU15" i="6"/>
  <c r="EV15" i="6"/>
  <c r="EW15" i="6"/>
  <c r="EX15" i="6"/>
  <c r="EZ15" i="6"/>
  <c r="FA15" i="6"/>
  <c r="FB15" i="6"/>
  <c r="FC15" i="6"/>
  <c r="FD15" i="6"/>
  <c r="FE15" i="6"/>
  <c r="FF15" i="6"/>
  <c r="FG15" i="6"/>
  <c r="FJ15" i="6"/>
  <c r="FK15" i="6"/>
  <c r="FL15" i="6"/>
  <c r="FM15" i="6"/>
  <c r="FN15" i="6"/>
  <c r="FO15" i="6"/>
  <c r="FP15" i="6"/>
  <c r="FQ15" i="6"/>
  <c r="FR15" i="6"/>
  <c r="FS15" i="6"/>
  <c r="FT15" i="6"/>
  <c r="FU15" i="6"/>
  <c r="FV15" i="6"/>
  <c r="FW15" i="6"/>
  <c r="FX15" i="6"/>
  <c r="FY15" i="6"/>
  <c r="FZ15" i="6"/>
  <c r="GA15" i="6"/>
  <c r="GB15" i="6"/>
  <c r="GC15" i="6"/>
  <c r="GD15" i="6"/>
  <c r="GE15" i="6"/>
  <c r="GF15" i="6"/>
  <c r="GG15" i="6"/>
  <c r="GH15" i="6"/>
  <c r="GI15" i="6"/>
  <c r="GJ15" i="6"/>
  <c r="GK15" i="6"/>
  <c r="GL15" i="6"/>
  <c r="GM15" i="6"/>
  <c r="GN15" i="6"/>
  <c r="GO15" i="6"/>
  <c r="GP15" i="6"/>
  <c r="GQ15" i="6"/>
  <c r="GR15" i="6"/>
  <c r="GS15" i="6"/>
  <c r="GT15" i="6"/>
  <c r="GU15" i="6"/>
  <c r="GV15" i="6"/>
  <c r="GW15" i="6"/>
  <c r="GX15" i="6"/>
  <c r="GY15" i="6"/>
  <c r="GZ15" i="6"/>
  <c r="HA15" i="6"/>
  <c r="HB15" i="6"/>
  <c r="HC15" i="6"/>
  <c r="HD15" i="6"/>
  <c r="HE15" i="6"/>
  <c r="HG15" i="6"/>
  <c r="HH15" i="6"/>
  <c r="HI15" i="6"/>
  <c r="HJ15" i="6"/>
  <c r="HK15" i="6"/>
  <c r="HL15" i="6"/>
  <c r="HM15" i="6"/>
  <c r="HN15" i="6"/>
  <c r="HQ15" i="6"/>
  <c r="HT15" i="6"/>
  <c r="HU15" i="6"/>
  <c r="HV15" i="6"/>
  <c r="HW15" i="6"/>
  <c r="HX15" i="6"/>
  <c r="HY15" i="6"/>
  <c r="HZ15" i="6"/>
  <c r="IA15" i="6"/>
  <c r="IB15" i="6"/>
  <c r="IC15" i="6"/>
  <c r="ID15" i="6"/>
  <c r="IE15" i="6"/>
  <c r="IF15" i="6"/>
  <c r="IG15" i="6"/>
  <c r="IH15" i="6"/>
  <c r="II15" i="6"/>
  <c r="IJ15" i="6"/>
  <c r="IL15" i="6"/>
  <c r="IM15" i="6"/>
  <c r="IN15" i="6"/>
  <c r="IO15" i="6"/>
  <c r="IP15" i="6"/>
  <c r="IQ15" i="6"/>
  <c r="IR15" i="6"/>
  <c r="IS15" i="6"/>
  <c r="IV15" i="6"/>
  <c r="AE14" i="6"/>
  <c r="BJ14" i="6"/>
  <c r="BL14" i="6"/>
  <c r="BN14" i="6"/>
  <c r="BQ14" i="6"/>
  <c r="CT14" i="6"/>
  <c r="DZ14" i="6"/>
  <c r="EB14" i="6"/>
  <c r="ED14" i="6"/>
  <c r="EG14" i="6"/>
  <c r="EH14" i="6"/>
  <c r="EI14" i="6"/>
  <c r="EJ14" i="6"/>
  <c r="EK14" i="6"/>
  <c r="EL14" i="6"/>
  <c r="EM14" i="6"/>
  <c r="EN14" i="6"/>
  <c r="EO14" i="6"/>
  <c r="EP14" i="6"/>
  <c r="EQ14" i="6"/>
  <c r="ER14" i="6"/>
  <c r="ES14" i="6"/>
  <c r="ET14" i="6"/>
  <c r="EU14" i="6"/>
  <c r="EV14" i="6"/>
  <c r="EW14" i="6"/>
  <c r="EX14" i="6"/>
  <c r="EZ14" i="6"/>
  <c r="FA14" i="6"/>
  <c r="FB14" i="6"/>
  <c r="FC14" i="6"/>
  <c r="FD14" i="6"/>
  <c r="FE14" i="6"/>
  <c r="FF14" i="6"/>
  <c r="FG14" i="6"/>
  <c r="FJ14" i="6"/>
  <c r="FK14" i="6"/>
  <c r="FL14" i="6"/>
  <c r="FM14" i="6"/>
  <c r="FN14" i="6"/>
  <c r="FO14" i="6"/>
  <c r="FP14" i="6"/>
  <c r="FQ14" i="6"/>
  <c r="FR14" i="6"/>
  <c r="FS14" i="6"/>
  <c r="FT14" i="6"/>
  <c r="FU14" i="6"/>
  <c r="FV14" i="6"/>
  <c r="FW14" i="6"/>
  <c r="FX14" i="6"/>
  <c r="FY14" i="6"/>
  <c r="FZ14" i="6"/>
  <c r="GA14" i="6"/>
  <c r="GB14" i="6"/>
  <c r="GC14" i="6"/>
  <c r="GD14" i="6"/>
  <c r="GE14" i="6"/>
  <c r="GF14" i="6"/>
  <c r="GG14" i="6"/>
  <c r="GH14" i="6"/>
  <c r="GI14" i="6"/>
  <c r="GJ14" i="6"/>
  <c r="GK14" i="6"/>
  <c r="GL14" i="6"/>
  <c r="GM14" i="6"/>
  <c r="GN14" i="6"/>
  <c r="GP14" i="6"/>
  <c r="GQ14" i="6"/>
  <c r="GR14" i="6"/>
  <c r="GS14" i="6"/>
  <c r="GT14" i="6"/>
  <c r="GU14" i="6"/>
  <c r="GV14" i="6"/>
  <c r="GW14" i="6"/>
  <c r="GX14" i="6"/>
  <c r="GY14" i="6"/>
  <c r="GZ14" i="6"/>
  <c r="HA14" i="6"/>
  <c r="HB14" i="6"/>
  <c r="HC14" i="6"/>
  <c r="HD14" i="6"/>
  <c r="HE14" i="6"/>
  <c r="HG14" i="6"/>
  <c r="HH14" i="6"/>
  <c r="HI14" i="6"/>
  <c r="HJ14" i="6"/>
  <c r="HK14" i="6"/>
  <c r="HL14" i="6"/>
  <c r="HM14" i="6"/>
  <c r="HN14" i="6"/>
  <c r="HQ14" i="6"/>
  <c r="HT14" i="6"/>
  <c r="HU14" i="6"/>
  <c r="HV14" i="6"/>
  <c r="HW14" i="6"/>
  <c r="HX14" i="6"/>
  <c r="HY14" i="6"/>
  <c r="HZ14" i="6"/>
  <c r="IA14" i="6"/>
  <c r="IB14" i="6"/>
  <c r="IC14" i="6"/>
  <c r="ID14" i="6"/>
  <c r="IE14" i="6"/>
  <c r="IF14" i="6"/>
  <c r="IG14" i="6"/>
  <c r="IH14" i="6"/>
  <c r="II14" i="6"/>
  <c r="IJ14" i="6"/>
  <c r="IL14" i="6"/>
  <c r="IM14" i="6"/>
  <c r="IN14" i="6"/>
  <c r="IO14" i="6"/>
  <c r="IP14" i="6"/>
  <c r="IQ14" i="6"/>
  <c r="IR14" i="6"/>
  <c r="IS14" i="6"/>
  <c r="IV14" i="6"/>
  <c r="B16" i="2"/>
  <c r="BN16" i="1" s="1"/>
  <c r="K16" i="2"/>
  <c r="L16" i="2" s="1"/>
  <c r="M16" i="2"/>
  <c r="O16" i="2"/>
  <c r="Q16" i="2"/>
  <c r="S16" i="2"/>
  <c r="AZ16" i="2"/>
  <c r="BD16" i="2"/>
  <c r="BF16" i="2"/>
  <c r="B15" i="2"/>
  <c r="BN15" i="1" s="1"/>
  <c r="K15" i="2"/>
  <c r="L15" i="2" s="1"/>
  <c r="M15" i="2"/>
  <c r="O15" i="2"/>
  <c r="Q15" i="2"/>
  <c r="S15" i="2"/>
  <c r="AZ15" i="2"/>
  <c r="BD15" i="2"/>
  <c r="BF15" i="2"/>
  <c r="B14" i="2"/>
  <c r="BN14" i="1" s="1"/>
  <c r="K14" i="2"/>
  <c r="L14" i="2"/>
  <c r="M14" i="2"/>
  <c r="O14" i="2"/>
  <c r="Q14" i="2"/>
  <c r="S14" i="2"/>
  <c r="AZ14" i="2"/>
  <c r="BF14" i="2"/>
  <c r="AE16" i="5"/>
  <c r="BM16" i="5"/>
  <c r="BO16" i="5"/>
  <c r="BP16" i="5"/>
  <c r="BQ16" i="5"/>
  <c r="BR16" i="5"/>
  <c r="BS16" i="5"/>
  <c r="BT16" i="5"/>
  <c r="BU16" i="5"/>
  <c r="BV16" i="5"/>
  <c r="BW16" i="5"/>
  <c r="BX16" i="5"/>
  <c r="BY16" i="5"/>
  <c r="BZ16" i="5"/>
  <c r="CA16" i="5"/>
  <c r="CB16" i="5"/>
  <c r="CC16" i="5"/>
  <c r="CD16" i="5"/>
  <c r="CE16" i="5"/>
  <c r="CG16" i="5"/>
  <c r="CH16" i="5"/>
  <c r="CI16" i="5"/>
  <c r="CJ16" i="5"/>
  <c r="CK16" i="5"/>
  <c r="CL16" i="5"/>
  <c r="CM16" i="5"/>
  <c r="CN16" i="5"/>
  <c r="CQ16" i="5"/>
  <c r="CR16" i="5"/>
  <c r="CS16" i="5"/>
  <c r="CT16" i="5"/>
  <c r="CU16" i="5"/>
  <c r="CV16" i="5"/>
  <c r="CW16" i="5"/>
  <c r="CX16" i="5"/>
  <c r="CY16" i="5"/>
  <c r="CZ16" i="5"/>
  <c r="DA16" i="5"/>
  <c r="DB16" i="5"/>
  <c r="DC16" i="5"/>
  <c r="DD16" i="5"/>
  <c r="DE16" i="5"/>
  <c r="DF16" i="5"/>
  <c r="DG16" i="5"/>
  <c r="DH16" i="5"/>
  <c r="DJ16" i="5"/>
  <c r="DK16" i="5"/>
  <c r="DL16" i="5"/>
  <c r="DM16" i="5"/>
  <c r="DN16" i="5"/>
  <c r="DO16" i="5"/>
  <c r="DP16" i="5"/>
  <c r="DQ16" i="5"/>
  <c r="DT16" i="5"/>
  <c r="DU16" i="5"/>
  <c r="DY16" i="5"/>
  <c r="DZ16" i="5"/>
  <c r="EA16" i="5"/>
  <c r="EB16" i="5"/>
  <c r="EC16" i="5"/>
  <c r="ED16" i="5"/>
  <c r="EE16" i="5"/>
  <c r="EF16" i="5"/>
  <c r="EG16" i="5"/>
  <c r="EH16" i="5"/>
  <c r="EI16" i="5"/>
  <c r="EJ16" i="5"/>
  <c r="EK16" i="5"/>
  <c r="EL16" i="5"/>
  <c r="EM16" i="5"/>
  <c r="EN16" i="5"/>
  <c r="EO16" i="5"/>
  <c r="EQ16" i="5"/>
  <c r="ER16" i="5"/>
  <c r="ES16" i="5"/>
  <c r="ET16" i="5"/>
  <c r="EU16" i="5"/>
  <c r="EV16" i="5"/>
  <c r="EW16" i="5"/>
  <c r="EX16" i="5"/>
  <c r="FA16" i="5"/>
  <c r="FB16" i="5"/>
  <c r="GM16" i="5"/>
  <c r="GO16" i="5"/>
  <c r="GP16" i="5"/>
  <c r="GQ16" i="5"/>
  <c r="GR16" i="5"/>
  <c r="GS16" i="5"/>
  <c r="GT16" i="5"/>
  <c r="GU16" i="5"/>
  <c r="GV16" i="5"/>
  <c r="GW16" i="5"/>
  <c r="GX16" i="5"/>
  <c r="GY16" i="5"/>
  <c r="GZ16" i="5"/>
  <c r="HA16" i="5"/>
  <c r="HB16" i="5"/>
  <c r="HC16" i="5"/>
  <c r="HD16" i="5"/>
  <c r="HE16" i="5"/>
  <c r="HF16" i="5"/>
  <c r="HG16" i="5"/>
  <c r="HI16" i="5"/>
  <c r="HJ16" i="5"/>
  <c r="HK16" i="5"/>
  <c r="HL16" i="5"/>
  <c r="HM16" i="5"/>
  <c r="HN16" i="5"/>
  <c r="HO16" i="5"/>
  <c r="HP16" i="5"/>
  <c r="HS16" i="5"/>
  <c r="HT16" i="5"/>
  <c r="HU16" i="5"/>
  <c r="HV16" i="5"/>
  <c r="HW16" i="5"/>
  <c r="HX16" i="5"/>
  <c r="HY16" i="5"/>
  <c r="HZ16" i="5"/>
  <c r="IA16" i="5"/>
  <c r="IB16" i="5"/>
  <c r="IC16" i="5"/>
  <c r="ID16" i="5"/>
  <c r="IE16" i="5"/>
  <c r="IF16" i="5"/>
  <c r="IG16" i="5"/>
  <c r="IH16" i="5"/>
  <c r="II16" i="5"/>
  <c r="IJ16" i="5"/>
  <c r="IK16" i="5"/>
  <c r="IL16" i="5"/>
  <c r="IM16" i="5"/>
  <c r="IN16" i="5"/>
  <c r="IO16" i="5"/>
  <c r="IP16" i="5"/>
  <c r="IQ16" i="5"/>
  <c r="IR16" i="5"/>
  <c r="IS16" i="5"/>
  <c r="IT16" i="5"/>
  <c r="IU16" i="5"/>
  <c r="IV16" i="5"/>
  <c r="IW16" i="5"/>
  <c r="AE15" i="5"/>
  <c r="BM15" i="5"/>
  <c r="BO15" i="5"/>
  <c r="BP15" i="5"/>
  <c r="BQ15" i="5"/>
  <c r="BR15" i="5"/>
  <c r="BS15" i="5"/>
  <c r="BT15" i="5"/>
  <c r="BU15" i="5"/>
  <c r="BV15" i="5"/>
  <c r="BW15" i="5"/>
  <c r="BX15" i="5"/>
  <c r="BY15" i="5"/>
  <c r="BZ15" i="5"/>
  <c r="CA15" i="5"/>
  <c r="CB15" i="5"/>
  <c r="CC15" i="5"/>
  <c r="CD15" i="5"/>
  <c r="CE15" i="5"/>
  <c r="CG15" i="5"/>
  <c r="CH15" i="5"/>
  <c r="CI15" i="5"/>
  <c r="CJ15" i="5"/>
  <c r="CK15" i="5"/>
  <c r="CL15" i="5"/>
  <c r="CM15" i="5"/>
  <c r="CN15" i="5"/>
  <c r="CQ15" i="5"/>
  <c r="CR15" i="5"/>
  <c r="CS15" i="5"/>
  <c r="CT15" i="5"/>
  <c r="CU15" i="5"/>
  <c r="CV15" i="5"/>
  <c r="CW15" i="5"/>
  <c r="CX15" i="5"/>
  <c r="CY15" i="5"/>
  <c r="CZ15" i="5"/>
  <c r="DA15" i="5"/>
  <c r="DB15" i="5"/>
  <c r="DC15" i="5"/>
  <c r="DD15" i="5"/>
  <c r="DE15" i="5"/>
  <c r="DF15" i="5"/>
  <c r="DG15" i="5"/>
  <c r="DH15" i="5"/>
  <c r="DJ15" i="5"/>
  <c r="DK15" i="5"/>
  <c r="DL15" i="5"/>
  <c r="DM15" i="5"/>
  <c r="DN15" i="5"/>
  <c r="DO15" i="5"/>
  <c r="DP15" i="5"/>
  <c r="DQ15" i="5"/>
  <c r="DT15" i="5"/>
  <c r="DU15" i="5"/>
  <c r="DY15" i="5"/>
  <c r="DZ15" i="5"/>
  <c r="EA15" i="5"/>
  <c r="EB15" i="5"/>
  <c r="EC15" i="5"/>
  <c r="ED15" i="5"/>
  <c r="EE15" i="5"/>
  <c r="EF15" i="5"/>
  <c r="EG15" i="5"/>
  <c r="EH15" i="5"/>
  <c r="EI15" i="5"/>
  <c r="EJ15" i="5"/>
  <c r="EK15" i="5"/>
  <c r="EL15" i="5"/>
  <c r="EM15" i="5"/>
  <c r="EN15" i="5"/>
  <c r="EO15" i="5"/>
  <c r="EQ15" i="5"/>
  <c r="ER15" i="5"/>
  <c r="ES15" i="5"/>
  <c r="ET15" i="5"/>
  <c r="EU15" i="5"/>
  <c r="EV15" i="5"/>
  <c r="EW15" i="5"/>
  <c r="EX15" i="5"/>
  <c r="FA15" i="5"/>
  <c r="FB15" i="5"/>
  <c r="GM15" i="5"/>
  <c r="GO15" i="5"/>
  <c r="GP15" i="5"/>
  <c r="GQ15" i="5"/>
  <c r="GR15" i="5"/>
  <c r="GS15" i="5"/>
  <c r="GT15" i="5"/>
  <c r="GU15" i="5"/>
  <c r="GV15" i="5"/>
  <c r="GW15" i="5"/>
  <c r="GX15" i="5"/>
  <c r="GY15" i="5"/>
  <c r="GZ15" i="5"/>
  <c r="HA15" i="5"/>
  <c r="HB15" i="5"/>
  <c r="HC15" i="5"/>
  <c r="HD15" i="5"/>
  <c r="HE15" i="5"/>
  <c r="HF15" i="5"/>
  <c r="HG15" i="5"/>
  <c r="HI15" i="5"/>
  <c r="HJ15" i="5"/>
  <c r="HK15" i="5"/>
  <c r="HL15" i="5"/>
  <c r="HM15" i="5"/>
  <c r="HN15" i="5"/>
  <c r="HO15" i="5"/>
  <c r="HP15" i="5"/>
  <c r="HS15" i="5"/>
  <c r="HT15" i="5"/>
  <c r="HU15" i="5"/>
  <c r="HV15" i="5"/>
  <c r="HW15" i="5"/>
  <c r="HX15" i="5"/>
  <c r="HY15" i="5"/>
  <c r="HZ15" i="5"/>
  <c r="IA15" i="5"/>
  <c r="IB15" i="5"/>
  <c r="IC15" i="5"/>
  <c r="ID15" i="5"/>
  <c r="IE15" i="5"/>
  <c r="IF15" i="5"/>
  <c r="IG15" i="5"/>
  <c r="IH15" i="5"/>
  <c r="II15" i="5"/>
  <c r="IJ15" i="5"/>
  <c r="IK15" i="5"/>
  <c r="IL15" i="5"/>
  <c r="IM15" i="5"/>
  <c r="IN15" i="5"/>
  <c r="IO15" i="5"/>
  <c r="IP15" i="5"/>
  <c r="IQ15" i="5"/>
  <c r="IR15" i="5"/>
  <c r="IS15" i="5"/>
  <c r="IT15" i="5"/>
  <c r="IU15" i="5"/>
  <c r="IV15" i="5"/>
  <c r="IW15" i="5"/>
  <c r="AE14" i="5"/>
  <c r="BM14" i="5"/>
  <c r="BO14" i="5"/>
  <c r="BP14" i="5"/>
  <c r="BQ14" i="5"/>
  <c r="BR14" i="5"/>
  <c r="BS14" i="5"/>
  <c r="BT14" i="5"/>
  <c r="BU14" i="5"/>
  <c r="BV14" i="5"/>
  <c r="BW14" i="5"/>
  <c r="BX14" i="5"/>
  <c r="BY14" i="5"/>
  <c r="BZ14" i="5"/>
  <c r="CA14" i="5"/>
  <c r="CB14" i="5"/>
  <c r="CC14" i="5"/>
  <c r="CD14" i="5"/>
  <c r="CE14" i="5"/>
  <c r="CG14" i="5"/>
  <c r="CH14" i="5"/>
  <c r="CI14" i="5"/>
  <c r="CJ14" i="5"/>
  <c r="CK14" i="5"/>
  <c r="CL14" i="5"/>
  <c r="CM14" i="5"/>
  <c r="CN14" i="5"/>
  <c r="CQ14" i="5"/>
  <c r="CR14" i="5"/>
  <c r="CS14" i="5"/>
  <c r="CT14" i="5"/>
  <c r="CU14" i="5"/>
  <c r="CV14" i="5"/>
  <c r="CW14" i="5"/>
  <c r="CX14" i="5"/>
  <c r="CY14" i="5"/>
  <c r="CZ14" i="5"/>
  <c r="DA14" i="5"/>
  <c r="DB14" i="5"/>
  <c r="DC14" i="5"/>
  <c r="DD14" i="5"/>
  <c r="DE14" i="5"/>
  <c r="DF14" i="5"/>
  <c r="DG14" i="5"/>
  <c r="DH14" i="5"/>
  <c r="DJ14" i="5"/>
  <c r="DK14" i="5"/>
  <c r="DL14" i="5"/>
  <c r="DM14" i="5"/>
  <c r="DN14" i="5"/>
  <c r="DO14" i="5"/>
  <c r="DP14" i="5"/>
  <c r="DQ14" i="5"/>
  <c r="DT14" i="5"/>
  <c r="DU14" i="5"/>
  <c r="DY14" i="5"/>
  <c r="DZ14" i="5"/>
  <c r="EA14" i="5"/>
  <c r="EB14" i="5"/>
  <c r="EC14" i="5"/>
  <c r="ED14" i="5"/>
  <c r="EE14" i="5"/>
  <c r="EF14" i="5"/>
  <c r="EG14" i="5"/>
  <c r="EH14" i="5"/>
  <c r="EI14" i="5"/>
  <c r="EJ14" i="5"/>
  <c r="EK14" i="5"/>
  <c r="EL14" i="5"/>
  <c r="EM14" i="5"/>
  <c r="EN14" i="5"/>
  <c r="EO14" i="5"/>
  <c r="EQ14" i="5"/>
  <c r="ER14" i="5"/>
  <c r="ES14" i="5"/>
  <c r="ET14" i="5"/>
  <c r="EU14" i="5"/>
  <c r="EV14" i="5"/>
  <c r="EW14" i="5"/>
  <c r="EX14" i="5"/>
  <c r="FA14" i="5"/>
  <c r="FB14" i="5"/>
  <c r="GM14" i="5"/>
  <c r="GO14" i="5"/>
  <c r="GP14" i="5"/>
  <c r="GQ14" i="5"/>
  <c r="GR14" i="5"/>
  <c r="GS14" i="5"/>
  <c r="GT14" i="5"/>
  <c r="GU14" i="5"/>
  <c r="GV14" i="5"/>
  <c r="GW14" i="5"/>
  <c r="GX14" i="5"/>
  <c r="GY14" i="5"/>
  <c r="GZ14" i="5"/>
  <c r="HA14" i="5"/>
  <c r="HB14" i="5"/>
  <c r="HC14" i="5"/>
  <c r="HD14" i="5"/>
  <c r="HE14" i="5"/>
  <c r="HF14" i="5"/>
  <c r="HG14" i="5"/>
  <c r="HI14" i="5"/>
  <c r="HJ14" i="5"/>
  <c r="HK14" i="5"/>
  <c r="HL14" i="5"/>
  <c r="HM14" i="5"/>
  <c r="HN14" i="5"/>
  <c r="HO14" i="5"/>
  <c r="HP14" i="5"/>
  <c r="HS14" i="5"/>
  <c r="HT14" i="5"/>
  <c r="HU14" i="5"/>
  <c r="HV14" i="5"/>
  <c r="HW14" i="5"/>
  <c r="HX14" i="5"/>
  <c r="HY14" i="5"/>
  <c r="HZ14" i="5"/>
  <c r="IA14" i="5"/>
  <c r="IB14" i="5"/>
  <c r="IC14" i="5"/>
  <c r="ID14" i="5"/>
  <c r="IE14" i="5"/>
  <c r="IF14" i="5"/>
  <c r="IG14" i="5"/>
  <c r="IH14" i="5"/>
  <c r="II14" i="5"/>
  <c r="IJ14" i="5"/>
  <c r="IK14" i="5"/>
  <c r="IL14" i="5"/>
  <c r="IM14" i="5"/>
  <c r="IN14" i="5"/>
  <c r="IO14" i="5"/>
  <c r="IP14" i="5"/>
  <c r="IQ14" i="5"/>
  <c r="IR14" i="5"/>
  <c r="IS14" i="5"/>
  <c r="IT14" i="5"/>
  <c r="IU14" i="5"/>
  <c r="IV14" i="5"/>
  <c r="IW14" i="5"/>
  <c r="BN16" i="12"/>
  <c r="BP16" i="12"/>
  <c r="BR16" i="12"/>
  <c r="BT16" i="12"/>
  <c r="BW16" i="12"/>
  <c r="BZ16" i="12"/>
  <c r="BN15" i="12"/>
  <c r="BP15" i="12"/>
  <c r="BR15" i="12"/>
  <c r="BT15" i="12"/>
  <c r="BW15" i="12"/>
  <c r="BZ15" i="12"/>
  <c r="BN14" i="12"/>
  <c r="BP14" i="12"/>
  <c r="BR14" i="12"/>
  <c r="BT14" i="12"/>
  <c r="BW14" i="12"/>
  <c r="BZ14" i="12"/>
  <c r="EA17" i="6" a="1"/>
  <c r="EC15" i="6" a="1"/>
  <c r="EE14" i="6" a="1"/>
  <c r="BG16" i="2" a="1"/>
  <c r="N15" i="2" a="1"/>
  <c r="DV16" i="5" a="1"/>
  <c r="GI15" i="5" a="1"/>
  <c r="GK14" i="5" a="1"/>
  <c r="EA15" i="6" a="1"/>
  <c r="GI16" i="5" a="1"/>
  <c r="EC16" i="6" a="1"/>
  <c r="BK15" i="6" a="1"/>
  <c r="EA14" i="6" a="1"/>
  <c r="BE15" i="2" a="1"/>
  <c r="I14" i="2" a="1"/>
  <c r="BN16" i="5" a="1"/>
  <c r="GK15" i="5" a="1"/>
  <c r="BK16" i="12" a="1"/>
  <c r="BE16" i="2" a="1"/>
  <c r="N14" i="2" a="1"/>
  <c r="BM14" i="6" a="1"/>
  <c r="BP17" i="6" a="1"/>
  <c r="BK16" i="6" a="1"/>
  <c r="BM15" i="6" a="1"/>
  <c r="I16" i="2" a="1"/>
  <c r="BA15" i="2" a="1"/>
  <c r="P14" i="2" a="1"/>
  <c r="GN16" i="5" a="1"/>
  <c r="GN15" i="5" a="1"/>
  <c r="BM16" i="12" a="1"/>
  <c r="EE17" i="6" a="1"/>
  <c r="DX15" i="5" a="1"/>
  <c r="BG14" i="2" a="1"/>
  <c r="EC17" i="6" a="1"/>
  <c r="EA16" i="6" a="1"/>
  <c r="EE15" i="6" a="1"/>
  <c r="P16" i="2" a="1"/>
  <c r="I15" i="2" a="1"/>
  <c r="BC14" i="2" a="1"/>
  <c r="DX16" i="5" a="1"/>
  <c r="GI14" i="5" a="1"/>
  <c r="BK15" i="12" a="1"/>
  <c r="EC14" i="6" a="1"/>
  <c r="DV14" i="5" a="1"/>
  <c r="BN15" i="5" a="1"/>
  <c r="BK17" i="6" a="1"/>
  <c r="EE16" i="6" a="1"/>
  <c r="BP14" i="6" a="1"/>
  <c r="BC16" i="2" a="1"/>
  <c r="P15" i="2" a="1"/>
  <c r="BE14" i="2" a="1"/>
  <c r="GK16" i="5" a="1"/>
  <c r="DX14" i="5" a="1"/>
  <c r="BM15" i="12" a="1"/>
  <c r="BM16" i="6" a="1"/>
  <c r="BC15" i="2" a="1"/>
  <c r="BK14" i="12" a="1"/>
  <c r="GN14" i="5" a="1"/>
  <c r="BM17" i="6" a="1"/>
  <c r="BP15" i="6" a="1"/>
  <c r="BK14" i="6" a="1"/>
  <c r="BA16" i="2" a="1"/>
  <c r="BG15" i="2" a="1"/>
  <c r="BA14" i="2" a="1"/>
  <c r="DV15" i="5" a="1"/>
  <c r="BN14" i="5" a="1"/>
  <c r="BM14" i="12" a="1"/>
  <c r="BP16" i="6" a="1"/>
  <c r="N16" i="2" a="1"/>
  <c r="EA17" i="6" l="1"/>
  <c r="BM17" i="6"/>
  <c r="EE17" i="6"/>
  <c r="BK17" i="6"/>
  <c r="EC17" i="6"/>
  <c r="BP17" i="6"/>
  <c r="BM16" i="6"/>
  <c r="EE16" i="6"/>
  <c r="EA16" i="6"/>
  <c r="BK16" i="6"/>
  <c r="EC16" i="6"/>
  <c r="BP16" i="6"/>
  <c r="EE15" i="6"/>
  <c r="BM15" i="6"/>
  <c r="BK15" i="6"/>
  <c r="EA15" i="6"/>
  <c r="EC15" i="6"/>
  <c r="BP15" i="6"/>
  <c r="EA14" i="6"/>
  <c r="BM14" i="6"/>
  <c r="EE14" i="6"/>
  <c r="BK14" i="6"/>
  <c r="EC14" i="6"/>
  <c r="BP14" i="6"/>
  <c r="N16" i="2"/>
  <c r="BG16" i="2"/>
  <c r="BA16" i="2"/>
  <c r="BE16" i="2"/>
  <c r="BC16" i="2"/>
  <c r="P16" i="2"/>
  <c r="I16" i="2"/>
  <c r="N15" i="2"/>
  <c r="BG15" i="2"/>
  <c r="BC15" i="2"/>
  <c r="P15" i="2"/>
  <c r="I15" i="2"/>
  <c r="BA15" i="2"/>
  <c r="BE15" i="2"/>
  <c r="BA14" i="2"/>
  <c r="N14" i="2"/>
  <c r="BE14" i="2"/>
  <c r="BC14" i="2"/>
  <c r="P14" i="2"/>
  <c r="I14" i="2"/>
  <c r="BG14" i="2"/>
  <c r="GK16" i="5"/>
  <c r="DX16" i="5"/>
  <c r="GN16" i="5"/>
  <c r="BN16" i="5"/>
  <c r="GI16" i="5"/>
  <c r="DV16" i="5"/>
  <c r="GN15" i="5"/>
  <c r="GK15" i="5"/>
  <c r="BN15" i="5"/>
  <c r="GI15" i="5"/>
  <c r="DV15" i="5"/>
  <c r="DX15" i="5"/>
  <c r="GN14" i="5"/>
  <c r="GK14" i="5"/>
  <c r="BN14" i="5"/>
  <c r="DV14" i="5"/>
  <c r="DX14" i="5"/>
  <c r="GI14" i="5"/>
  <c r="BM16" i="12"/>
  <c r="BK16" i="12"/>
  <c r="BM15" i="12"/>
  <c r="BK15" i="12"/>
  <c r="BM14" i="12"/>
  <c r="BK14" i="12"/>
  <c r="BN13" i="12" l="1"/>
  <c r="B13" i="2"/>
  <c r="BN13" i="1" s="1"/>
  <c r="BZ13" i="12" l="1"/>
  <c r="BW13" i="12"/>
  <c r="BT13" i="12"/>
  <c r="BR13" i="12"/>
  <c r="BP13" i="12"/>
  <c r="FI8" i="1" l="1"/>
  <c r="FJ8" i="1"/>
  <c r="FK8" i="1"/>
  <c r="FL8" i="1"/>
  <c r="FM8" i="1"/>
  <c r="FN8" i="1"/>
  <c r="FO8" i="1"/>
  <c r="FP8" i="1"/>
  <c r="FQ8" i="1"/>
  <c r="FR8" i="1"/>
  <c r="FS8" i="1"/>
  <c r="FT8" i="1"/>
  <c r="FU8" i="1"/>
  <c r="FV8" i="1"/>
  <c r="FW8" i="1"/>
  <c r="FX8" i="1"/>
  <c r="FY8" i="1"/>
  <c r="FZ8" i="1"/>
  <c r="GA8" i="1"/>
  <c r="GB8" i="1"/>
  <c r="GC8" i="1"/>
  <c r="GD8" i="1"/>
  <c r="GE8" i="1"/>
  <c r="GF8" i="1"/>
  <c r="GG8" i="1"/>
  <c r="GH8" i="1"/>
  <c r="GI8" i="1"/>
  <c r="FH8" i="1"/>
  <c r="EE8" i="1"/>
  <c r="EF8" i="1"/>
  <c r="EG8" i="1"/>
  <c r="EH8" i="1"/>
  <c r="EI8" i="1"/>
  <c r="EJ8" i="1"/>
  <c r="EK8" i="1"/>
  <c r="EL8" i="1"/>
  <c r="EM8" i="1"/>
  <c r="EN8" i="1"/>
  <c r="EO8" i="1"/>
  <c r="EP8" i="1"/>
  <c r="EQ8" i="1"/>
  <c r="ER8" i="1"/>
  <c r="ES8" i="1"/>
  <c r="ET8" i="1"/>
  <c r="EU8" i="1"/>
  <c r="EV8" i="1"/>
  <c r="EW8" i="1"/>
  <c r="EX8" i="1"/>
  <c r="EY8" i="1"/>
  <c r="EZ8" i="1"/>
  <c r="FA8" i="1"/>
  <c r="FB8" i="1"/>
  <c r="FC8" i="1"/>
  <c r="FD8" i="1"/>
  <c r="FE8" i="1"/>
  <c r="ED8" i="1"/>
  <c r="DA8" i="1"/>
  <c r="DB8" i="1"/>
  <c r="DC8" i="1"/>
  <c r="DD8" i="1"/>
  <c r="DE8" i="1"/>
  <c r="DF8" i="1"/>
  <c r="DG8" i="1"/>
  <c r="DH8" i="1"/>
  <c r="DI8" i="1"/>
  <c r="DJ8" i="1"/>
  <c r="DK8" i="1"/>
  <c r="DL8" i="1"/>
  <c r="DM8" i="1"/>
  <c r="DN8" i="1"/>
  <c r="DO8" i="1"/>
  <c r="DP8" i="1"/>
  <c r="DQ8" i="1"/>
  <c r="DR8" i="1"/>
  <c r="DS8" i="1"/>
  <c r="DT8" i="1"/>
  <c r="DU8" i="1"/>
  <c r="DV8" i="1"/>
  <c r="DW8" i="1"/>
  <c r="DX8" i="1"/>
  <c r="DY8" i="1"/>
  <c r="DZ8" i="1"/>
  <c r="EA8" i="1"/>
  <c r="CZ8" i="1"/>
  <c r="CC13" i="4"/>
  <c r="GM8" i="1" l="1"/>
  <c r="GN8" i="1"/>
  <c r="GO8" i="1"/>
  <c r="GP8" i="1"/>
  <c r="GQ8" i="1"/>
  <c r="GR8" i="1"/>
  <c r="GS8" i="1"/>
  <c r="GT8" i="1"/>
  <c r="GU8" i="1"/>
  <c r="GV8" i="1"/>
  <c r="GW8" i="1"/>
  <c r="GX8" i="1"/>
  <c r="GY8" i="1"/>
  <c r="GZ8" i="1"/>
  <c r="HA8" i="1"/>
  <c r="HB8" i="1"/>
  <c r="HC8" i="1"/>
  <c r="HD8" i="1"/>
  <c r="HE8" i="1"/>
  <c r="HF8" i="1"/>
  <c r="HG8" i="1"/>
  <c r="HH8" i="1"/>
  <c r="HI8" i="1"/>
  <c r="HJ8" i="1"/>
  <c r="HK8" i="1"/>
  <c r="HL8" i="1"/>
  <c r="HM8" i="1"/>
  <c r="GL8" i="1"/>
  <c r="FL13" i="6" l="1"/>
  <c r="FM13" i="6"/>
  <c r="FN13" i="6"/>
  <c r="FO13" i="6"/>
  <c r="FP13" i="6"/>
  <c r="FQ13" i="6"/>
  <c r="FR13" i="6"/>
  <c r="FS13" i="6"/>
  <c r="FT13" i="6"/>
  <c r="FU13" i="6"/>
  <c r="FV13" i="6"/>
  <c r="FW13" i="6"/>
  <c r="FX13" i="6"/>
  <c r="FY13" i="6"/>
  <c r="FZ13" i="6"/>
  <c r="GA13" i="6"/>
  <c r="GB13" i="6"/>
  <c r="GC13" i="6"/>
  <c r="GD13" i="6"/>
  <c r="GE13" i="6"/>
  <c r="GF13" i="6"/>
  <c r="GG13" i="6"/>
  <c r="GH13" i="6"/>
  <c r="GI13" i="6"/>
  <c r="GJ13" i="6"/>
  <c r="GK13" i="6"/>
  <c r="GL13" i="6"/>
  <c r="GM13" i="6"/>
  <c r="GN13" i="6"/>
  <c r="HJ13" i="4" l="1"/>
  <c r="HK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IK13" i="4"/>
  <c r="IL13" i="4"/>
  <c r="HV13" i="5"/>
  <c r="HW13" i="5"/>
  <c r="HX13" i="5"/>
  <c r="HY13" i="5"/>
  <c r="HZ13" i="5"/>
  <c r="IA13" i="5"/>
  <c r="IB13" i="5"/>
  <c r="IC13" i="5"/>
  <c r="ID13" i="5"/>
  <c r="IE13" i="5"/>
  <c r="IF13" i="5"/>
  <c r="IG13" i="5"/>
  <c r="IH13" i="5"/>
  <c r="II13" i="5"/>
  <c r="IJ13" i="5"/>
  <c r="IK13" i="5"/>
  <c r="IL13" i="5"/>
  <c r="IM13" i="5"/>
  <c r="IN13" i="5"/>
  <c r="IO13" i="5"/>
  <c r="IP13" i="5"/>
  <c r="IQ13" i="5"/>
  <c r="IR13" i="5"/>
  <c r="IS13" i="5"/>
  <c r="IT13" i="5"/>
  <c r="IU13" i="5"/>
  <c r="IV13" i="5"/>
  <c r="IW13" i="5"/>
  <c r="HU13" i="5"/>
  <c r="BW8" i="1" l="1"/>
  <c r="BX8" i="1"/>
  <c r="BY8" i="1"/>
  <c r="BZ8" i="1"/>
  <c r="CA8" i="1"/>
  <c r="CB8" i="1"/>
  <c r="CC8" i="1"/>
  <c r="CD8" i="1"/>
  <c r="CE8" i="1"/>
  <c r="CF8" i="1"/>
  <c r="CG8" i="1"/>
  <c r="CH8" i="1"/>
  <c r="CI8" i="1"/>
  <c r="CJ8" i="1"/>
  <c r="CK8" i="1"/>
  <c r="CL8" i="1"/>
  <c r="CM8" i="1"/>
  <c r="CN8" i="1"/>
  <c r="CO8" i="1"/>
  <c r="CP8" i="1"/>
  <c r="CQ8" i="1"/>
  <c r="CR8" i="1"/>
  <c r="CS8" i="1"/>
  <c r="CT8" i="1"/>
  <c r="BV8" i="1"/>
  <c r="CU8" i="1"/>
  <c r="CV8" i="1"/>
  <c r="CW8" i="1"/>
  <c r="HI13" i="4" l="1"/>
  <c r="ED13" i="7" a="1"/>
  <c r="ED13" i="7" l="1"/>
  <c r="BQ13" i="6" l="1"/>
  <c r="BA13" i="2" a="1"/>
  <c r="BA13" i="2" l="1"/>
  <c r="BJ13" i="6"/>
  <c r="BL13" i="6"/>
  <c r="BM13" i="5" l="1"/>
  <c r="BO13" i="5"/>
  <c r="DZ13" i="6" l="1"/>
  <c r="EB13" i="6"/>
  <c r="ED13" i="6"/>
  <c r="CR13" i="5"/>
  <c r="ES13" i="4" l="1"/>
  <c r="EQ13" i="4"/>
  <c r="ER13" i="4" a="1"/>
  <c r="ER13" i="4" l="1"/>
  <c r="BV13" i="4"/>
  <c r="BX13" i="4"/>
  <c r="EI13" i="6" l="1"/>
  <c r="EJ13" i="6"/>
  <c r="EK13" i="6"/>
  <c r="EL13" i="6"/>
  <c r="EM13" i="6"/>
  <c r="EN13" i="6"/>
  <c r="EO13" i="6"/>
  <c r="EP13" i="6"/>
  <c r="EQ13" i="6"/>
  <c r="ER13" i="6"/>
  <c r="ES13" i="6"/>
  <c r="ET13" i="6"/>
  <c r="EU13" i="6"/>
  <c r="EV13" i="6"/>
  <c r="EW13" i="6"/>
  <c r="EX13" i="6"/>
  <c r="EZ13" i="6"/>
  <c r="FA13" i="6"/>
  <c r="FB13" i="6"/>
  <c r="FC13" i="6"/>
  <c r="FD13" i="6"/>
  <c r="FE13" i="6"/>
  <c r="FF13" i="6"/>
  <c r="FG13" i="6"/>
  <c r="FJ13" i="6"/>
  <c r="GO13" i="5"/>
  <c r="GG13" i="4"/>
  <c r="GH13" i="4"/>
  <c r="GI13" i="4"/>
  <c r="GJ13" i="4"/>
  <c r="GK13" i="4"/>
  <c r="GL13" i="4"/>
  <c r="GM13" i="4"/>
  <c r="GN13" i="4"/>
  <c r="GO13" i="4"/>
  <c r="GP13" i="4"/>
  <c r="GQ13" i="4"/>
  <c r="GR13" i="4"/>
  <c r="GS13" i="4"/>
  <c r="GT13" i="4"/>
  <c r="GU13" i="4"/>
  <c r="GV13" i="4"/>
  <c r="GX13" i="4"/>
  <c r="GY13" i="4"/>
  <c r="GZ13" i="4"/>
  <c r="HA13" i="4"/>
  <c r="HB13" i="4"/>
  <c r="HC13" i="4"/>
  <c r="HD13" i="4"/>
  <c r="HE13" i="4"/>
  <c r="HH13" i="4"/>
  <c r="GQ13" i="5" l="1"/>
  <c r="GR13" i="5"/>
  <c r="GS13" i="5"/>
  <c r="GT13" i="5"/>
  <c r="GU13" i="5"/>
  <c r="GV13" i="5"/>
  <c r="GW13" i="5"/>
  <c r="GX13" i="5"/>
  <c r="GY13" i="5"/>
  <c r="GZ13" i="5"/>
  <c r="HA13" i="5"/>
  <c r="HB13" i="5"/>
  <c r="HC13" i="5"/>
  <c r="HD13" i="5"/>
  <c r="HE13" i="5"/>
  <c r="HF13" i="5"/>
  <c r="HG13" i="5"/>
  <c r="HI13" i="5"/>
  <c r="HJ13" i="5"/>
  <c r="HK13" i="5"/>
  <c r="HL13" i="5"/>
  <c r="HM13" i="5"/>
  <c r="HN13" i="5"/>
  <c r="HO13" i="5"/>
  <c r="HP13" i="5"/>
  <c r="HS13" i="5"/>
  <c r="HT13" i="5"/>
  <c r="BR13" i="4" a="1"/>
  <c r="BR13" i="4" l="1"/>
  <c r="GP13" i="5"/>
  <c r="BZ13" i="4" l="1"/>
  <c r="CA13" i="4" a="1"/>
  <c r="BY13" i="4" a="1"/>
  <c r="CA13" i="4" l="1"/>
  <c r="BY13" i="4"/>
  <c r="DX13" i="5" a="1"/>
  <c r="DX13" i="5" l="1"/>
  <c r="DU13" i="5" l="1"/>
  <c r="DV13" i="5" a="1"/>
  <c r="DV13" i="5" l="1"/>
  <c r="BN13" i="6"/>
  <c r="HU13" i="6" l="1"/>
  <c r="HV13" i="6"/>
  <c r="HW13" i="6"/>
  <c r="HX13" i="6"/>
  <c r="HY13" i="6"/>
  <c r="HZ13" i="6"/>
  <c r="IA13" i="6"/>
  <c r="IB13" i="6"/>
  <c r="IC13" i="6"/>
  <c r="ID13" i="6"/>
  <c r="IE13" i="6"/>
  <c r="IF13" i="6"/>
  <c r="IG13" i="6"/>
  <c r="IH13" i="6"/>
  <c r="II13" i="6"/>
  <c r="IJ13" i="6"/>
  <c r="IL13" i="6"/>
  <c r="IM13" i="6"/>
  <c r="IN13" i="6"/>
  <c r="IO13" i="6"/>
  <c r="IP13" i="6"/>
  <c r="IQ13" i="6"/>
  <c r="IR13" i="6"/>
  <c r="IS13" i="6"/>
  <c r="IV13" i="6"/>
  <c r="HT13" i="6"/>
  <c r="HR13" i="6"/>
  <c r="GP13" i="6"/>
  <c r="GQ13" i="6"/>
  <c r="GR13" i="6"/>
  <c r="GS13" i="6"/>
  <c r="GT13" i="6"/>
  <c r="GU13" i="6"/>
  <c r="GV13" i="6"/>
  <c r="GW13" i="6"/>
  <c r="GX13" i="6"/>
  <c r="GY13" i="6"/>
  <c r="GZ13" i="6"/>
  <c r="HA13" i="6"/>
  <c r="HB13" i="6"/>
  <c r="HC13" i="6"/>
  <c r="HD13" i="6"/>
  <c r="HE13" i="6"/>
  <c r="HG13" i="6"/>
  <c r="HH13" i="6"/>
  <c r="HI13" i="6"/>
  <c r="HJ13" i="6"/>
  <c r="HK13" i="6"/>
  <c r="HL13" i="6"/>
  <c r="HM13" i="6"/>
  <c r="HN13" i="6"/>
  <c r="HQ13" i="6"/>
  <c r="CA9" i="2"/>
  <c r="BZ9" i="2" l="1"/>
  <c r="BY9" i="2"/>
  <c r="BX9" i="2"/>
  <c r="BW9" i="2"/>
  <c r="BV9" i="2"/>
  <c r="BU9" i="2"/>
  <c r="BT9" i="2"/>
  <c r="BS9" i="2"/>
  <c r="BR9" i="2"/>
  <c r="BQ9" i="2"/>
  <c r="BP9" i="2"/>
  <c r="BO9" i="2"/>
  <c r="BN9" i="2"/>
  <c r="BM9" i="2"/>
  <c r="BL9" i="2"/>
  <c r="BK9" i="2"/>
  <c r="BJ9" i="2"/>
  <c r="BI9" i="2"/>
  <c r="BH9" i="2"/>
  <c r="EA13" i="6" a="1"/>
  <c r="EC13" i="6" a="1"/>
  <c r="EC13" i="6" l="1"/>
  <c r="EA13" i="6"/>
  <c r="EE13" i="6" a="1"/>
  <c r="EE13" i="6" l="1"/>
  <c r="FK13" i="6" l="1"/>
  <c r="EH13" i="6"/>
  <c r="EG13" i="6"/>
  <c r="DZ13" i="3" l="1"/>
  <c r="BN13" i="5" a="1"/>
  <c r="BN13" i="5" l="1"/>
  <c r="GF13" i="4"/>
  <c r="I13" i="2" a="1"/>
  <c r="I13" i="2" l="1"/>
  <c r="GM13" i="5"/>
  <c r="GH13" i="5"/>
  <c r="GI13" i="5" a="1"/>
  <c r="GI13" i="5" l="1"/>
  <c r="CT13" i="6"/>
  <c r="K13" i="2" l="1"/>
  <c r="M13" i="2"/>
  <c r="O13" i="2"/>
  <c r="N13" i="2" a="1"/>
  <c r="P13" i="2" a="1"/>
  <c r="N13" i="2" l="1"/>
  <c r="P13" i="2"/>
  <c r="AH13" i="7"/>
  <c r="AG13" i="7"/>
  <c r="AE13" i="7"/>
  <c r="BP11" i="1"/>
  <c r="BP15" i="1" l="1"/>
  <c r="BP16" i="1"/>
  <c r="BP13" i="1"/>
  <c r="BP14" i="1"/>
  <c r="DX13" i="3"/>
  <c r="S13" i="2"/>
  <c r="Q13" i="2"/>
  <c r="AG13" i="4"/>
  <c r="BC13" i="2" a="1"/>
  <c r="BC13" i="2" l="1"/>
  <c r="C18" i="10" l="1"/>
  <c r="BE13" i="2" a="1"/>
  <c r="BE13" i="2" l="1"/>
  <c r="CU13" i="7" l="1"/>
  <c r="BN13" i="7"/>
  <c r="CT13" i="7" a="1"/>
  <c r="CR13" i="7" a="1"/>
  <c r="EB13" i="7" a="1"/>
  <c r="BM13" i="7" a="1"/>
  <c r="EB13" i="7" l="1"/>
  <c r="CT13" i="7"/>
  <c r="CR13" i="7"/>
  <c r="BM13" i="7"/>
  <c r="AE13" i="6"/>
  <c r="BP13" i="6" a="1"/>
  <c r="BM13" i="6" a="1"/>
  <c r="BK13" i="6" a="1"/>
  <c r="BP13" i="6" l="1"/>
  <c r="BM13" i="6"/>
  <c r="BK13" i="6"/>
  <c r="FB13" i="5"/>
  <c r="AE13" i="5"/>
  <c r="GJ13" i="5" l="1"/>
  <c r="DZ13" i="5"/>
  <c r="EA13" i="5"/>
  <c r="EB13" i="5"/>
  <c r="EC13" i="5"/>
  <c r="ED13" i="5"/>
  <c r="EE13" i="5"/>
  <c r="EF13" i="5"/>
  <c r="EG13" i="5"/>
  <c r="EH13" i="5"/>
  <c r="EI13" i="5"/>
  <c r="EJ13" i="5"/>
  <c r="EK13" i="5"/>
  <c r="EL13" i="5"/>
  <c r="EM13" i="5"/>
  <c r="EN13" i="5"/>
  <c r="EO13" i="5"/>
  <c r="EQ13" i="5"/>
  <c r="ER13" i="5"/>
  <c r="ES13" i="5"/>
  <c r="ET13" i="5"/>
  <c r="EU13" i="5"/>
  <c r="EV13" i="5"/>
  <c r="EW13" i="5"/>
  <c r="EX13" i="5"/>
  <c r="FA13" i="5"/>
  <c r="DY13" i="5"/>
  <c r="GK13" i="5" a="1"/>
  <c r="GN13" i="5" a="1"/>
  <c r="GN13" i="5" l="1"/>
  <c r="GK13" i="5"/>
  <c r="BP13" i="5" l="1"/>
  <c r="BQ13" i="5"/>
  <c r="BR13" i="5"/>
  <c r="BS13" i="5"/>
  <c r="BT13" i="5"/>
  <c r="BU13" i="5"/>
  <c r="BV13" i="5"/>
  <c r="BW13" i="5"/>
  <c r="BX13" i="5"/>
  <c r="BY13" i="5"/>
  <c r="BZ13" i="5"/>
  <c r="CA13" i="5"/>
  <c r="CB13" i="5"/>
  <c r="CC13" i="5"/>
  <c r="CD13" i="5"/>
  <c r="CE13" i="5"/>
  <c r="CG13" i="5"/>
  <c r="CH13" i="5"/>
  <c r="CI13" i="5"/>
  <c r="CJ13" i="5"/>
  <c r="CK13" i="5"/>
  <c r="CL13" i="5"/>
  <c r="CM13" i="5"/>
  <c r="CN13" i="5"/>
  <c r="CQ13" i="5"/>
  <c r="CS13" i="5"/>
  <c r="CT13" i="5"/>
  <c r="CU13" i="5"/>
  <c r="CV13" i="5"/>
  <c r="CW13" i="5"/>
  <c r="CX13" i="5"/>
  <c r="CY13" i="5"/>
  <c r="CZ13" i="5"/>
  <c r="DA13" i="5"/>
  <c r="DB13" i="5"/>
  <c r="DC13" i="5"/>
  <c r="DD13" i="5"/>
  <c r="DE13" i="5"/>
  <c r="DF13" i="5"/>
  <c r="DG13" i="5"/>
  <c r="DH13" i="5"/>
  <c r="DJ13" i="5"/>
  <c r="DK13" i="5"/>
  <c r="DL13" i="5"/>
  <c r="DM13" i="5"/>
  <c r="DN13" i="5"/>
  <c r="DO13" i="5"/>
  <c r="DP13" i="5"/>
  <c r="DQ13" i="5"/>
  <c r="DT13" i="5"/>
  <c r="B16" i="8" l="1"/>
  <c r="BM13" i="12" a="1"/>
  <c r="EL13" i="4" a="1"/>
  <c r="BK13" i="12" a="1"/>
  <c r="EL13" i="4" l="1"/>
  <c r="BM13" i="12"/>
  <c r="BK13" i="12"/>
  <c r="EH13" i="4"/>
  <c r="CD13" i="4"/>
  <c r="CE13" i="4"/>
  <c r="CF13" i="4"/>
  <c r="CG13" i="4"/>
  <c r="CH13" i="4"/>
  <c r="CI13" i="4"/>
  <c r="CJ13" i="4"/>
  <c r="CK13" i="4"/>
  <c r="CL13" i="4"/>
  <c r="CM13" i="4"/>
  <c r="CN13" i="4"/>
  <c r="CO13" i="4"/>
  <c r="CP13" i="4"/>
  <c r="CQ13" i="4"/>
  <c r="CR13" i="4"/>
  <c r="CT13" i="4"/>
  <c r="CU13" i="4"/>
  <c r="CV13" i="4"/>
  <c r="CW13" i="4"/>
  <c r="CX13" i="4"/>
  <c r="CY13" i="4"/>
  <c r="CZ13" i="4"/>
  <c r="DA13" i="4"/>
  <c r="DD13" i="4"/>
  <c r="CB13" i="4"/>
  <c r="GE13" i="4"/>
  <c r="BW13" i="4" a="1"/>
  <c r="BW13" i="4" l="1"/>
  <c r="EU13" i="4"/>
  <c r="L13" i="2"/>
  <c r="EV13" i="4" a="1"/>
  <c r="ET13" i="4" a="1"/>
  <c r="DR13" i="3" a="1"/>
  <c r="EX13" i="4" a="1"/>
  <c r="EZ13" i="4" a="1"/>
  <c r="EZ13" i="4" l="1"/>
  <c r="EX13" i="4"/>
  <c r="ET13" i="4"/>
  <c r="EV13" i="4"/>
  <c r="DR13" i="3"/>
  <c r="BN13" i="4" l="1"/>
  <c r="AH13" i="4"/>
  <c r="AE13" i="4"/>
  <c r="EE13" i="3" a="1"/>
  <c r="BP13" i="4" a="1"/>
  <c r="BT13" i="4" a="1"/>
  <c r="EC13" i="3" a="1"/>
  <c r="AI13" i="4" a="1"/>
  <c r="BT13" i="4" l="1"/>
  <c r="BP13" i="4"/>
  <c r="AI13" i="4"/>
  <c r="EE13" i="3"/>
  <c r="EC13" i="3"/>
  <c r="BF13" i="2" l="1"/>
  <c r="BG13" i="2" a="1"/>
  <c r="BG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tc={32B5035F-EA23-413B-95DC-664103421DC4}</author>
  </authors>
  <commentList>
    <comment ref="B6"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tc={0B10BC00-FACA-4066-8E30-F331E2FA6CB3}</author>
  </authors>
  <commentList>
    <comment ref="B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<sst xmlns="http://schemas.openxmlformats.org/spreadsheetml/2006/main" count="18791" uniqueCount="6764">
  <si>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</si>
  <si>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</si>
  <si>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</si>
  <si>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t>Data fields marked in red are mandatory. These are:</t>
  </si>
  <si>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</si>
  <si>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</si>
  <si>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</si>
  <si>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</si>
  <si>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</si>
  <si>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</si>
  <si>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</si>
  <si>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</si>
  <si>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</si>
  <si>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</si>
  <si>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</si>
  <si>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</si>
  <si>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</si>
  <si>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</si>
  <si>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</si>
  <si>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</si>
  <si>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</si>
  <si>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</si>
  <si>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</si>
  <si>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</si>
  <si>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</si>
  <si>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</si>
  <si>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</si>
  <si>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</si>
  <si>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</si>
  <si>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</si>
  <si>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</si>
  <si>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</si>
  <si>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</si>
  <si>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</si>
  <si>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</si>
  <si>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</si>
  <si>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</si>
  <si>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</si>
  <si>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</si>
  <si>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</si>
  <si>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</si>
  <si>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</si>
  <si>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</si>
  <si>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</si>
  <si>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</si>
  <si>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</si>
  <si>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</si>
  <si>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</si>
  <si>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</si>
  <si>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</si>
  <si>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</si>
  <si>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</si>
  <si>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</si>
  <si>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</si>
  <si>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</si>
  <si>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</si>
  <si>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</si>
  <si>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</si>
  <si>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</si>
  <si>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</si>
  <si>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</si>
  <si>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</si>
  <si>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</si>
  <si>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</si>
  <si>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</si>
  <si>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</si>
  <si>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</si>
  <si>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</si>
  <si>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</si>
  <si>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</si>
  <si>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</si>
  <si>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</si>
  <si>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</si>
  <si>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</si>
  <si>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The full official title of the issued credential (maximum 50 characters).</t>
  </si>
  <si>
    <t>A summary of the claim or group of claims being made about a person (maximum 140 words).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</si>
  <si>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</si>
  <si>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</si>
  <si>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</si>
  <si>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</si>
  <si>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</si>
  <si>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</si>
  <si>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</si>
  <si>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</si>
  <si>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</si>
  <si>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</si>
  <si>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</si>
  <si>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</si>
  <si>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</si>
  <si>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</si>
  <si>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</si>
  <si>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</si>
  <si>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</si>
  <si>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</si>
  <si>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</si>
  <si>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</si>
  <si>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</si>
  <si>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</si>
  <si>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</si>
  <si>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</si>
  <si>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</si>
  <si>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</si>
  <si>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</si>
  <si>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</si>
  <si>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</si>
  <si>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</si>
  <si>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</si>
  <si>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</si>
  <si>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</si>
  <si>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</si>
  <si>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</si>
  <si>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</si>
  <si>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</si>
  <si>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</si>
  <si>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</si>
  <si>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</si>
  <si>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</si>
  <si>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</si>
  <si>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</si>
  <si>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</si>
  <si>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</si>
  <si>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</si>
  <si>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</si>
  <si>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</si>
  <si>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</si>
  <si>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</si>
  <si>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</si>
  <si>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</si>
  <si>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</si>
  <si>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</si>
  <si>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</si>
  <si>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</si>
  <si>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</si>
  <si>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</si>
  <si>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</si>
  <si>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</si>
  <si>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</si>
  <si>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</si>
  <si>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</si>
  <si>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</si>
  <si>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</si>
  <si>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</si>
  <si>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</si>
  <si>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</si>
  <si>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</si>
  <si>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</si>
  <si>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</si>
  <si>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</si>
  <si>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</si>
  <si>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</si>
  <si>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</si>
  <si>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</si>
  <si>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</si>
  <si>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</si>
  <si>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</si>
  <si>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</si>
  <si>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</si>
  <si>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</si>
  <si>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</si>
  <si>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</si>
  <si>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</si>
  <si>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</si>
  <si>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</si>
  <si>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</si>
  <si>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</si>
  <si>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</si>
  <si>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</si>
  <si>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</si>
  <si>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</si>
  <si>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</si>
  <si>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</si>
  <si>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</si>
  <si>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</si>
  <si>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</si>
  <si>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</si>
  <si>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</si>
  <si>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</si>
  <si>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</si>
  <si>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</si>
  <si>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</si>
  <si>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</si>
  <si>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</si>
  <si>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</si>
  <si>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</si>
  <si>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</si>
  <si>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</si>
  <si>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</si>
  <si>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</si>
  <si>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</si>
  <si>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</si>
  <si>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</si>
  <si>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</si>
  <si>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</si>
  <si>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</si>
  <si>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</si>
  <si>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</si>
  <si>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</si>
  <si>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</si>
  <si>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</si>
  <si>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</si>
  <si>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</si>
  <si>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</si>
  <si>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</si>
  <si>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</si>
  <si>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</si>
  <si>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</si>
  <si>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</si>
  <si>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</si>
  <si>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</si>
  <si>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</si>
  <si>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</si>
  <si>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</si>
  <si>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</si>
  <si>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</si>
  <si>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</si>
  <si>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</si>
  <si>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</si>
  <si>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</si>
  <si>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</si>
  <si>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</si>
  <si>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</si>
  <si>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</si>
  <si>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</si>
  <si>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</si>
  <si>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</si>
  <si>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</si>
  <si>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</si>
  <si>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</si>
  <si>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</si>
  <si>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</si>
  <si>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</si>
  <si>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</si>
  <si>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</si>
  <si>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</si>
  <si>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</si>
  <si>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</si>
  <si>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</si>
  <si>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</si>
  <si>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</si>
  <si>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</si>
  <si>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</si>
  <si>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</si>
  <si>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</si>
  <si>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</si>
  <si>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</si>
  <si>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</si>
  <si>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</si>
  <si>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</si>
  <si>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</si>
  <si>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</si>
  <si>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</si>
  <si>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</si>
  <si>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</si>
  <si>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</si>
  <si>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</si>
  <si>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</si>
  <si>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</si>
  <si>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</si>
  <si>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</si>
  <si>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</si>
  <si>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</si>
  <si>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</si>
  <si>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</si>
  <si>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</si>
  <si>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</si>
  <si>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</si>
  <si>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</si>
  <si>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</si>
  <si>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</si>
  <si>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</si>
  <si>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</si>
  <si>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</si>
  <si>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</si>
  <si>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</si>
  <si>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</si>
  <si>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</si>
  <si>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</si>
  <si>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</si>
  <si>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</si>
  <si>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</si>
  <si>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</si>
  <si>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</si>
  <si>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</si>
  <si>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</si>
  <si>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</si>
  <si>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</si>
  <si>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</si>
  <si>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</si>
  <si>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</si>
  <si>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</si>
  <si>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</si>
  <si>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</si>
  <si>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</si>
  <si>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</si>
  <si>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</si>
  <si>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</si>
  <si>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</si>
  <si>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</si>
  <si>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</si>
  <si>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</si>
  <si>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</si>
  <si>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</si>
  <si>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</si>
  <si>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</si>
  <si>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</si>
  <si>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</si>
  <si>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</si>
  <si>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</si>
  <si>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</si>
  <si>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</si>
  <si>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</si>
  <si>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</si>
  <si>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</si>
  <si>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</si>
  <si>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</si>
  <si>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</si>
  <si>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</si>
  <si>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</si>
  <si>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</si>
  <si>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</si>
  <si>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</si>
  <si>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</si>
  <si>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</si>
  <si>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</si>
  <si>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</si>
  <si>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</si>
  <si>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</si>
  <si>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official identification number of the organisation, as awarded by the relevant national authority.</t>
  </si>
  <si>
    <t>Provide a public URL to the organisation's logo in png or jpg format.</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</si>
  <si>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</si>
  <si>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</si>
  <si>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</si>
  <si>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</si>
  <si>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</si>
  <si>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</si>
  <si>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</si>
  <si>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</si>
  <si>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</si>
  <si>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</si>
  <si>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</si>
  <si>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</si>
  <si>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</si>
  <si>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</si>
  <si>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</si>
  <si>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</si>
  <si>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</si>
  <si>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</si>
  <si>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</si>
  <si>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</si>
  <si>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</si>
  <si>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</si>
  <si>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</si>
  <si>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</si>
  <si>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</si>
  <si>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</si>
  <si>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</si>
  <si>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</si>
  <si>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</si>
  <si>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</si>
  <si>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</si>
  <si>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</si>
  <si>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</si>
  <si>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</si>
  <si>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</si>
  <si>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</si>
  <si>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</si>
  <si>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</si>
  <si>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</si>
  <si>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</si>
  <si>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</si>
  <si>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</si>
  <si>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</si>
  <si>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</si>
  <si>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</si>
  <si>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</si>
  <si>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</si>
  <si>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</si>
  <si>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</si>
  <si>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</si>
  <si>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</si>
  <si>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</si>
  <si>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</si>
  <si>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</si>
  <si>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</si>
  <si>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</si>
  <si>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</si>
  <si>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</si>
  <si>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</si>
  <si>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</si>
  <si>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</si>
  <si>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</si>
  <si>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</si>
  <si>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</si>
  <si>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</si>
  <si>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</si>
  <si>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</si>
  <si>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</si>
  <si>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</si>
  <si>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</si>
  <si>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</si>
  <si>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</si>
  <si>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</si>
  <si>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</si>
  <si>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</si>
  <si>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</si>
  <si>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</si>
  <si>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</si>
  <si>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</si>
  <si>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</si>
  <si>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</si>
  <si>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</si>
  <si>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</si>
  <si>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</si>
  <si>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</si>
  <si>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</si>
  <si>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</si>
  <si>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</si>
  <si>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</si>
  <si>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</si>
  <si>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</si>
  <si>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</si>
  <si>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</si>
  <si>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</si>
  <si>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</si>
  <si>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</si>
  <si>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</si>
  <si>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</si>
  <si>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</si>
  <si>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</si>
  <si>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</si>
  <si>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</si>
  <si>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</si>
  <si>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</si>
  <si>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</si>
  <si>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</si>
  <si>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</si>
  <si>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</si>
  <si>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</si>
  <si>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</si>
  <si>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</si>
  <si>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</si>
  <si>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</si>
  <si>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</si>
  <si>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</si>
  <si>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</si>
  <si>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</si>
  <si>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</si>
  <si>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</si>
  <si>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</si>
  <si>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</si>
  <si>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</si>
  <si>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</si>
  <si>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</si>
  <si>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</si>
  <si>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</si>
  <si>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</si>
  <si>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</si>
  <si>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</si>
  <si>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</si>
  <si>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</si>
  <si>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</si>
  <si>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</si>
  <si>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</si>
  <si>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</si>
  <si>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</si>
  <si>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</si>
  <si>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</si>
  <si>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</si>
  <si>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</si>
  <si>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</si>
  <si>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</si>
  <si>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</si>
  <si>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</si>
  <si>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</si>
  <si>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</si>
  <si>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</si>
  <si>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</si>
  <si>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</si>
  <si>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</si>
  <si>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</si>
  <si>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</si>
  <si>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</si>
  <si>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</si>
  <si>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</si>
  <si>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</si>
  <si>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</si>
  <si>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</si>
  <si>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</si>
  <si>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</si>
  <si>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</si>
  <si>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</si>
  <si>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</si>
  <si>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</si>
  <si>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</si>
  <si>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</si>
  <si>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</si>
  <si>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</si>
  <si>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</si>
  <si>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</si>
  <si>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</si>
  <si>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</si>
  <si>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</si>
  <si>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Where the opportunity is a qualification, its level as mapped to the offering institution's National Qualifications Framework.</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</si>
  <si>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</si>
  <si>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</si>
  <si>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</si>
  <si>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</si>
  <si>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</si>
  <si>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</si>
  <si>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</si>
  <si>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</si>
  <si>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</si>
  <si>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</si>
  <si>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</si>
  <si>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</si>
  <si>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</si>
  <si>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</si>
  <si>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</si>
  <si>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</si>
  <si>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</si>
  <si>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</si>
  <si>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</si>
  <si>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</si>
  <si>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</si>
  <si>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</si>
  <si>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</si>
  <si>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</si>
  <si>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</si>
  <si>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</si>
  <si>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</si>
  <si>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</si>
  <si>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</si>
  <si>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</si>
  <si>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</si>
  <si>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</si>
  <si>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</si>
  <si>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</si>
  <si>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</si>
  <si>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</si>
  <si>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</si>
  <si>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</si>
  <si>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</si>
  <si>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</si>
  <si>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</si>
  <si>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</si>
  <si>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</si>
  <si>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</si>
  <si>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</si>
  <si>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</si>
  <si>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</si>
  <si>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</si>
  <si>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</si>
  <si>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</si>
  <si>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</si>
  <si>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</si>
  <si>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</si>
  <si>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</si>
  <si>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</si>
  <si>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</si>
  <si>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</si>
  <si>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</si>
  <si>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</si>
  <si>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</si>
  <si>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</si>
  <si>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</si>
  <si>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</si>
  <si>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</si>
  <si>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</si>
  <si>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</si>
  <si>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</si>
  <si>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</si>
  <si>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</si>
  <si>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</si>
  <si>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</si>
  <si>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</si>
  <si>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</si>
  <si>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</si>
  <si>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</si>
  <si>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</si>
  <si>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</si>
  <si>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</si>
  <si>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</si>
  <si>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</si>
  <si>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</si>
  <si>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</si>
  <si>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</si>
  <si>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</si>
  <si>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</si>
  <si>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</si>
  <si>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</si>
  <si>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</si>
  <si>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</si>
  <si>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</si>
  <si>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</si>
  <si>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</si>
  <si>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</si>
  <si>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</si>
  <si>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</si>
  <si>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</si>
  <si>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</si>
  <si>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</si>
  <si>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</si>
  <si>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</si>
  <si>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</si>
  <si>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</si>
  <si>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</si>
  <si>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</si>
  <si>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</si>
  <si>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</si>
  <si>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</si>
  <si>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</si>
  <si>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</si>
  <si>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</si>
  <si>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</si>
  <si>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</si>
  <si>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</si>
  <si>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</si>
  <si>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</si>
  <si>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</si>
  <si>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</si>
  <si>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</si>
  <si>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</si>
  <si>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</si>
  <si>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</si>
  <si>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</si>
  <si>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</si>
  <si>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</si>
  <si>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</si>
  <si>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</si>
  <si>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</si>
  <si>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</si>
  <si>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</si>
  <si>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</si>
  <si>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</si>
  <si>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</si>
  <si>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</si>
  <si>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</si>
  <si>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</si>
  <si>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</si>
  <si>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</si>
  <si>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</si>
  <si>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</si>
  <si>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</si>
  <si>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</si>
  <si>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</si>
  <si>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</si>
  <si>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</si>
  <si>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</si>
  <si>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</si>
  <si>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</si>
  <si>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</si>
  <si>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</si>
  <si>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</si>
  <si>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</si>
  <si>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</si>
  <si>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</si>
  <si>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</si>
  <si>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</si>
  <si>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</si>
  <si>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</si>
  <si>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</si>
  <si>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</si>
  <si>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</si>
  <si>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</si>
  <si>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</si>
  <si>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</si>
  <si>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</si>
  <si>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</si>
  <si>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</si>
  <si>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</si>
  <si>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</si>
  <si>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</si>
  <si>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</si>
  <si>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</si>
  <si>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</si>
  <si>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</si>
  <si>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</si>
  <si>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</si>
  <si>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</si>
  <si>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</si>
  <si>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</si>
  <si>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</si>
  <si>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</si>
  <si>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</si>
  <si>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</si>
  <si>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</si>
  <si>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</si>
  <si>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</si>
  <si>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</si>
  <si>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</si>
  <si>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</si>
  <si>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</si>
  <si>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</si>
  <si>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</si>
  <si>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</si>
  <si>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</si>
  <si>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</si>
  <si>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</si>
  <si>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</si>
  <si>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</si>
  <si>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</si>
  <si>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</si>
  <si>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</si>
  <si>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</si>
  <si>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</si>
  <si>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</si>
  <si>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</si>
  <si>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</si>
  <si>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</si>
  <si>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</si>
  <si>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</si>
  <si>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</si>
  <si>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</si>
  <si>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</si>
  <si>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</si>
  <si>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</si>
  <si>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</si>
  <si>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</si>
  <si>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</si>
  <si>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</si>
  <si>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</si>
  <si>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</si>
  <si>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</si>
  <si>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</si>
  <si>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</si>
  <si>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</si>
  <si>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</si>
  <si>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</si>
  <si>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</si>
  <si>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</si>
  <si>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</si>
  <si>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</si>
  <si>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</si>
  <si>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</si>
  <si>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</si>
  <si>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</si>
  <si>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</si>
  <si>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Learning Outcome Identifier Scheme</t>
  </si>
  <si>
    <t>Learning Outcome Identifier</t>
  </si>
  <si>
    <t>Learning Outcome Type</t>
  </si>
  <si>
    <t>Reusability Level</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</si>
  <si>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</si>
  <si>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</si>
  <si>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</si>
  <si>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</si>
  <si>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</si>
  <si>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</si>
  <si>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</si>
  <si>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</si>
  <si>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</si>
  <si>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</si>
  <si>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</si>
  <si>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</si>
  <si>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</si>
  <si>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</si>
  <si>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</si>
  <si>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</si>
  <si>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</si>
  <si>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</si>
  <si>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</si>
  <si>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</si>
  <si>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</si>
  <si>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</si>
  <si>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</si>
  <si>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</si>
  <si>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</si>
  <si>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</si>
  <si>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</si>
  <si>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</si>
  <si>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</si>
  <si>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</si>
  <si>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</si>
  <si>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</si>
  <si>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</si>
  <si>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</si>
  <si>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</si>
  <si>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</si>
  <si>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</si>
  <si>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</si>
  <si>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</si>
  <si>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</si>
  <si>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</si>
  <si>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</si>
  <si>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</si>
  <si>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</si>
  <si>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</si>
  <si>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</si>
  <si>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</si>
  <si>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</si>
  <si>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</si>
  <si>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</si>
  <si>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</si>
  <si>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</si>
  <si>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</si>
  <si>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</si>
  <si>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</si>
  <si>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</si>
  <si>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</si>
  <si>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</si>
  <si>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</si>
  <si>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</si>
  <si>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</si>
  <si>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</si>
  <si>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</si>
  <si>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</si>
  <si>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</si>
  <si>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</si>
  <si>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</si>
  <si>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</si>
  <si>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</si>
  <si>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</si>
  <si>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</si>
  <si>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</si>
  <si>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</si>
  <si>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</si>
  <si>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</si>
  <si>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</si>
  <si>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</si>
  <si>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</si>
  <si>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</si>
  <si>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</si>
  <si>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</si>
  <si>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</si>
  <si>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</si>
  <si>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</si>
  <si>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</si>
  <si>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</si>
  <si>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</si>
  <si>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</si>
  <si>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</si>
  <si>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</si>
  <si>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</si>
  <si>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</si>
  <si>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</si>
  <si>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</si>
  <si>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</si>
  <si>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</si>
  <si>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</si>
  <si>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</si>
  <si>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</si>
  <si>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</si>
  <si>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</si>
  <si>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</si>
  <si>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</si>
  <si>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</si>
  <si>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</si>
  <si>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</si>
  <si>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</si>
  <si>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</si>
  <si>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</si>
  <si>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</si>
  <si>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</si>
  <si>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</si>
  <si>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</si>
  <si>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</si>
  <si>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</si>
  <si>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</si>
  <si>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</si>
  <si>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</si>
  <si>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</si>
  <si>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</si>
  <si>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</si>
  <si>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</si>
  <si>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</si>
  <si>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</si>
  <si>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</si>
  <si>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</si>
  <si>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</si>
  <si>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</si>
  <si>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</si>
  <si>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</si>
  <si>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</si>
  <si>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</si>
  <si>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</si>
  <si>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</si>
  <si>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</si>
  <si>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</si>
  <si>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</si>
  <si>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</si>
  <si>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</si>
  <si>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</si>
  <si>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</si>
  <si>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</si>
  <si>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</si>
  <si>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</si>
  <si>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</si>
  <si>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</si>
  <si>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</si>
  <si>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</si>
  <si>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</si>
  <si>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</si>
  <si>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</si>
  <si>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</si>
  <si>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</si>
  <si>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</si>
  <si>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</si>
  <si>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</si>
  <si>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</si>
  <si>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</si>
  <si>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</si>
  <si>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</si>
  <si>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</si>
  <si>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</si>
  <si>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</si>
  <si>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</si>
  <si>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</si>
  <si>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</si>
  <si>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</si>
  <si>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</si>
  <si>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</si>
  <si>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</si>
  <si>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</si>
  <si>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</si>
  <si>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</si>
  <si>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</si>
  <si>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</si>
  <si>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</si>
  <si>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</si>
  <si>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</si>
  <si>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</si>
  <si>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</si>
  <si>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</si>
  <si>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</si>
  <si>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</si>
  <si>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</si>
  <si>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</si>
  <si>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</si>
  <si>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</si>
  <si>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</si>
  <si>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</si>
  <si>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</si>
  <si>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</si>
  <si>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</si>
  <si>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</si>
  <si>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</si>
  <si>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</si>
  <si>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</si>
  <si>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</si>
  <si>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</si>
  <si>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</si>
  <si>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</si>
  <si>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</si>
  <si>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</si>
  <si>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</si>
  <si>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</si>
  <si>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</si>
  <si>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</si>
  <si>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</si>
  <si>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</si>
  <si>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</si>
  <si>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</si>
  <si>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</si>
  <si>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</si>
  <si>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</si>
  <si>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</si>
  <si>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</si>
  <si>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</si>
  <si>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</si>
  <si>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</si>
  <si>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</si>
  <si>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</si>
  <si>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</si>
  <si>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</si>
  <si>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</si>
  <si>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</si>
  <si>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</si>
  <si>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</si>
  <si>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</si>
  <si>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</si>
  <si>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</si>
  <si>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</si>
  <si>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</si>
  <si>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</si>
  <si>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</si>
  <si>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</si>
  <si>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</si>
  <si>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</si>
  <si>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</si>
  <si>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</si>
  <si>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</si>
  <si>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</si>
  <si>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</si>
  <si>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</si>
  <si>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</si>
  <si>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</si>
  <si>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</si>
  <si>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</si>
  <si>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</si>
  <si>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</si>
  <si>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</si>
  <si>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</si>
  <si>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</si>
  <si>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</si>
  <si>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</si>
  <si>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</si>
  <si>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</si>
  <si>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</si>
  <si>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</si>
  <si>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</si>
  <si>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</si>
  <si>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</si>
  <si>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</si>
  <si>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</si>
  <si>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</si>
  <si>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</si>
  <si>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</si>
  <si>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</si>
  <si>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</si>
  <si>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</si>
  <si>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</si>
  <si>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</si>
  <si>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</si>
  <si>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</si>
  <si>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</si>
  <si>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</si>
  <si>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</si>
  <si>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</si>
  <si>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</si>
  <si>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</si>
  <si>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</si>
  <si>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</si>
  <si>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</si>
  <si>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</si>
  <si>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</si>
  <si>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</si>
  <si>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</si>
  <si>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</si>
  <si>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</si>
  <si>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</si>
  <si>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</si>
  <si>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</si>
  <si>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</si>
  <si>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</si>
  <si>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</si>
  <si>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</si>
  <si>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</si>
  <si>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</si>
  <si>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</si>
  <si>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</si>
  <si>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</si>
  <si>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</si>
  <si>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</si>
  <si>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</si>
  <si>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</si>
  <si>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</si>
  <si>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</si>
  <si>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</si>
  <si>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</si>
  <si>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</si>
  <si>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</si>
  <si>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</si>
  <si>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</si>
  <si>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</si>
  <si>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</si>
  <si>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</si>
  <si>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</si>
  <si>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</si>
  <si>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</si>
  <si>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</si>
  <si>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</si>
  <si>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</si>
  <si>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</si>
  <si>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</si>
  <si>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</si>
  <si>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</si>
  <si>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</si>
  <si>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</si>
  <si>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</si>
  <si>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</si>
  <si>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</si>
  <si>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</si>
  <si>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</si>
  <si>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</si>
  <si>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</si>
  <si>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</si>
  <si>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</si>
  <si>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</si>
  <si>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</si>
  <si>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</si>
  <si>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</si>
  <si>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</si>
  <si>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</si>
  <si>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</si>
  <si>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Assessment Date</t>
  </si>
  <si>
    <t>Sub-Assessments</t>
  </si>
  <si>
    <t>Assessment Specification Identifier Scheme</t>
  </si>
  <si>
    <t>Assessment Specification Identifier</t>
  </si>
  <si>
    <t>Assessment Specification Description</t>
  </si>
  <si>
    <t>Mode of Assessment</t>
  </si>
  <si>
    <t>Assessment Type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</si>
  <si>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</si>
  <si>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</si>
  <si>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</si>
  <si>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</si>
  <si>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</si>
  <si>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</si>
  <si>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</si>
  <si>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</si>
  <si>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</si>
  <si>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</si>
  <si>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</si>
  <si>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</si>
  <si>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</si>
  <si>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</si>
  <si>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</si>
  <si>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</si>
  <si>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</si>
  <si>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</si>
  <si>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</si>
  <si>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</si>
  <si>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</si>
  <si>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</si>
  <si>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</si>
  <si>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</si>
  <si>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</si>
  <si>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</si>
  <si>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</si>
  <si>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</si>
  <si>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</si>
  <si>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</si>
  <si>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</si>
  <si>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</si>
  <si>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</si>
  <si>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</si>
  <si>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</si>
  <si>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</si>
  <si>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</si>
  <si>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</si>
  <si>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</si>
  <si>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</si>
  <si>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</si>
  <si>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</si>
  <si>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</si>
  <si>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</si>
  <si>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</si>
  <si>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</si>
  <si>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</si>
  <si>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</si>
  <si>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</si>
  <si>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</si>
  <si>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</si>
  <si>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</si>
  <si>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</si>
  <si>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</si>
  <si>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</si>
  <si>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</si>
  <si>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</si>
  <si>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</si>
  <si>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</si>
  <si>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</si>
  <si>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</si>
  <si>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</si>
  <si>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</si>
  <si>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</si>
  <si>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</si>
  <si>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</si>
  <si>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</si>
  <si>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</si>
  <si>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</si>
  <si>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</si>
  <si>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</si>
  <si>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</si>
  <si>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</si>
  <si>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</si>
  <si>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</si>
  <si>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</si>
  <si>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</si>
  <si>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</si>
  <si>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</si>
  <si>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</si>
  <si>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</si>
  <si>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</si>
  <si>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</si>
  <si>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</si>
  <si>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</si>
  <si>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</si>
  <si>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</si>
  <si>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</si>
  <si>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</si>
  <si>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</si>
  <si>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</si>
  <si>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</si>
  <si>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</si>
  <si>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</si>
  <si>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</si>
  <si>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</si>
  <si>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</si>
  <si>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</si>
  <si>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</si>
  <si>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</si>
  <si>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</si>
  <si>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</si>
  <si>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</si>
  <si>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</si>
  <si>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</si>
  <si>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</si>
  <si>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</si>
  <si>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</si>
  <si>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</si>
  <si>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</si>
  <si>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</si>
  <si>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</si>
  <si>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</si>
  <si>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</si>
  <si>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</si>
  <si>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</si>
  <si>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</si>
  <si>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</si>
  <si>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</si>
  <si>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</si>
  <si>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</si>
  <si>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</si>
  <si>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</si>
  <si>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</si>
  <si>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</si>
  <si>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</si>
  <si>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</si>
  <si>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</si>
  <si>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</si>
  <si>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</si>
  <si>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</si>
  <si>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</si>
  <si>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</si>
  <si>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</si>
  <si>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</si>
  <si>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</si>
  <si>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</si>
  <si>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</si>
  <si>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</si>
  <si>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</si>
  <si>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</si>
  <si>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</si>
  <si>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</si>
  <si>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</si>
  <si>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</si>
  <si>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</si>
  <si>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</si>
  <si>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</si>
  <si>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</si>
  <si>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</si>
  <si>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</si>
  <si>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</si>
  <si>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</si>
  <si>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</si>
  <si>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</si>
  <si>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</si>
  <si>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</si>
  <si>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</si>
  <si>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</si>
  <si>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</si>
  <si>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</si>
  <si>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</si>
  <si>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</si>
  <si>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</si>
  <si>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</si>
  <si>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</si>
  <si>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</si>
  <si>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</si>
  <si>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</si>
  <si>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</si>
  <si>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</si>
  <si>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</si>
  <si>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</si>
  <si>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</si>
  <si>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</si>
  <si>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</si>
  <si>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</si>
  <si>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</si>
  <si>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</si>
  <si>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</si>
  <si>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</si>
  <si>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</si>
  <si>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</si>
  <si>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</si>
  <si>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</si>
  <si>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</si>
  <si>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</si>
  <si>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</si>
  <si>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</si>
  <si>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</si>
  <si>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</si>
  <si>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</si>
  <si>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</si>
  <si>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</si>
  <si>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</si>
  <si>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</si>
  <si>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</si>
  <si>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</si>
  <si>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</si>
  <si>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</si>
  <si>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</si>
  <si>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</si>
  <si>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</si>
  <si>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</si>
  <si>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</si>
  <si>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</si>
  <si>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</si>
  <si>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</si>
  <si>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</si>
  <si>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</si>
  <si>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</si>
  <si>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</si>
  <si>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</si>
  <si>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</si>
  <si>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</si>
  <si>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</si>
  <si>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</si>
  <si>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</si>
  <si>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</si>
  <si>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</si>
  <si>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</si>
  <si>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</si>
  <si>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</si>
  <si>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</si>
  <si>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</si>
  <si>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</si>
  <si>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</si>
  <si>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</si>
  <si>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</si>
  <si>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</si>
  <si>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</si>
  <si>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</si>
  <si>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</si>
  <si>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</si>
  <si>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</si>
  <si>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</si>
  <si>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</si>
  <si>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</si>
  <si>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</si>
  <si>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</si>
  <si>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</si>
  <si>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</si>
  <si>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</si>
  <si>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</si>
  <si>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</si>
  <si>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</si>
  <si>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</si>
  <si>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</si>
  <si>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</si>
  <si>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</si>
  <si>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</si>
  <si>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</si>
  <si>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</si>
  <si>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</si>
  <si>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</si>
  <si>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</si>
  <si>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</si>
  <si>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</si>
  <si>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</si>
  <si>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</si>
  <si>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</si>
  <si>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</si>
  <si>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</si>
  <si>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</si>
  <si>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</si>
  <si>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</si>
  <si>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</si>
  <si>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</si>
  <si>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</si>
  <si>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</si>
  <si>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</si>
  <si>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</si>
  <si>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</si>
  <si>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</si>
  <si>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</si>
  <si>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</si>
  <si>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</si>
  <si>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</si>
  <si>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</si>
  <si>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</si>
  <si>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</si>
  <si>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</si>
  <si>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</si>
  <si>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</si>
  <si>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</si>
  <si>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</si>
  <si>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</si>
  <si>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</si>
  <si>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</si>
  <si>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</si>
  <si>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</si>
  <si>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</si>
  <si>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</si>
  <si>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</si>
  <si>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</si>
  <si>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</si>
  <si>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</si>
  <si>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</si>
  <si>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</si>
  <si>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</si>
  <si>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</si>
  <si>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</si>
  <si>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</si>
  <si>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</si>
  <si>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</si>
  <si>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</si>
  <si>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</si>
  <si>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</si>
  <si>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</si>
  <si>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</si>
  <si>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</si>
  <si>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</si>
  <si>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</si>
  <si>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</si>
  <si>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</si>
  <si>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</si>
  <si>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</si>
  <si>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</si>
  <si>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</si>
  <si>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</si>
  <si>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</si>
  <si>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</si>
  <si>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</si>
  <si>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</si>
  <si>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</si>
  <si>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</si>
  <si>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</si>
  <si>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</si>
  <si>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</si>
  <si>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</si>
  <si>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</si>
  <si>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</si>
  <si>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</si>
  <si>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</si>
  <si>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</si>
  <si>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</si>
  <si>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</si>
  <si>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</si>
  <si>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</si>
  <si>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</si>
  <si>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</si>
  <si>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</si>
  <si>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</si>
  <si>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</si>
  <si>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</si>
  <si>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</si>
  <si>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</si>
  <si>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</si>
  <si>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</si>
  <si>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</si>
  <si>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</si>
  <si>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</si>
  <si>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</si>
  <si>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</si>
  <si>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</si>
  <si>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</si>
  <si>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</si>
  <si>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</si>
  <si>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</si>
  <si>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</si>
  <si>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</si>
  <si>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</si>
  <si>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</si>
  <si>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</si>
  <si>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</si>
  <si>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</si>
  <si>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</si>
  <si>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</si>
  <si>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</si>
  <si>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</si>
  <si>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</si>
  <si>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</si>
  <si>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</si>
  <si>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</si>
  <si>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</si>
  <si>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</si>
  <si>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</si>
  <si>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</si>
  <si>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</si>
  <si>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</si>
  <si>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</si>
  <si>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</si>
  <si>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</si>
  <si>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</si>
  <si>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</si>
  <si>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</si>
  <si>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</si>
  <si>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</si>
  <si>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</si>
  <si>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</si>
  <si>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</si>
  <si>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</si>
  <si>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</si>
  <si>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</si>
  <si>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</si>
  <si>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</si>
  <si>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</si>
  <si>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</si>
  <si>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</si>
  <si>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</si>
  <si>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</si>
  <si>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</si>
  <si>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</si>
  <si>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</si>
  <si>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</si>
  <si>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</si>
  <si>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</si>
  <si>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</si>
  <si>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</si>
  <si>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</si>
  <si>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</si>
  <si>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</si>
  <si>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</si>
  <si>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</si>
  <si>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</si>
  <si>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</si>
  <si>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</si>
  <si>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</si>
  <si>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</si>
  <si>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</si>
  <si>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</si>
  <si>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</si>
  <si>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</si>
  <si>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</si>
  <si>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</si>
  <si>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</si>
  <si>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</si>
  <si>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</si>
  <si>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</si>
  <si>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http://data.europa.eu/snb/credential/e34929035b</t>
  </si>
  <si>
    <t xml:space="preserve">This is the default Europass credential type. </t>
  </si>
  <si>
    <t>http://data.europa.eu/snb/credential/6cf8e68c43</t>
  </si>
  <si>
    <t>Represents the award of a qualification by an institution that is accredited to do so, confirmed by its inclusion in the Europass Accreditation Database.</t>
  </si>
  <si>
    <t>diplomaSupplement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</si>
  <si>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</si>
  <si>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</si>
  <si>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</si>
  <si>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http://data.europa.eu/snb/credential/48b514e72a</t>
  </si>
  <si>
    <t xml:space="preserve">Represents a credential which describes that an activity has been or is being done </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</si>
  <si>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</si>
  <si>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</si>
  <si>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</si>
  <si>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</si>
  <si>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</si>
  <si>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</si>
  <si>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</si>
  <si>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</si>
  <si>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</si>
  <si>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</si>
  <si>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</si>
  <si>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</si>
  <si>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</si>
  <si>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</si>
  <si>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</si>
  <si>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</si>
  <si>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</si>
  <si>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</si>
  <si>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</si>
  <si>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</si>
  <si>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</si>
  <si>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</si>
  <si>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</si>
  <si>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</si>
  <si>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</si>
  <si>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</si>
  <si>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</si>
  <si>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</si>
  <si>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</si>
  <si>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</si>
  <si>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</si>
  <si>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</si>
  <si>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</si>
  <si>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</si>
  <si>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</si>
  <si>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</si>
  <si>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</si>
  <si>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</si>
  <si>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</si>
  <si>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</si>
  <si>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</si>
  <si>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</si>
  <si>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</si>
  <si>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</si>
  <si>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</si>
  <si>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</si>
  <si>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</si>
  <si>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</si>
  <si>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</si>
  <si>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</si>
  <si>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</si>
  <si>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</si>
  <si>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</si>
  <si>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</si>
  <si>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</si>
  <si>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</si>
  <si>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</si>
  <si>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</si>
  <si>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</si>
  <si>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</si>
  <si>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</si>
  <si>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</si>
  <si>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</si>
  <si>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</si>
  <si>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</si>
  <si>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</si>
  <si>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</si>
  <si>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</si>
  <si>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</si>
  <si>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</si>
  <si>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</si>
  <si>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</si>
  <si>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</si>
  <si>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</si>
  <si>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</si>
  <si>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</si>
  <si>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</si>
  <si>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</si>
  <si>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</si>
  <si>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</si>
  <si>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</si>
  <si>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</si>
  <si>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</si>
  <si>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</si>
  <si>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</si>
  <si>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</si>
  <si>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</si>
  <si>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</si>
  <si>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</si>
  <si>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</si>
  <si>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</si>
  <si>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</si>
  <si>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</si>
  <si>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</si>
  <si>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</si>
  <si>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</si>
  <si>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</si>
  <si>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</si>
  <si>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</si>
  <si>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</si>
  <si>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</si>
  <si>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</si>
  <si>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</si>
  <si>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</si>
  <si>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</si>
  <si>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</si>
  <si>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</si>
  <si>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</si>
  <si>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</si>
  <si>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</si>
  <si>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</si>
  <si>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</si>
  <si>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</si>
  <si>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</si>
  <si>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</si>
  <si>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</si>
  <si>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</si>
  <si>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</si>
  <si>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</si>
  <si>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</si>
  <si>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</si>
  <si>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</si>
  <si>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</si>
  <si>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</si>
  <si>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</si>
  <si>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</si>
  <si>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</si>
  <si>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</si>
  <si>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</si>
  <si>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</si>
  <si>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</si>
  <si>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</si>
  <si>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</si>
  <si>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</si>
  <si>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</si>
  <si>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</si>
  <si>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</si>
  <si>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</si>
  <si>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</si>
  <si>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</si>
  <si>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</si>
  <si>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</si>
  <si>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</si>
  <si>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</si>
  <si>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</si>
  <si>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</si>
  <si>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</si>
  <si>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</si>
  <si>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</si>
  <si>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</si>
  <si>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</si>
  <si>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</si>
  <si>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</si>
  <si>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</si>
  <si>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</si>
  <si>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</si>
  <si>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</si>
  <si>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</si>
  <si>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</si>
  <si>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</si>
  <si>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</si>
  <si>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</si>
  <si>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</si>
  <si>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</si>
  <si>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</si>
  <si>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</si>
  <si>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</si>
  <si>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</si>
  <si>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</si>
  <si>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</si>
  <si>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</si>
  <si>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</si>
  <si>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</si>
  <si>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</si>
  <si>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</si>
  <si>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</si>
  <si>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</si>
  <si>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</si>
  <si>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</si>
  <si>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</si>
  <si>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</si>
  <si>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</si>
  <si>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</si>
  <si>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</si>
  <si>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</si>
  <si>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</si>
  <si>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</si>
  <si>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</si>
  <si>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</si>
  <si>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</si>
  <si>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</si>
  <si>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</si>
  <si>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</si>
  <si>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</si>
  <si>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</si>
  <si>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</si>
  <si>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</si>
  <si>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</si>
  <si>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</si>
  <si>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</si>
  <si>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</si>
  <si>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</si>
  <si>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</si>
  <si>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</si>
  <si>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</si>
  <si>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</si>
  <si>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</si>
  <si>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</si>
  <si>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</si>
  <si>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</si>
  <si>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</si>
  <si>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</si>
  <si>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</si>
  <si>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</si>
  <si>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</si>
  <si>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</si>
  <si>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</si>
  <si>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</si>
  <si>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</si>
  <si>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</si>
  <si>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</si>
  <si>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</si>
  <si>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</si>
  <si>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</si>
  <si>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</si>
  <si>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</si>
  <si>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</si>
  <si>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</si>
  <si>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</si>
  <si>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</si>
  <si>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</si>
  <si>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</si>
  <si>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</si>
  <si>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</si>
  <si>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</si>
  <si>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</si>
  <si>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</si>
  <si>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</si>
  <si>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</si>
  <si>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</si>
  <si>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</si>
  <si>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</si>
  <si>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</si>
  <si>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</si>
  <si>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</si>
  <si>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</si>
  <si>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</si>
  <si>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</si>
  <si>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</si>
  <si>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</si>
  <si>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</si>
  <si>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</si>
  <si>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</si>
  <si>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</si>
  <si>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</si>
  <si>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</si>
  <si>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</si>
  <si>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</si>
  <si>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</si>
  <si>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</si>
  <si>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</si>
  <si>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</si>
  <si>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</si>
  <si>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</si>
  <si>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</si>
  <si>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</si>
  <si>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</si>
  <si>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</si>
  <si>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</si>
  <si>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</si>
  <si>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</si>
  <si>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</si>
  <si>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</si>
  <si>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</si>
  <si>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</si>
  <si>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</si>
  <si>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</si>
  <si>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</si>
  <si>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</si>
  <si>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</si>
  <si>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</si>
  <si>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</si>
  <si>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</si>
  <si>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</si>
  <si>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</si>
  <si>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</si>
  <si>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</si>
  <si>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</si>
  <si>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</si>
  <si>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</si>
  <si>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</si>
  <si>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</si>
  <si>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</si>
  <si>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</si>
  <si>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</si>
  <si>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</si>
  <si>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</si>
  <si>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</si>
  <si>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</si>
  <si>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</si>
  <si>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</si>
  <si>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</si>
  <si>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</si>
  <si>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</si>
  <si>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</si>
  <si>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</si>
  <si>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</si>
  <si>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</si>
  <si>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</si>
  <si>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</si>
  <si>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</si>
  <si>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</si>
  <si>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</si>
  <si>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</si>
  <si>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</si>
  <si>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</si>
  <si>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</si>
  <si>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</si>
  <si>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</si>
  <si>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</si>
  <si>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</si>
  <si>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</si>
  <si>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</si>
  <si>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</si>
  <si>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</si>
  <si>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</si>
  <si>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</si>
  <si>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</si>
  <si>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</si>
  <si>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</si>
  <si>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</si>
  <si>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</si>
  <si>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</si>
  <si>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</si>
  <si>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</si>
  <si>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</si>
  <si>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</si>
  <si>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</si>
  <si>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</si>
  <si>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</si>
  <si>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</si>
  <si>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</si>
  <si>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</si>
  <si>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</si>
  <si>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</si>
  <si>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</si>
  <si>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</si>
  <si>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</si>
  <si>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</si>
  <si>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</si>
  <si>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</si>
  <si>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</si>
  <si>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</si>
  <si>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</si>
  <si>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</si>
  <si>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</si>
  <si>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</si>
  <si>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</si>
  <si>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</si>
  <si>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</si>
  <si>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</si>
  <si>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</si>
  <si>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</si>
  <si>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</si>
  <si>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</si>
  <si>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</si>
  <si>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</si>
  <si>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</si>
  <si>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</si>
  <si>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</si>
  <si>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</si>
  <si>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</si>
  <si>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</si>
  <si>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</si>
  <si>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</si>
  <si>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</si>
  <si>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</si>
  <si>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</si>
  <si>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</si>
  <si>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</si>
  <si>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</si>
  <si>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</si>
  <si>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</si>
  <si>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</si>
  <si>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</si>
  <si>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</si>
  <si>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</si>
  <si>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</si>
  <si>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</si>
  <si>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</si>
  <si>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</si>
  <si>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</si>
  <si>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</si>
  <si>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</si>
  <si>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</si>
  <si>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</si>
  <si>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</si>
  <si>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</si>
  <si>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</si>
  <si>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</si>
  <si>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</si>
  <si>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</si>
  <si>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</si>
  <si>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</si>
  <si>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</si>
  <si>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</si>
  <si>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</si>
  <si>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</si>
  <si>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</si>
  <si>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</si>
  <si>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</si>
  <si>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</si>
  <si>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</si>
  <si>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</si>
  <si>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</si>
  <si>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</si>
  <si>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</si>
  <si>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</si>
  <si>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</si>
  <si>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</si>
  <si>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</si>
  <si>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</si>
  <si>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</si>
  <si>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</si>
  <si>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</si>
  <si>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</si>
  <si>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</si>
  <si>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</si>
  <si>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</si>
  <si>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</si>
  <si>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</si>
  <si>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</si>
  <si>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</si>
  <si>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</si>
  <si>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</si>
  <si>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</si>
  <si>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</si>
  <si>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</si>
  <si>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</si>
  <si>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</si>
  <si>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</si>
  <si>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</si>
  <si>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</si>
  <si>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</si>
  <si>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</si>
  <si>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</si>
  <si>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</si>
  <si>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</si>
  <si>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</si>
  <si>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</si>
  <si>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</si>
  <si>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</si>
  <si>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</si>
  <si>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</si>
  <si>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</si>
  <si>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</si>
  <si>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</si>
  <si>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</si>
  <si>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</si>
  <si>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</si>
  <si>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</si>
  <si>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</si>
  <si>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</si>
  <si>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</si>
  <si>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</si>
  <si>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</si>
  <si>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</si>
  <si>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</si>
  <si>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</si>
  <si>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</si>
  <si>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</si>
  <si>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</si>
  <si>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</si>
  <si>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</si>
  <si>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</si>
  <si>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</si>
  <si>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</si>
  <si>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</si>
  <si>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</si>
  <si>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</si>
  <si>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</si>
  <si>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</si>
  <si>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</si>
  <si>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</si>
  <si>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</si>
  <si>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</si>
  <si>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</si>
  <si>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</si>
  <si>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</si>
  <si>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</si>
  <si>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</si>
  <si>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</si>
  <si>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</si>
  <si>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</si>
  <si>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</si>
  <si>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</si>
  <si>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</si>
  <si>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</si>
  <si>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</si>
  <si>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</si>
  <si>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</si>
  <si>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</si>
  <si>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</si>
  <si>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</si>
  <si>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</si>
  <si>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</si>
  <si>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</si>
  <si>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</si>
  <si>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</si>
  <si>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</si>
  <si>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</si>
  <si>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</si>
  <si>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</si>
  <si>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</si>
  <si>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</si>
  <si>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</si>
  <si>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</si>
  <si>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</si>
  <si>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</si>
  <si>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</si>
  <si>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</si>
  <si>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</si>
  <si>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</si>
  <si>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</si>
  <si>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</si>
  <si>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</si>
  <si>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</si>
  <si>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</si>
  <si>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</si>
  <si>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</si>
  <si>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</si>
  <si>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</si>
  <si>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</si>
  <si>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</si>
  <si>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</si>
  <si>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</si>
  <si>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</si>
  <si>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</si>
  <si>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</si>
  <si>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</si>
  <si>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</si>
  <si>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</si>
  <si>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</si>
  <si>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</si>
  <si>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</si>
  <si>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</si>
  <si>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</si>
  <si>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</si>
  <si>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</si>
  <si>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</si>
  <si>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</si>
  <si>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</si>
  <si>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</si>
  <si>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</si>
  <si>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</si>
  <si>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</si>
  <si>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</si>
  <si>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</si>
  <si>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</si>
  <si>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</si>
  <si>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</si>
  <si>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</si>
  <si>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</si>
  <si>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</si>
  <si>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</si>
  <si>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</si>
  <si>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</si>
  <si>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</si>
  <si>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</si>
  <si>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</si>
  <si>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</si>
  <si>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</si>
  <si>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</si>
  <si>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</si>
  <si>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</si>
  <si>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</si>
  <si>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</si>
  <si>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</si>
  <si>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</si>
  <si>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</si>
  <si>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</si>
  <si>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</si>
  <si>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</si>
  <si>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</si>
  <si>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</si>
  <si>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</si>
  <si>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</si>
  <si>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</si>
  <si>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</si>
  <si>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</si>
  <si>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</si>
  <si>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</si>
  <si>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</si>
  <si>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</si>
  <si>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</si>
  <si>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</si>
  <si>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</si>
  <si>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</si>
  <si>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</si>
  <si>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</si>
  <si>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</si>
  <si>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</si>
  <si>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</si>
  <si>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</si>
  <si>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</si>
  <si>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</si>
  <si>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</si>
  <si>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</si>
  <si>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</si>
  <si>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</si>
  <si>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</si>
  <si>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</si>
  <si>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</si>
  <si>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</si>
  <si>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</si>
  <si>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</si>
  <si>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</si>
  <si>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</si>
  <si>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</si>
  <si>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</si>
  <si>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</si>
  <si>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</si>
  <si>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</si>
  <si>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</si>
  <si>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</si>
  <si>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</si>
  <si>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</si>
  <si>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</si>
  <si>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</si>
  <si>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</si>
  <si>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</si>
  <si>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</si>
  <si>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</si>
  <si>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</si>
  <si>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</si>
  <si>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</si>
  <si>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</si>
  <si>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</si>
  <si>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</si>
  <si>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</si>
  <si>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</si>
  <si>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</si>
  <si>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</si>
  <si>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</si>
  <si>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</si>
  <si>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</si>
  <si>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</si>
  <si>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</si>
  <si>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</si>
  <si>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</si>
  <si>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</si>
  <si>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</si>
  <si>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</si>
  <si>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</si>
  <si>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</si>
  <si>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</si>
  <si>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</si>
  <si>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</si>
  <si>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</si>
  <si>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</si>
  <si>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</si>
  <si>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</si>
  <si>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</si>
  <si>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</si>
  <si>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</si>
  <si>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</si>
  <si>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</si>
  <si>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</si>
  <si>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</si>
  <si>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</si>
  <si>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</si>
  <si>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</si>
  <si>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</si>
  <si>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</si>
  <si>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</si>
  <si>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</si>
  <si>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</si>
  <si>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</si>
  <si>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</si>
  <si>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</si>
  <si>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</si>
  <si>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</si>
  <si>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</si>
  <si>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</si>
  <si>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</si>
  <si>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</si>
  <si>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</si>
  <si>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</si>
  <si>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</si>
  <si>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</si>
  <si>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</si>
  <si>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</si>
  <si>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</si>
  <si>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</si>
  <si>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</si>
  <si>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</si>
  <si>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</si>
  <si>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</si>
  <si>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</si>
  <si>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</si>
  <si>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</si>
  <si>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</si>
  <si>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</si>
  <si>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</si>
  <si>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</si>
  <si>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</si>
  <si>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</si>
  <si>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</si>
  <si>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</si>
  <si>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</si>
  <si>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</si>
  <si>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</si>
  <si>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</si>
  <si>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</si>
  <si>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</si>
  <si>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</si>
  <si>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</si>
  <si>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</si>
  <si>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</si>
  <si>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</si>
  <si>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</si>
  <si>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</si>
  <si>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</si>
  <si>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</si>
  <si>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</si>
  <si>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</si>
  <si>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</si>
  <si>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</si>
  <si>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</si>
  <si>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</si>
  <si>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</si>
  <si>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</si>
  <si>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</si>
  <si>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</si>
  <si>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</si>
  <si>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</si>
  <si>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</si>
  <si>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</si>
  <si>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</si>
  <si>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</si>
  <si>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</si>
  <si>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</si>
  <si>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</si>
  <si>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</si>
  <si>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</si>
  <si>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</si>
  <si>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</si>
  <si>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</si>
  <si>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</si>
  <si>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</si>
  <si>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</si>
  <si>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</si>
  <si>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</si>
  <si>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</si>
  <si>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</si>
  <si>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</si>
  <si>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</si>
  <si>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</si>
  <si>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</si>
  <si>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</si>
  <si>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</si>
  <si>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</si>
  <si>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</si>
  <si>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</si>
  <si>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</si>
  <si>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</si>
  <si>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</si>
  <si>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</si>
  <si>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</si>
  <si>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</si>
  <si>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</si>
  <si>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</si>
  <si>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</si>
  <si>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</si>
  <si>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</si>
  <si>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</si>
  <si>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</si>
  <si>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</si>
  <si>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</si>
  <si>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</si>
  <si>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</si>
  <si>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</si>
  <si>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</si>
  <si>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</si>
  <si>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</si>
  <si>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</si>
  <si>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</si>
  <si>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</si>
  <si>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</si>
  <si>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</si>
  <si>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</si>
  <si>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</si>
  <si>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</si>
  <si>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</si>
  <si>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</si>
  <si>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</si>
  <si>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</si>
  <si>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</si>
  <si>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</si>
  <si>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</si>
  <si>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</si>
  <si>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</si>
  <si>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</si>
  <si>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</si>
  <si>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</si>
  <si>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</si>
  <si>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</si>
  <si>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</si>
  <si>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</si>
  <si>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</si>
  <si>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</si>
  <si>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</si>
  <si>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</si>
  <si>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</si>
  <si>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</si>
  <si>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</si>
  <si>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</si>
  <si>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</si>
  <si>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</si>
  <si>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</si>
  <si>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</si>
  <si>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</si>
  <si>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</si>
  <si>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</si>
  <si>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</si>
  <si>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</si>
  <si>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</si>
  <si>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</si>
  <si>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</si>
  <si>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</si>
  <si>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</si>
  <si>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</si>
  <si>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</si>
  <si>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</si>
  <si>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</si>
  <si>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</si>
  <si>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</si>
  <si>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</si>
  <si>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</si>
  <si>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</si>
  <si>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</si>
  <si>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</si>
  <si>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</si>
  <si>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</si>
  <si>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</si>
  <si>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</si>
  <si>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</si>
  <si>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</si>
  <si>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</si>
  <si>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</si>
  <si>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</si>
  <si>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</si>
  <si>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</si>
  <si>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</si>
  <si>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</si>
  <si>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</si>
  <si>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</si>
  <si>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</si>
  <si>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</si>
  <si>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</si>
  <si>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</si>
  <si>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</si>
  <si>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</si>
  <si>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</si>
  <si>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</si>
  <si>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</si>
  <si>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</si>
  <si>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</si>
  <si>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</si>
  <si>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</si>
  <si>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</si>
  <si>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</si>
  <si>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</si>
  <si>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</si>
  <si>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</si>
  <si>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0031 - Personal skills and development</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</si>
  <si>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</si>
  <si>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</si>
  <si>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</si>
  <si>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</si>
  <si>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</si>
  <si>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</si>
  <si>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</si>
  <si>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</si>
  <si>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</si>
  <si>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</si>
  <si>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</si>
  <si>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</si>
  <si>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</si>
  <si>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</si>
  <si>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</si>
  <si>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</si>
  <si>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</si>
  <si>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</si>
  <si>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</si>
  <si>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</si>
  <si>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</si>
  <si>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</si>
  <si>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</si>
  <si>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</si>
  <si>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</si>
  <si>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</si>
  <si>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</si>
  <si>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</si>
  <si>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</si>
  <si>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</si>
  <si>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</si>
  <si>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</si>
  <si>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</si>
  <si>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</si>
  <si>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</si>
  <si>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</si>
  <si>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</si>
  <si>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</si>
  <si>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</si>
  <si>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</si>
  <si>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</si>
  <si>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</si>
  <si>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</si>
  <si>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</si>
  <si>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</si>
  <si>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</si>
  <si>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</si>
  <si>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</si>
  <si>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</si>
  <si>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</si>
  <si>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</si>
  <si>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</si>
  <si>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</si>
  <si>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</si>
  <si>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</si>
  <si>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</si>
  <si>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</si>
  <si>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</si>
  <si>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</si>
  <si>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</si>
  <si>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</si>
  <si>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</si>
  <si>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</si>
  <si>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</si>
  <si>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</si>
  <si>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</si>
  <si>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</si>
  <si>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</si>
  <si>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</si>
  <si>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</si>
  <si>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</si>
  <si>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</si>
  <si>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</si>
  <si>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</si>
  <si>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</si>
  <si>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</si>
  <si>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</si>
  <si>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</si>
  <si>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</si>
  <si>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</si>
  <si>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</si>
  <si>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</si>
  <si>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</si>
  <si>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</si>
  <si>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</si>
  <si>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</si>
  <si>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</si>
  <si>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</si>
  <si>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</si>
  <si>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</si>
  <si>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</si>
  <si>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</si>
  <si>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</si>
  <si>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</si>
  <si>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</si>
  <si>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</si>
  <si>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</si>
  <si>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</si>
  <si>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</si>
  <si>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</si>
  <si>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</si>
  <si>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</si>
  <si>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</si>
  <si>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</si>
  <si>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</si>
  <si>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</si>
  <si>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</si>
  <si>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</si>
  <si>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</si>
  <si>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</si>
  <si>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</si>
  <si>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</si>
  <si>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</si>
  <si>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</si>
  <si>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</si>
  <si>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</si>
  <si>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</si>
  <si>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</si>
  <si>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</si>
  <si>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</si>
  <si>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</si>
  <si>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</si>
  <si>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</si>
  <si>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</si>
  <si>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</si>
  <si>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</si>
  <si>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</si>
  <si>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</si>
  <si>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</si>
  <si>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</si>
  <si>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</si>
  <si>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</si>
  <si>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</si>
  <si>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</si>
  <si>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</si>
  <si>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</si>
  <si>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</si>
  <si>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</si>
  <si>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</si>
  <si>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</si>
  <si>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</si>
  <si>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</si>
  <si>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</si>
  <si>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</si>
  <si>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</si>
  <si>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</si>
  <si>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</si>
  <si>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</si>
  <si>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</si>
  <si>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</si>
  <si>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</si>
  <si>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</si>
  <si>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</si>
  <si>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</si>
  <si>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</si>
  <si>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</si>
  <si>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</si>
  <si>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</si>
  <si>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</si>
  <si>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</si>
  <si>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</si>
  <si>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</si>
  <si>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</si>
  <si>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</si>
  <si>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</si>
  <si>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</si>
  <si>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</si>
  <si>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</si>
  <si>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</si>
  <si>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</si>
  <si>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</si>
  <si>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</si>
  <si>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</si>
  <si>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</si>
  <si>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</si>
  <si>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</si>
  <si>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</si>
  <si>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</si>
  <si>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</si>
  <si>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</si>
  <si>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</si>
  <si>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</si>
  <si>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</si>
  <si>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</si>
  <si>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</si>
  <si>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</si>
  <si>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</si>
  <si>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</si>
  <si>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</si>
  <si>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</si>
  <si>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</si>
  <si>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</si>
  <si>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</si>
  <si>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</si>
  <si>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</si>
  <si>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</si>
  <si>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</si>
  <si>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</si>
  <si>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</si>
  <si>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</si>
  <si>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</si>
  <si>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</si>
  <si>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</si>
  <si>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</si>
  <si>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</si>
  <si>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</si>
  <si>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</si>
  <si>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</si>
  <si>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</si>
  <si>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</si>
  <si>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</si>
  <si>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</si>
  <si>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</si>
  <si>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</si>
  <si>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</si>
  <si>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</si>
  <si>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</si>
  <si>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</si>
  <si>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</si>
  <si>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</si>
  <si>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</si>
  <si>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</si>
  <si>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</si>
  <si>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</si>
  <si>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</si>
  <si>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</si>
  <si>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</si>
  <si>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</si>
  <si>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</si>
  <si>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</si>
  <si>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</si>
  <si>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</si>
  <si>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</si>
  <si>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</si>
  <si>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</si>
  <si>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</si>
  <si>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</si>
  <si>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</si>
  <si>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</si>
  <si>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</si>
  <si>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</si>
  <si>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</si>
  <si>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</si>
  <si>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</si>
  <si>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</si>
  <si>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</si>
  <si>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</si>
  <si>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</si>
  <si>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</si>
  <si>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</si>
  <si>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</si>
  <si>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</si>
  <si>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</si>
  <si>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</si>
  <si>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</si>
  <si>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</si>
  <si>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</si>
  <si>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</si>
  <si>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</si>
  <si>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</si>
  <si>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</si>
  <si>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</si>
  <si>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</si>
  <si>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</si>
  <si>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</si>
  <si>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</si>
  <si>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</si>
  <si>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</si>
  <si>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</si>
  <si>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</si>
  <si>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</si>
  <si>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</si>
  <si>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</si>
  <si>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</si>
  <si>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</si>
  <si>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</si>
  <si>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</si>
  <si>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</si>
  <si>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</si>
  <si>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</si>
  <si>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</si>
  <si>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</si>
  <si>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</si>
  <si>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</si>
  <si>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</si>
  <si>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</si>
  <si>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</si>
  <si>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</si>
  <si>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</si>
  <si>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</si>
  <si>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</si>
  <si>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</si>
  <si>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</si>
  <si>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</si>
  <si>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</si>
  <si>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</si>
  <si>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</si>
  <si>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</si>
  <si>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</si>
  <si>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</si>
  <si>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</si>
  <si>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</si>
  <si>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</si>
  <si>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</si>
  <si>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</si>
  <si>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</si>
  <si>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</si>
  <si>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</si>
  <si>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</si>
  <si>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</si>
  <si>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</si>
  <si>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</si>
  <si>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</si>
  <si>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</si>
  <si>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</si>
  <si>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</si>
  <si>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</si>
  <si>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</si>
  <si>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</si>
  <si>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</si>
  <si>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</si>
  <si>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</si>
  <si>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</si>
  <si>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</si>
  <si>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</si>
  <si>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</si>
  <si>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</si>
  <si>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</si>
  <si>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</si>
  <si>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</si>
  <si>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</si>
  <si>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</si>
  <si>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</si>
  <si>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</si>
  <si>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</si>
  <si>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</si>
  <si>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</si>
  <si>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</si>
  <si>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</si>
  <si>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</si>
  <si>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</si>
  <si>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</si>
  <si>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</si>
  <si>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</si>
  <si>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</si>
  <si>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</si>
  <si>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</si>
  <si>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</si>
  <si>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</si>
  <si>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</si>
  <si>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</si>
  <si>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</si>
  <si>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</si>
  <si>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</si>
  <si>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</si>
  <si>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</si>
  <si>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</si>
  <si>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</si>
  <si>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</si>
  <si>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</si>
  <si>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</si>
  <si>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</si>
  <si>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</si>
  <si>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</si>
  <si>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</si>
  <si>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</si>
  <si>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</si>
  <si>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</si>
  <si>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</si>
  <si>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</si>
  <si>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</si>
  <si>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</si>
  <si>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</si>
  <si>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</si>
  <si>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</si>
  <si>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</si>
  <si>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</si>
  <si>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</si>
  <si>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</si>
  <si>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</si>
  <si>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</si>
  <si>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</si>
  <si>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</si>
  <si>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</si>
  <si>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</si>
  <si>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</si>
  <si>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</si>
  <si>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</si>
  <si>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</si>
  <si>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</si>
  <si>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</si>
  <si>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</si>
  <si>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</si>
  <si>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</si>
  <si>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</si>
  <si>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</si>
  <si>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</si>
  <si>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</si>
  <si>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</si>
  <si>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</si>
  <si>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</si>
  <si>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</si>
  <si>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</si>
  <si>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</si>
  <si>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</si>
  <si>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</si>
  <si>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</si>
  <si>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</si>
  <si>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</si>
  <si>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</si>
  <si>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</si>
  <si>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</si>
  <si>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</si>
  <si>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</si>
  <si>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</si>
  <si>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</si>
  <si>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</si>
  <si>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</si>
  <si>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</si>
  <si>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</si>
  <si>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</si>
  <si>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</si>
  <si>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</si>
  <si>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</si>
  <si>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</si>
  <si>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</si>
  <si>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</si>
  <si>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</si>
  <si>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</si>
  <si>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</si>
  <si>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</si>
  <si>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</si>
  <si>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</si>
  <si>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</si>
  <si>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</si>
  <si>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</si>
  <si>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</si>
  <si>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</si>
  <si>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</si>
  <si>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</si>
  <si>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</si>
  <si>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</si>
  <si>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</si>
  <si>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</si>
  <si>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</si>
  <si>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</si>
  <si>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</si>
  <si>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</si>
  <si>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</si>
  <si>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</si>
  <si>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</si>
  <si>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</si>
  <si>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</si>
  <si>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</si>
  <si>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</si>
  <si>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</si>
  <si>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</si>
  <si>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</si>
  <si>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</si>
  <si>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</si>
  <si>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</si>
  <si>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</si>
  <si>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</si>
  <si>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</si>
  <si>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</si>
  <si>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</si>
  <si>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</si>
  <si>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</si>
  <si>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</si>
  <si>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</si>
  <si>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</si>
  <si>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</si>
  <si>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</si>
  <si>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</si>
  <si>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</si>
  <si>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</si>
  <si>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</si>
  <si>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</si>
  <si>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</si>
  <si>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</si>
  <si>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</si>
  <si>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</si>
  <si>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</si>
  <si>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</si>
  <si>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</si>
  <si>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</si>
  <si>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</si>
  <si>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</si>
  <si>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</si>
  <si>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</si>
  <si>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</si>
  <si>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</si>
  <si>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</si>
  <si>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</si>
  <si>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</si>
  <si>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</si>
  <si>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</si>
  <si>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</si>
  <si>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</si>
  <si>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</si>
  <si>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</si>
  <si>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</si>
  <si>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</si>
  <si>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</si>
  <si>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</si>
  <si>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</si>
  <si>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</si>
  <si>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</si>
  <si>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</si>
  <si>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</si>
  <si>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</si>
  <si>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</si>
  <si>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</si>
  <si>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</si>
  <si>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</si>
  <si>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</si>
  <si>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</si>
  <si>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</si>
  <si>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</si>
  <si>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</si>
  <si>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</si>
  <si>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</si>
  <si>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</si>
  <si>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</si>
  <si>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</si>
  <si>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</si>
  <si>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</si>
  <si>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</si>
  <si>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</si>
  <si>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</si>
  <si>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</si>
  <si>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</si>
  <si>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</si>
  <si>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</si>
  <si>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</si>
  <si>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</si>
  <si>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</si>
  <si>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</si>
  <si>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</si>
  <si>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</si>
  <si>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</si>
  <si>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</si>
  <si>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</si>
  <si>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</si>
  <si>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</si>
  <si>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</si>
  <si>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</si>
  <si>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</si>
  <si>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</si>
  <si>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</si>
  <si>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</si>
  <si>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</si>
  <si>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</si>
  <si>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</si>
  <si>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</si>
  <si>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</si>
  <si>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</si>
  <si>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</si>
  <si>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</si>
  <si>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</si>
  <si>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</si>
  <si>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</si>
  <si>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</si>
  <si>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</si>
  <si>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</si>
  <si>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</si>
  <si>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</si>
  <si>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</si>
  <si>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</si>
  <si>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</si>
  <si>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</si>
  <si>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</si>
  <si>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</si>
  <si>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</si>
  <si>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</si>
  <si>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</si>
  <si>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</si>
  <si>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</si>
  <si>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</si>
  <si>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</si>
  <si>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</si>
  <si>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</si>
  <si>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</si>
  <si>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</si>
  <si>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</si>
  <si>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</si>
  <si>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</si>
  <si>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</si>
  <si>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</si>
  <si>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</si>
  <si>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</si>
  <si>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</si>
  <si>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</si>
  <si>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</si>
  <si>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</si>
  <si>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</si>
  <si>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</si>
  <si>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</si>
  <si>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</si>
  <si>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</si>
  <si>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</si>
  <si>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</si>
  <si>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</si>
  <si>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</si>
  <si>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</si>
  <si>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</si>
  <si>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</si>
  <si>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</si>
  <si>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</si>
  <si>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</si>
  <si>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</si>
  <si>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</si>
  <si>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</si>
  <si>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</si>
  <si>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</si>
  <si>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</si>
  <si>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</si>
  <si>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</si>
  <si>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</si>
  <si>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</si>
  <si>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</si>
  <si>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</si>
  <si>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</si>
  <si>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</si>
  <si>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</si>
  <si>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</si>
  <si>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</si>
  <si>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</si>
  <si>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</si>
  <si>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</si>
  <si>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</si>
  <si>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</si>
  <si>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</si>
  <si>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Afrikaans</t>
  </si>
  <si>
    <t>http://publications.europa.eu/resource/authority/language/AFR</t>
  </si>
  <si>
    <t>Amharic</t>
  </si>
  <si>
    <t>http://publications.europa.eu/resource/authority/language/AMH</t>
  </si>
  <si>
    <t>Arabic</t>
  </si>
  <si>
    <t>http://publications.europa.eu/resource/authority/language/ARA</t>
  </si>
  <si>
    <t>Aymara</t>
  </si>
  <si>
    <t>http://publications.europa.eu/resource/authority/language/AYM</t>
  </si>
  <si>
    <t>Azerbaijani</t>
  </si>
  <si>
    <t>http://publications.europa.eu/resource/authority/language/AZE</t>
  </si>
  <si>
    <t>Belarusian</t>
  </si>
  <si>
    <t>http://publications.europa.eu/resource/authority/language/BEL</t>
  </si>
  <si>
    <t>Bengali</t>
  </si>
  <si>
    <t>http://publications.europa.eu/resource/authority/language/BEN</t>
  </si>
  <si>
    <t>Bislama</t>
  </si>
  <si>
    <t>http://publications.europa.eu/resource/authority/language/BIS</t>
  </si>
  <si>
    <t>Tibetan</t>
  </si>
  <si>
    <t>http://publications.europa.eu/resource/authority/language/BOD</t>
  </si>
  <si>
    <t>Bosnian</t>
  </si>
  <si>
    <t>http://publications.europa.eu/resource/authority/language/BOS</t>
  </si>
  <si>
    <t>Breton</t>
  </si>
  <si>
    <t>http://publications.europa.eu/resource/authority/language/BRE</t>
  </si>
  <si>
    <t>Bulgarian</t>
  </si>
  <si>
    <t>Catalan</t>
  </si>
  <si>
    <t>http://publications.europa.eu/resource/authority/language/CAT</t>
  </si>
  <si>
    <t>Czech</t>
  </si>
  <si>
    <t>Chamorro</t>
  </si>
  <si>
    <t>http://publications.europa.eu/resource/authority/language/CHA</t>
  </si>
  <si>
    <t>Cornish</t>
  </si>
  <si>
    <t>http://publications.europa.eu/resource/authority/language/COR</t>
  </si>
  <si>
    <t>Corsican</t>
  </si>
  <si>
    <t>http://publications.europa.eu/resource/authority/language/COS</t>
  </si>
  <si>
    <t>Welsh</t>
  </si>
  <si>
    <t>http://publications.europa.eu/resource/authority/language/CYM</t>
  </si>
  <si>
    <t>Danish</t>
  </si>
  <si>
    <t>German</t>
  </si>
  <si>
    <t>Dhivehi</t>
  </si>
  <si>
    <t>http://publications.europa.eu/resource/authority/language/DIV</t>
  </si>
  <si>
    <t>Dzongkha</t>
  </si>
  <si>
    <t>http://publications.europa.eu/resource/authority/language/DZO</t>
  </si>
  <si>
    <t>Greek</t>
  </si>
  <si>
    <t>Esperanto</t>
  </si>
  <si>
    <t>http://publications.europa.eu/resource/authority/language/EPO</t>
  </si>
  <si>
    <t>Estonian</t>
  </si>
  <si>
    <t>Basque</t>
  </si>
  <si>
    <t>http://publications.europa.eu/resource/authority/language/EUS</t>
  </si>
  <si>
    <t>Ewe</t>
  </si>
  <si>
    <t>http://publications.europa.eu/resource/authority/language/EWE</t>
  </si>
  <si>
    <t>Faroese</t>
  </si>
  <si>
    <t>http://publications.europa.eu/resource/authority/language/FAO</t>
  </si>
  <si>
    <t>Persian</t>
  </si>
  <si>
    <t>http://publications.europa.eu/resource/authority/language/FAS</t>
  </si>
  <si>
    <t>Fijian</t>
  </si>
  <si>
    <t>http://publications.europa.eu/resource/authority/language/FIJ</t>
  </si>
  <si>
    <t>Finnish</t>
  </si>
  <si>
    <t>French</t>
  </si>
  <si>
    <t>Frisian</t>
  </si>
  <si>
    <t>http://publications.europa.eu/resource/authority/language/FRY</t>
  </si>
  <si>
    <t>Scottish Gaelic</t>
  </si>
  <si>
    <t>http://publications.europa.eu/resource/authority/language/GLA</t>
  </si>
  <si>
    <t>Irish</t>
  </si>
  <si>
    <t>Galician</t>
  </si>
  <si>
    <t>http://publications.europa.eu/resource/authority/language/GLG</t>
  </si>
  <si>
    <t>Manx</t>
  </si>
  <si>
    <t>http://publications.europa.eu/resource/authority/language/GLV</t>
  </si>
  <si>
    <t>Guarani</t>
  </si>
  <si>
    <t>http://publications.europa.eu/resource/authority/language/GRN</t>
  </si>
  <si>
    <t>Haitian</t>
  </si>
  <si>
    <t>http://publications.europa.eu/resource/authority/language/HAT</t>
  </si>
  <si>
    <t>Hebrew</t>
  </si>
  <si>
    <t>http://publications.europa.eu/resource/authority/language/HEB</t>
  </si>
  <si>
    <t>Hindi</t>
  </si>
  <si>
    <t>http://publications.europa.eu/resource/authority/language/HIN</t>
  </si>
  <si>
    <t>Hiri Motu</t>
  </si>
  <si>
    <t>http://publications.europa.eu/resource/authority/language/HMO</t>
  </si>
  <si>
    <t>Croatian</t>
  </si>
  <si>
    <t>Hungarian</t>
  </si>
  <si>
    <t>Armenian</t>
  </si>
  <si>
    <t>http://publications.europa.eu/resource/authority/language/HYE</t>
  </si>
  <si>
    <t>Igbo</t>
  </si>
  <si>
    <t>http://publications.europa.eu/resource/authority/language/IBO</t>
  </si>
  <si>
    <t>Interlingua</t>
  </si>
  <si>
    <t>http://publications.europa.eu/resource/authority/language/INA</t>
  </si>
  <si>
    <t>Indonesian</t>
  </si>
  <si>
    <t>http://publications.europa.eu/resource/authority/language/IND</t>
  </si>
  <si>
    <t>Icelandic</t>
  </si>
  <si>
    <t>Italian</t>
  </si>
  <si>
    <t>Japanese</t>
  </si>
  <si>
    <t>http://publications.europa.eu/resource/authority/language/JPN</t>
  </si>
  <si>
    <t>Greenlandic</t>
  </si>
  <si>
    <t>http://publications.europa.eu/resource/authority/language/KAL</t>
  </si>
  <si>
    <t>Georgian</t>
  </si>
  <si>
    <t>http://publications.europa.eu/resource/authority/language/KAT</t>
  </si>
  <si>
    <t>Kazakh</t>
  </si>
  <si>
    <t>http://publications.europa.eu/resource/authority/language/KAZ</t>
  </si>
  <si>
    <t>Khmer</t>
  </si>
  <si>
    <t>http://publications.europa.eu/resource/authority/language/KHM</t>
  </si>
  <si>
    <t>Kinyarwanda</t>
  </si>
  <si>
    <t>http://publications.europa.eu/resource/authority/language/KIN</t>
  </si>
  <si>
    <t>Kyrgyz</t>
  </si>
  <si>
    <t>http://publications.europa.eu/resource/authority/language/KIR</t>
  </si>
  <si>
    <t>Kikongo</t>
  </si>
  <si>
    <t>http://publications.europa.eu/resource/authority/language/KON</t>
  </si>
  <si>
    <t>Korean</t>
  </si>
  <si>
    <t>http://publications.europa.eu/resource/authority/language/KOR</t>
  </si>
  <si>
    <t>Kurdish</t>
  </si>
  <si>
    <t>http://publications.europa.eu/resource/authority/language/KUR</t>
  </si>
  <si>
    <t>Lao</t>
  </si>
  <si>
    <t>http://publications.europa.eu/resource/authority/language/LAO</t>
  </si>
  <si>
    <t>Latin</t>
  </si>
  <si>
    <t>http://publications.europa.eu/resource/authority/language/LAT</t>
  </si>
  <si>
    <t>Latvian</t>
  </si>
  <si>
    <t>Lingala</t>
  </si>
  <si>
    <t>http://publications.europa.eu/resource/authority/language/LIN</t>
  </si>
  <si>
    <t>Lithuanian</t>
  </si>
  <si>
    <t>Luxembourgish</t>
  </si>
  <si>
    <t>http://publications.europa.eu/resource/authority/language/LTZ</t>
  </si>
  <si>
    <t>Marshallese</t>
  </si>
  <si>
    <t>http://publications.europa.eu/resource/authority/language/MAH</t>
  </si>
  <si>
    <t>Macedonian</t>
  </si>
  <si>
    <t>http://publications.europa.eu/resource/authority/language/MKD</t>
  </si>
  <si>
    <t>Malagasy</t>
  </si>
  <si>
    <t>http://publications.europa.eu/resource/authority/language/MLG</t>
  </si>
  <si>
    <t>Maltese</t>
  </si>
  <si>
    <t>Mongolian</t>
  </si>
  <si>
    <t>http://publications.europa.eu/resource/authority/language/MON</t>
  </si>
  <si>
    <t>Māori</t>
  </si>
  <si>
    <t>http://publications.europa.eu/resource/authority/language/MRI</t>
  </si>
  <si>
    <t>Malaysian</t>
  </si>
  <si>
    <t>http://publications.europa.eu/resource/authority/language/MSA</t>
  </si>
  <si>
    <t>Burmese</t>
  </si>
  <si>
    <t>http://publications.europa.eu/resource/authority/language/MYA</t>
  </si>
  <si>
    <t>Nauruan</t>
  </si>
  <si>
    <t>http://publications.europa.eu/resource/authority/language/NAU</t>
  </si>
  <si>
    <t>Southhern Ndebele</t>
  </si>
  <si>
    <t>http://publications.europa.eu/resource/authority/language/NBL</t>
  </si>
  <si>
    <t>Nepali</t>
  </si>
  <si>
    <t>http://publications.europa.eu/resource/authority/language/NEP</t>
  </si>
  <si>
    <t>Dutch</t>
  </si>
  <si>
    <t>Norwegian Nynorsk</t>
  </si>
  <si>
    <t>http://publications.europa.eu/resource/authority/language/NNO</t>
  </si>
  <si>
    <t>Norwegian Bokmål</t>
  </si>
  <si>
    <t>http://publications.europa.eu/resource/authority/language/NOB</t>
  </si>
  <si>
    <t>Norwegian</t>
  </si>
  <si>
    <t>Chewa</t>
  </si>
  <si>
    <t>http://publications.europa.eu/resource/authority/language/NYA</t>
  </si>
  <si>
    <t>Occitan</t>
  </si>
  <si>
    <t>http://publications.europa.eu/resource/authority/language/OCI</t>
  </si>
  <si>
    <t>Ossetic</t>
  </si>
  <si>
    <t>http://publications.europa.eu/resource/authority/language/OSS</t>
  </si>
  <si>
    <t>Punjabi</t>
  </si>
  <si>
    <t>http://publications.europa.eu/resource/authority/language/PAN</t>
  </si>
  <si>
    <t>Polish</t>
  </si>
  <si>
    <t>Portuguese</t>
  </si>
  <si>
    <t>Pashto</t>
  </si>
  <si>
    <t>http://publications.europa.eu/resource/authority/language/PUS</t>
  </si>
  <si>
    <t>Quechua</t>
  </si>
  <si>
    <t>http://publications.europa.eu/resource/authority/language/QUE</t>
  </si>
  <si>
    <t>Romansh</t>
  </si>
  <si>
    <t>http://publications.europa.eu/resource/authority/language/ROH</t>
  </si>
  <si>
    <t>Romanian</t>
  </si>
  <si>
    <t>Kirundi</t>
  </si>
  <si>
    <t>http://publications.europa.eu/resource/authority/language/RUN</t>
  </si>
  <si>
    <t>Russian</t>
  </si>
  <si>
    <t>http://publications.europa.eu/resource/authority/language/RUS</t>
  </si>
  <si>
    <t>Sango</t>
  </si>
  <si>
    <t>http://publications.europa.eu/resource/authority/language/SAG</t>
  </si>
  <si>
    <t>Sinhala</t>
  </si>
  <si>
    <t>http://publications.europa.eu/resource/authority/language/SIN</t>
  </si>
  <si>
    <t>Slovak</t>
  </si>
  <si>
    <t>Slovenian</t>
  </si>
  <si>
    <t>Northern Sami</t>
  </si>
  <si>
    <t>http://publications.europa.eu/resource/authority/language/SME</t>
  </si>
  <si>
    <t>Samoan</t>
  </si>
  <si>
    <t>http://publications.europa.eu/resource/authority/language/SMO</t>
  </si>
  <si>
    <t>Somali</t>
  </si>
  <si>
    <t>http://publications.europa.eu/resource/authority/language/SOM</t>
  </si>
  <si>
    <t>Southern Sotho</t>
  </si>
  <si>
    <t>http://publications.europa.eu/resource/authority/language/SOT</t>
  </si>
  <si>
    <t>Spanish</t>
  </si>
  <si>
    <t>Albanian</t>
  </si>
  <si>
    <t>http://publications.europa.eu/resource/authority/language/SQI</t>
  </si>
  <si>
    <t>Serbian</t>
  </si>
  <si>
    <t>http://publications.europa.eu/resource/authority/language/SRP</t>
  </si>
  <si>
    <t>Swazi</t>
  </si>
  <si>
    <t>http://publications.europa.eu/resource/authority/language/SSW</t>
  </si>
  <si>
    <t>Swahili</t>
  </si>
  <si>
    <t>http://publications.europa.eu/resource/authority/language/SWA</t>
  </si>
  <si>
    <t>Swedish</t>
  </si>
  <si>
    <t>Tamil</t>
  </si>
  <si>
    <t>http://publications.europa.eu/resource/authority/language/TAM</t>
  </si>
  <si>
    <t>Tajik</t>
  </si>
  <si>
    <t>http://publications.europa.eu/resource/authority/language/TGK</t>
  </si>
  <si>
    <t>Thai</t>
  </si>
  <si>
    <t>http://publications.europa.eu/resource/authority/language/THA</t>
  </si>
  <si>
    <t>Tigrinya</t>
  </si>
  <si>
    <t>http://publications.europa.eu/resource/authority/language/TIR</t>
  </si>
  <si>
    <t>Tongan</t>
  </si>
  <si>
    <t>http://publications.europa.eu/resource/authority/language/TON</t>
  </si>
  <si>
    <t>Tswana</t>
  </si>
  <si>
    <t>http://publications.europa.eu/resource/authority/language/TSN</t>
  </si>
  <si>
    <t>Tsonga</t>
  </si>
  <si>
    <t>http://publications.europa.eu/resource/authority/language/TSO</t>
  </si>
  <si>
    <t>Turkmen</t>
  </si>
  <si>
    <t>http://publications.europa.eu/resource/authority/language/TUK</t>
  </si>
  <si>
    <t>Turkish</t>
  </si>
  <si>
    <t>http://publications.europa.eu/resource/authority/language/TUR</t>
  </si>
  <si>
    <t>Ukrainian</t>
  </si>
  <si>
    <t>http://publications.europa.eu/resource/authority/language/UKR</t>
  </si>
  <si>
    <t>Urdu</t>
  </si>
  <si>
    <t>http://publications.europa.eu/resource/authority/language/URD</t>
  </si>
  <si>
    <t>Uzbek</t>
  </si>
  <si>
    <t>http://publications.europa.eu/resource/authority/language/UZB</t>
  </si>
  <si>
    <t>Venda</t>
  </si>
  <si>
    <t>http://publications.europa.eu/resource/authority/language/VEN</t>
  </si>
  <si>
    <t>Vietnamese</t>
  </si>
  <si>
    <t>http://publications.europa.eu/resource/authority/language/VIE</t>
  </si>
  <si>
    <t>Walloon</t>
  </si>
  <si>
    <t>http://publications.europa.eu/resource/authority/language/WLN</t>
  </si>
  <si>
    <t>Wolof</t>
  </si>
  <si>
    <t>http://publications.europa.eu/resource/authority/language/WOL</t>
  </si>
  <si>
    <t>Xhosa</t>
  </si>
  <si>
    <t>http://publications.europa.eu/resource/authority/language/XHO</t>
  </si>
  <si>
    <t>Yiddish</t>
  </si>
  <si>
    <t>http://publications.europa.eu/resource/authority/language/YID</t>
  </si>
  <si>
    <t>Chinese</t>
  </si>
  <si>
    <t>http://publications.europa.eu/resource/authority/language/ZHO</t>
  </si>
  <si>
    <t>Zulu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</si>
  <si>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</si>
  <si>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</si>
  <si>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</si>
  <si>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</si>
  <si>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</si>
  <si>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</si>
  <si>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</si>
  <si>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</si>
  <si>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</si>
  <si>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</si>
  <si>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</si>
  <si>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</si>
  <si>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</si>
  <si>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</si>
  <si>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</si>
  <si>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</si>
  <si>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</si>
  <si>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</si>
  <si>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</si>
  <si>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</si>
  <si>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</si>
  <si>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</si>
  <si>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</si>
  <si>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</si>
  <si>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</si>
  <si>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</si>
  <si>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</si>
  <si>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</si>
  <si>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</si>
  <si>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</si>
  <si>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</si>
  <si>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</si>
  <si>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</si>
  <si>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</si>
  <si>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</si>
  <si>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</si>
  <si>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</si>
  <si>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</si>
  <si>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</si>
  <si>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</si>
  <si>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</si>
  <si>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</si>
  <si>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</si>
  <si>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</si>
  <si>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</si>
  <si>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</si>
  <si>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</si>
  <si>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</si>
  <si>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</si>
  <si>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</si>
  <si>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</si>
  <si>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</si>
  <si>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</si>
  <si>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</si>
  <si>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</si>
  <si>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</si>
  <si>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</si>
  <si>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</si>
  <si>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</si>
  <si>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</si>
  <si>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</si>
  <si>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</si>
  <si>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</si>
  <si>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</si>
  <si>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</si>
  <si>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</si>
  <si>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</si>
  <si>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</si>
  <si>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</si>
  <si>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</si>
  <si>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</si>
  <si>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</si>
  <si>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</si>
  <si>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</si>
  <si>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</si>
  <si>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</si>
  <si>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</si>
  <si>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</si>
  <si>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</si>
  <si>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</si>
  <si>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</si>
  <si>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</si>
  <si>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</si>
  <si>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</si>
  <si>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</si>
  <si>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</si>
  <si>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</si>
  <si>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</si>
  <si>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</si>
  <si>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</si>
  <si>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</si>
  <si>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</si>
  <si>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</si>
  <si>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</si>
  <si>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</si>
  <si>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</si>
  <si>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</si>
  <si>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</si>
  <si>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</si>
  <si>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</si>
  <si>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</si>
  <si>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</si>
  <si>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</si>
  <si>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</si>
  <si>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</si>
  <si>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</si>
  <si>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</si>
  <si>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</si>
  <si>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</si>
  <si>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</si>
  <si>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</si>
  <si>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</si>
  <si>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</si>
  <si>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</si>
  <si>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</si>
  <si>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</si>
  <si>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</si>
  <si>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</si>
  <si>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</si>
  <si>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</si>
  <si>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</si>
  <si>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</si>
  <si>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</si>
  <si>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</si>
  <si>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</si>
  <si>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</si>
  <si>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</si>
  <si>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</si>
  <si>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</si>
  <si>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</si>
  <si>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</si>
  <si>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</si>
  <si>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</si>
  <si>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</si>
  <si>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</si>
  <si>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</si>
  <si>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</si>
  <si>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</si>
  <si>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</si>
  <si>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</si>
  <si>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</si>
  <si>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</si>
  <si>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</si>
  <si>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</si>
  <si>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</si>
  <si>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</si>
  <si>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</si>
  <si>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</si>
  <si>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</si>
  <si>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</si>
  <si>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</si>
  <si>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</si>
  <si>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</si>
  <si>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</si>
  <si>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</si>
  <si>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</si>
  <si>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</si>
  <si>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</si>
  <si>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</si>
  <si>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</si>
  <si>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</si>
  <si>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</si>
  <si>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</si>
  <si>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</si>
  <si>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</si>
  <si>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</si>
  <si>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</si>
  <si>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</si>
  <si>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</si>
  <si>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</si>
  <si>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</si>
  <si>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</si>
  <si>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</si>
  <si>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</si>
  <si>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</si>
  <si>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</si>
  <si>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</si>
  <si>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</si>
  <si>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</si>
  <si>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</si>
  <si>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</si>
  <si>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</si>
  <si>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</si>
  <si>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</si>
  <si>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</si>
  <si>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</si>
  <si>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</si>
  <si>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</si>
  <si>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</si>
  <si>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</si>
  <si>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</si>
  <si>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</si>
  <si>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</si>
  <si>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</si>
  <si>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</si>
  <si>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</si>
  <si>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</si>
  <si>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</si>
  <si>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</si>
  <si>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</si>
  <si>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</si>
  <si>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</si>
  <si>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</si>
  <si>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</si>
  <si>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</si>
  <si>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</si>
  <si>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</si>
  <si>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</si>
  <si>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</si>
  <si>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</si>
  <si>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</si>
  <si>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</si>
  <si>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</si>
  <si>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</si>
  <si>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</si>
  <si>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</si>
  <si>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</si>
  <si>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</si>
  <si>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</si>
  <si>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</si>
  <si>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</si>
  <si>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</si>
  <si>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</si>
  <si>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</si>
  <si>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</si>
  <si>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</si>
  <si>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</si>
  <si>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</si>
  <si>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</si>
  <si>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</si>
  <si>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</si>
  <si>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</si>
  <si>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</si>
  <si>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</si>
  <si>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</si>
  <si>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</si>
  <si>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</si>
  <si>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</si>
  <si>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</si>
  <si>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</si>
  <si>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</si>
  <si>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</si>
  <si>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</si>
  <si>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</si>
  <si>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</si>
  <si>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</si>
  <si>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</si>
  <si>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</si>
  <si>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</si>
  <si>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</si>
  <si>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</si>
  <si>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</si>
  <si>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</si>
  <si>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</si>
  <si>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</si>
  <si>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</si>
  <si>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</si>
  <si>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</si>
  <si>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</si>
  <si>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</si>
  <si>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</si>
  <si>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</si>
  <si>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</si>
  <si>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</si>
  <si>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</si>
  <si>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</si>
  <si>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</si>
  <si>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</si>
  <si>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</si>
  <si>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</si>
  <si>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</si>
  <si>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</si>
  <si>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</si>
  <si>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</si>
  <si>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</si>
  <si>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</si>
  <si>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</si>
  <si>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</si>
  <si>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</si>
  <si>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</si>
  <si>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</si>
  <si>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</si>
  <si>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</si>
  <si>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</si>
  <si>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</si>
  <si>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</si>
  <si>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</si>
  <si>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</si>
  <si>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</si>
  <si>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</si>
  <si>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</si>
  <si>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</si>
  <si>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</si>
  <si>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</si>
  <si>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</si>
  <si>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</si>
  <si>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</si>
  <si>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</si>
  <si>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</si>
  <si>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</si>
  <si>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</si>
  <si>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</si>
  <si>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</si>
  <si>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</si>
  <si>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</si>
  <si>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</si>
  <si>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</si>
  <si>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</si>
  <si>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</si>
  <si>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</si>
  <si>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</si>
  <si>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</si>
  <si>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</si>
  <si>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</si>
  <si>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</si>
  <si>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</si>
  <si>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</si>
  <si>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</si>
  <si>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</si>
  <si>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</si>
  <si>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</si>
  <si>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</si>
  <si>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</si>
  <si>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</si>
  <si>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</si>
  <si>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</si>
  <si>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</si>
  <si>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</si>
  <si>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</si>
  <si>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</si>
  <si>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</si>
  <si>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</si>
  <si>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</si>
  <si>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</si>
  <si>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</si>
  <si>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</si>
  <si>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</si>
  <si>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</si>
  <si>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</si>
  <si>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</si>
  <si>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</si>
  <si>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</si>
  <si>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</si>
  <si>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</si>
  <si>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</si>
  <si>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</si>
  <si>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</si>
  <si>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</si>
  <si>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</si>
  <si>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</si>
  <si>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</si>
  <si>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</si>
  <si>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</si>
  <si>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</si>
  <si>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</si>
  <si>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</si>
  <si>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</si>
  <si>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</si>
  <si>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</si>
  <si>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</si>
  <si>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</si>
  <si>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</si>
  <si>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</si>
  <si>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</si>
  <si>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</si>
  <si>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</si>
  <si>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</si>
  <si>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</si>
  <si>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</si>
  <si>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</si>
  <si>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</si>
  <si>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</si>
  <si>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</si>
  <si>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</si>
  <si>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</si>
  <si>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</si>
  <si>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</si>
  <si>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</si>
  <si>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</si>
  <si>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</si>
  <si>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</si>
  <si>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</si>
  <si>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</si>
  <si>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</si>
  <si>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</si>
  <si>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</si>
  <si>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</si>
  <si>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</si>
  <si>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</si>
  <si>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</si>
  <si>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</si>
  <si>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</si>
  <si>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</si>
  <si>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</si>
  <si>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</si>
  <si>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</si>
  <si>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</si>
  <si>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</si>
  <si>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</si>
  <si>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</si>
  <si>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</si>
  <si>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</si>
  <si>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</si>
  <si>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</si>
  <si>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</si>
  <si>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</si>
  <si>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</si>
  <si>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</si>
  <si>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</si>
  <si>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</si>
  <si>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</si>
  <si>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</si>
  <si>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</si>
  <si>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</si>
  <si>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</si>
  <si>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</si>
  <si>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</si>
  <si>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</si>
  <si>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</si>
  <si>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</si>
  <si>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</si>
  <si>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</si>
  <si>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</si>
  <si>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</si>
  <si>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</si>
  <si>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</si>
  <si>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</si>
  <si>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</si>
  <si>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</si>
  <si>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</si>
  <si>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</si>
  <si>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</si>
  <si>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</si>
  <si>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</si>
  <si>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</si>
  <si>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</si>
  <si>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</si>
  <si>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</si>
  <si>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</si>
  <si>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</si>
  <si>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</si>
  <si>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</si>
  <si>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</si>
  <si>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</si>
  <si>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</si>
  <si>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</si>
  <si>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</si>
  <si>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</si>
  <si>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</si>
  <si>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</si>
  <si>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</si>
  <si>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</si>
  <si>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</si>
  <si>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</si>
  <si>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</si>
  <si>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</si>
  <si>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</si>
  <si>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</si>
  <si>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</si>
  <si>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</si>
  <si>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</si>
  <si>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</si>
  <si>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</si>
  <si>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</si>
  <si>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</si>
  <si>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</si>
  <si>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</si>
  <si>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</si>
  <si>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</si>
  <si>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</si>
  <si>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</si>
  <si>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</si>
  <si>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</si>
  <si>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</si>
  <si>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</si>
  <si>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</si>
  <si>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</si>
  <si>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</si>
  <si>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</si>
  <si>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</si>
  <si>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</si>
  <si>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</si>
  <si>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</si>
  <si>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</si>
  <si>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</si>
  <si>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</si>
  <si>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</si>
  <si>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</si>
  <si>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</si>
  <si>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</si>
  <si>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</si>
  <si>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</si>
  <si>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</si>
  <si>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</si>
  <si>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</si>
  <si>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</si>
  <si>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</si>
  <si>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</si>
  <si>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</si>
  <si>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</si>
  <si>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</si>
  <si>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</si>
  <si>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</si>
  <si>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</si>
  <si>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</si>
  <si>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</si>
  <si>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</si>
  <si>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</si>
  <si>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</si>
  <si>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</si>
  <si>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</si>
  <si>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</si>
  <si>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</si>
  <si>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</si>
  <si>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</si>
  <si>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</si>
  <si>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</si>
  <si>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</si>
  <si>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</si>
  <si>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</si>
  <si>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</si>
  <si>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</si>
  <si>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</si>
  <si>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</si>
  <si>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</si>
  <si>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</si>
  <si>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</si>
  <si>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</si>
  <si>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</si>
  <si>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</si>
  <si>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</si>
  <si>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</si>
  <si>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</si>
  <si>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</si>
  <si>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</si>
  <si>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</si>
  <si>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</si>
  <si>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</si>
  <si>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</si>
  <si>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</si>
  <si>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</si>
  <si>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</si>
  <si>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</si>
  <si>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</si>
  <si>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</si>
  <si>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</si>
  <si>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</si>
  <si>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</si>
  <si>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</si>
  <si>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</si>
  <si>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</si>
  <si>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</si>
  <si>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</si>
  <si>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</si>
  <si>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</si>
  <si>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</si>
  <si>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</si>
  <si>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</si>
  <si>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</si>
  <si>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</si>
  <si>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</si>
  <si>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</si>
  <si>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</si>
  <si>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</si>
  <si>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</si>
  <si>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</si>
  <si>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</si>
  <si>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</si>
  <si>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</si>
  <si>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</si>
  <si>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</si>
  <si>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</si>
  <si>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</si>
  <si>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</si>
  <si>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</si>
  <si>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</si>
  <si>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</si>
  <si>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</si>
  <si>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</si>
  <si>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</si>
  <si>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</si>
  <si>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</si>
  <si>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</si>
  <si>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</si>
  <si>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</si>
  <si>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</si>
  <si>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</si>
  <si>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</si>
  <si>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</si>
  <si>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</si>
  <si>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</si>
  <si>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</si>
  <si>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</si>
  <si>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</si>
  <si>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</si>
  <si>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</si>
  <si>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</si>
  <si>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</si>
  <si>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</si>
  <si>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</si>
  <si>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</si>
  <si>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</si>
  <si>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</si>
  <si>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</si>
  <si>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</si>
  <si>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</si>
  <si>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</si>
  <si>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</si>
  <si>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</si>
  <si>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</si>
  <si>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</si>
  <si>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</si>
  <si>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</si>
  <si>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</si>
  <si>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</si>
  <si>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</si>
  <si>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</si>
  <si>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</si>
  <si>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</si>
  <si>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</si>
  <si>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</si>
  <si>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</si>
  <si>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</si>
  <si>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</si>
  <si>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</si>
  <si>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</si>
  <si>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</si>
  <si>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</si>
  <si>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</si>
  <si>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</si>
  <si>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</si>
  <si>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</si>
  <si>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</si>
  <si>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</si>
  <si>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</si>
  <si>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</si>
  <si>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</si>
  <si>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</si>
  <si>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</si>
  <si>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</si>
  <si>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</si>
  <si>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</si>
  <si>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</si>
  <si>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</si>
  <si>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</si>
  <si>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</si>
  <si>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</si>
  <si>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</si>
  <si>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</si>
  <si>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</si>
  <si>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</si>
  <si>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</si>
  <si>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</si>
  <si>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</si>
  <si>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</si>
  <si>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</si>
  <si>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</si>
  <si>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</si>
  <si>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</si>
  <si>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</si>
  <si>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</si>
  <si>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</si>
  <si>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</si>
  <si>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</si>
  <si>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</si>
  <si>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</si>
  <si>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</si>
  <si>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</si>
  <si>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</si>
  <si>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</si>
  <si>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</si>
  <si>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</si>
  <si>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</si>
  <si>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</si>
  <si>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</si>
  <si>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</si>
  <si>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</si>
  <si>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</si>
  <si>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</si>
  <si>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</si>
  <si>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</si>
  <si>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</si>
  <si>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</si>
  <si>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</si>
  <si>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</si>
  <si>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</si>
  <si>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</si>
  <si>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</si>
  <si>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</si>
  <si>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</si>
  <si>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</si>
  <si>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</si>
  <si>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</si>
  <si>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</si>
  <si>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</si>
  <si>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</si>
  <si>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</si>
  <si>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</si>
  <si>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</si>
  <si>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</si>
  <si>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</si>
  <si>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</si>
  <si>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</si>
  <si>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</si>
  <si>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</si>
  <si>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</si>
  <si>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</si>
  <si>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</si>
  <si>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</si>
  <si>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</si>
  <si>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</si>
  <si>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</si>
  <si>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</si>
  <si>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</si>
  <si>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</si>
  <si>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</si>
  <si>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</si>
  <si>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</si>
  <si>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</si>
  <si>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</si>
  <si>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</si>
  <si>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</si>
  <si>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</si>
  <si>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</si>
  <si>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</si>
  <si>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</si>
  <si>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</si>
  <si>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</si>
  <si>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</si>
  <si>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</si>
  <si>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</si>
  <si>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</si>
  <si>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</si>
  <si>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</si>
  <si>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</si>
  <si>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</si>
  <si>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</si>
  <si>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</si>
  <si>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</si>
  <si>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</si>
  <si>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</si>
  <si>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</si>
  <si>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</si>
  <si>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</si>
  <si>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</si>
  <si>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</si>
  <si>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</si>
  <si>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</si>
  <si>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</si>
  <si>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</si>
  <si>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</si>
  <si>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</si>
  <si>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</si>
  <si>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</si>
  <si>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</si>
  <si>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</si>
  <si>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</si>
  <si>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</si>
  <si>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</si>
  <si>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</si>
  <si>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</si>
  <si>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</si>
  <si>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</si>
  <si>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</si>
  <si>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</si>
  <si>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</si>
  <si>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</si>
  <si>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</si>
  <si>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</si>
  <si>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</si>
  <si>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</si>
  <si>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</si>
  <si>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</si>
  <si>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</si>
  <si>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</si>
  <si>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</si>
  <si>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</si>
  <si>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</si>
  <si>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</si>
  <si>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</si>
  <si>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</si>
  <si>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</si>
  <si>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</si>
  <si>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</si>
  <si>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</si>
  <si>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</si>
  <si>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</si>
  <si>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</si>
  <si>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</si>
  <si>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</si>
  <si>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</si>
  <si>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</si>
  <si>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</si>
  <si>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</si>
  <si>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</si>
  <si>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</si>
  <si>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</si>
  <si>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</si>
  <si>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</si>
  <si>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</si>
  <si>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</si>
  <si>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</si>
  <si>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</si>
  <si>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</si>
  <si>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</si>
  <si>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</si>
  <si>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</si>
  <si>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</si>
  <si>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</si>
  <si>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</si>
  <si>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</si>
  <si>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</si>
  <si>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</si>
  <si>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</si>
  <si>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</si>
  <si>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</si>
  <si>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</si>
  <si>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</si>
  <si>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</si>
  <si>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</si>
  <si>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</si>
  <si>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</si>
  <si>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</si>
  <si>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</si>
  <si>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</si>
  <si>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</si>
  <si>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</si>
  <si>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</si>
  <si>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</si>
  <si>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</si>
  <si>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</si>
  <si>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</si>
  <si>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</si>
  <si>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</si>
  <si>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</si>
  <si>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</si>
  <si>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</si>
  <si>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</si>
  <si>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</si>
  <si>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</si>
  <si>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</si>
  <si>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</si>
  <si>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</si>
  <si>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</si>
  <si>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</si>
  <si>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</si>
  <si>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</si>
  <si>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</si>
  <si>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</si>
  <si>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</si>
  <si>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</si>
  <si>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</si>
  <si>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</si>
  <si>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</si>
  <si>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</si>
  <si>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</si>
  <si>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</si>
  <si>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</si>
  <si>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</si>
  <si>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</si>
  <si>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</si>
  <si>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</si>
  <si>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</si>
  <si>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</si>
  <si>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</si>
  <si>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</si>
  <si>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</si>
  <si>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</si>
  <si>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</si>
  <si>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</si>
  <si>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</si>
  <si>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</si>
  <si>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</si>
  <si>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</si>
  <si>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</si>
  <si>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</si>
  <si>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</si>
  <si>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</si>
  <si>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</si>
  <si>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</si>
  <si>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</si>
  <si>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</si>
  <si>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</si>
  <si>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</si>
  <si>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</si>
  <si>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</si>
  <si>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</si>
  <si>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</si>
  <si>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</si>
  <si>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</si>
  <si>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</si>
  <si>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</si>
  <si>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</si>
  <si>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</si>
  <si>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</si>
  <si>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</si>
  <si>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</si>
  <si>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</si>
  <si>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</si>
  <si>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</si>
  <si>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</si>
  <si>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</si>
  <si>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</si>
  <si>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</si>
  <si>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</si>
  <si>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</si>
  <si>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</si>
  <si>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</si>
  <si>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</si>
  <si>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</si>
  <si>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</si>
  <si>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</si>
  <si>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</si>
  <si>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</si>
  <si>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</si>
  <si>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</si>
  <si>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</si>
  <si>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</si>
  <si>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</si>
  <si>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</si>
  <si>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</si>
  <si>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</si>
  <si>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</si>
  <si>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</si>
  <si>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</si>
  <si>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</si>
  <si>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</si>
  <si>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</si>
  <si>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</si>
  <si>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</si>
  <si>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</si>
  <si>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</si>
  <si>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</si>
  <si>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</si>
  <si>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</si>
  <si>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</si>
  <si>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</si>
  <si>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</si>
  <si>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</si>
  <si>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</si>
  <si>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</si>
  <si>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</si>
  <si>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</si>
  <si>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</si>
  <si>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</si>
  <si>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</si>
  <si>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</si>
  <si>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</si>
  <si>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</si>
  <si>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</si>
  <si>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</si>
  <si>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</si>
  <si>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</si>
  <si>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</si>
  <si>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</si>
  <si>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</si>
  <si>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</si>
  <si>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</si>
  <si>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</si>
  <si>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</si>
  <si>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</si>
  <si>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</si>
  <si>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</si>
  <si>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</si>
  <si>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</si>
  <si>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</si>
  <si>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</si>
  <si>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</si>
  <si>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</si>
  <si>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</si>
  <si>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</si>
  <si>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</si>
  <si>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</si>
  <si>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</si>
  <si>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</si>
  <si>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</si>
  <si>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</si>
  <si>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</si>
  <si>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</si>
  <si>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</si>
  <si>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</si>
  <si>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</si>
  <si>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</si>
  <si>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</si>
  <si>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</si>
  <si>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</si>
  <si>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</si>
  <si>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</si>
  <si>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</si>
  <si>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</si>
  <si>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</si>
  <si>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</si>
  <si>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</si>
  <si>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</si>
  <si>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</si>
  <si>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</si>
  <si>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</si>
  <si>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</si>
  <si>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</si>
  <si>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</si>
  <si>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</si>
  <si>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</si>
  <si>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</si>
  <si>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</si>
  <si>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</si>
  <si>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</si>
  <si>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</si>
  <si>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</si>
  <si>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</si>
  <si>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</si>
  <si>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</si>
  <si>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</si>
  <si>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</si>
  <si>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</si>
  <si>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</si>
  <si>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</si>
  <si>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</si>
  <si>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</si>
  <si>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</si>
  <si>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</si>
  <si>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</si>
  <si>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</si>
  <si>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</si>
  <si>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</si>
  <si>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</si>
  <si>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</si>
  <si>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</si>
  <si>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</si>
  <si>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</si>
  <si>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</si>
  <si>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</si>
  <si>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</si>
  <si>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</si>
  <si>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</si>
  <si>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</si>
  <si>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</si>
  <si>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</si>
  <si>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</si>
  <si>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</si>
  <si>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</si>
  <si>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</si>
  <si>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</si>
  <si>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</si>
  <si>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</si>
  <si>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</si>
  <si>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</si>
  <si>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</si>
  <si>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</si>
  <si>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</si>
  <si>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</si>
  <si>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</si>
  <si>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</si>
  <si>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</si>
  <si>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</si>
  <si>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</si>
  <si>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</si>
  <si>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</si>
  <si>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</si>
  <si>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</si>
  <si>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</si>
  <si>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</si>
  <si>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</si>
  <si>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</si>
  <si>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</si>
  <si>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</si>
  <si>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</si>
  <si>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</si>
  <si>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</si>
  <si>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</si>
  <si>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</si>
  <si>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</si>
  <si>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</si>
  <si>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</si>
  <si>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</si>
  <si>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</si>
  <si>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</si>
  <si>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</si>
  <si>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</si>
  <si>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</si>
  <si>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</si>
  <si>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</si>
  <si>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</si>
  <si>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</si>
  <si>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</si>
  <si>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</si>
  <si>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</si>
  <si>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</si>
  <si>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</si>
  <si>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</si>
  <si>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</si>
  <si>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</si>
  <si>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</si>
  <si>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</si>
  <si>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</si>
  <si>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</si>
  <si>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</si>
  <si>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</si>
  <si>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</si>
  <si>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</si>
  <si>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</si>
  <si>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</si>
  <si>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</si>
  <si>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</si>
  <si>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</si>
  <si>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</si>
  <si>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</si>
  <si>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</si>
  <si>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</si>
  <si>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</si>
  <si>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</si>
  <si>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</si>
  <si>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</si>
  <si>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</si>
  <si>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</si>
  <si>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</si>
  <si>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</si>
  <si>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</si>
  <si>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</si>
  <si>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</si>
  <si>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</si>
  <si>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</si>
  <si>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</si>
  <si>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</si>
  <si>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</si>
  <si>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</si>
  <si>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</si>
  <si>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</si>
  <si>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</si>
  <si>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</si>
  <si>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</si>
  <si>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</si>
  <si>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</si>
  <si>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</si>
  <si>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</si>
  <si>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</si>
  <si>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</si>
  <si>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</si>
  <si>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</si>
  <si>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</si>
  <si>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</si>
  <si>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</si>
  <si>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</si>
  <si>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</si>
  <si>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</si>
  <si>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</si>
  <si>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</si>
  <si>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</si>
  <si>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</si>
  <si>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</si>
  <si>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</si>
  <si>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</si>
  <si>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</si>
  <si>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</si>
  <si>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</si>
  <si>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</si>
  <si>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</si>
  <si>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</si>
  <si>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</si>
  <si>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</si>
  <si>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</si>
  <si>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</si>
  <si>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</si>
  <si>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</si>
  <si>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</si>
  <si>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</si>
  <si>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</si>
  <si>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</si>
  <si>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</si>
  <si>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</si>
  <si>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</si>
  <si>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</si>
  <si>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</si>
  <si>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</si>
  <si>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</si>
  <si>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</si>
  <si>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</si>
  <si>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</si>
  <si>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</si>
  <si>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</si>
  <si>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</si>
  <si>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</si>
  <si>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</si>
  <si>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</si>
  <si>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</si>
  <si>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</si>
  <si>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</si>
  <si>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</si>
  <si>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</si>
  <si>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</si>
  <si>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</si>
  <si>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</si>
  <si>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</si>
  <si>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</si>
  <si>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</si>
  <si>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</si>
  <si>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</si>
  <si>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</si>
  <si>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</si>
  <si>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</si>
  <si>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</si>
  <si>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</si>
  <si>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</si>
  <si>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</si>
  <si>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</si>
  <si>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</si>
  <si>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</si>
  <si>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</si>
  <si>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</si>
  <si>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</si>
  <si>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</si>
  <si>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</si>
  <si>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</si>
  <si>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</si>
  <si>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</si>
  <si>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</si>
  <si>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</si>
  <si>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</si>
  <si>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</si>
  <si>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</si>
  <si>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</si>
  <si>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</si>
  <si>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</si>
  <si>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</si>
  <si>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</si>
  <si>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</si>
  <si>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</si>
  <si>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</si>
  <si>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</si>
  <si>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</si>
  <si>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</si>
  <si>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</si>
  <si>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</si>
  <si>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</si>
  <si>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</si>
  <si>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</si>
  <si>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</si>
  <si>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</si>
  <si>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</si>
  <si>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</si>
  <si>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</si>
  <si>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</si>
  <si>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</si>
  <si>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</si>
  <si>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</si>
  <si>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</si>
  <si>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</si>
  <si>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</si>
  <si>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</si>
  <si>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</si>
  <si>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</si>
  <si>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</si>
  <si>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</si>
  <si>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</si>
  <si>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</si>
  <si>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</si>
  <si>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</si>
  <si>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</si>
  <si>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</si>
  <si>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</si>
  <si>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</si>
  <si>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</si>
  <si>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</si>
  <si>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</si>
  <si>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</si>
  <si>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</si>
  <si>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</si>
  <si>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</si>
  <si>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</si>
  <si>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</si>
  <si>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</si>
  <si>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</si>
  <si>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</si>
  <si>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</si>
  <si>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</si>
  <si>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</si>
  <si>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</si>
  <si>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</si>
  <si>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</si>
  <si>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</si>
  <si>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</si>
  <si>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</si>
  <si>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</si>
  <si>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</si>
  <si>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</si>
  <si>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</si>
  <si>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</si>
  <si>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</si>
  <si>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</si>
  <si>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</si>
  <si>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</si>
  <si>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</si>
  <si>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</si>
  <si>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</si>
  <si>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</si>
  <si>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</si>
  <si>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</si>
  <si>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</si>
  <si>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</si>
  <si>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</si>
  <si>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</si>
  <si>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</si>
  <si>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</si>
  <si>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</si>
  <si>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</si>
  <si>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</si>
  <si>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</si>
  <si>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</si>
  <si>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</si>
  <si>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</si>
  <si>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</si>
  <si>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</si>
  <si>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</si>
  <si>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</si>
  <si>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</si>
  <si>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</si>
  <si>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</si>
  <si>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</si>
  <si>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</si>
  <si>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</si>
  <si>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</si>
  <si>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</si>
  <si>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</si>
  <si>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</si>
  <si>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</si>
  <si>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</si>
  <si>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</si>
  <si>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</si>
  <si>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</si>
  <si>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</si>
  <si>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</si>
  <si>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</si>
  <si>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</si>
  <si>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</si>
  <si>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</si>
  <si>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</si>
  <si>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</si>
  <si>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</si>
  <si>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</si>
  <si>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</si>
  <si>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</si>
  <si>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</si>
  <si>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</si>
  <si>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</si>
  <si>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</si>
  <si>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</si>
  <si>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</si>
  <si>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</si>
  <si>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</si>
  <si>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</si>
  <si>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</si>
  <si>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</si>
  <si>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</si>
  <si>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</si>
  <si>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</si>
  <si>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</si>
  <si>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</si>
  <si>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</si>
  <si>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</si>
  <si>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</si>
  <si>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</si>
  <si>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</si>
  <si>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</si>
  <si>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</si>
  <si>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</si>
  <si>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</si>
  <si>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</si>
  <si>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</si>
  <si>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</si>
  <si>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</si>
  <si>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</si>
  <si>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</si>
  <si>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</si>
  <si>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</si>
  <si>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</si>
  <si>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</si>
  <si>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</si>
  <si>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</si>
  <si>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</si>
  <si>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</si>
  <si>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</si>
  <si>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</si>
  <si>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</si>
  <si>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</si>
  <si>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</si>
  <si>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</si>
  <si>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</si>
  <si>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</si>
  <si>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</si>
  <si>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</si>
  <si>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</si>
  <si>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</si>
  <si>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</si>
  <si>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</si>
  <si>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</si>
  <si>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</si>
  <si>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</si>
  <si>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</si>
  <si>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</si>
  <si>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</si>
  <si>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</si>
  <si>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</si>
  <si>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</si>
  <si>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</si>
  <si>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</si>
  <si>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</si>
  <si>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</si>
  <si>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</si>
  <si>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</si>
  <si>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</si>
  <si>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</si>
  <si>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</si>
  <si>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</si>
  <si>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</si>
  <si>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</si>
  <si>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</si>
  <si>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</si>
  <si>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</si>
  <si>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</si>
  <si>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</si>
  <si>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</si>
  <si>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</si>
  <si>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</si>
  <si>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</si>
  <si>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</si>
  <si>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</si>
  <si>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</si>
  <si>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</si>
  <si>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</si>
  <si>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</si>
  <si>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</si>
  <si>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</si>
  <si>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</si>
  <si>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</si>
  <si>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</si>
  <si>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</si>
  <si>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</si>
  <si>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</si>
  <si>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</si>
  <si>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</si>
  <si>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</si>
  <si>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</si>
  <si>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</si>
  <si>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</si>
  <si>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</si>
  <si>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</si>
  <si>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</si>
  <si>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</si>
  <si>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</si>
  <si>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</si>
  <si>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</si>
  <si>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</si>
  <si>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</si>
  <si>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</si>
  <si>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</si>
  <si>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</si>
  <si>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</si>
  <si>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</si>
  <si>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</si>
  <si>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</si>
  <si>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</si>
  <si>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</si>
  <si>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</si>
  <si>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</si>
  <si>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</si>
  <si>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</si>
  <si>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</si>
  <si>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</si>
  <si>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</si>
  <si>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</si>
  <si>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</si>
  <si>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</si>
  <si>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</si>
  <si>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</si>
  <si>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</si>
  <si>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</si>
  <si>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</si>
  <si>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</si>
  <si>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</si>
  <si>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</si>
  <si>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</si>
  <si>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</si>
  <si>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</si>
  <si>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</si>
  <si>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</si>
  <si>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</si>
  <si>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</si>
  <si>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</si>
  <si>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</si>
  <si>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</si>
  <si>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</si>
  <si>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</si>
  <si>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</si>
  <si>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</si>
  <si>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</si>
  <si>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</si>
  <si>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Diploma Supplement</t>
  </si>
  <si>
    <t>Qualification Award</t>
  </si>
  <si>
    <t>Generic</t>
  </si>
  <si>
    <t>Learning Activity</t>
  </si>
  <si>
    <t>Learning Entitlement</t>
  </si>
  <si>
    <t>entitlement</t>
  </si>
  <si>
    <t>qualificationAward</t>
  </si>
  <si>
    <t>0228 - Inter-disciplinary programmes and qualifications involving humanities</t>
  </si>
  <si>
    <t>0228</t>
  </si>
  <si>
    <t>http://data.europa.eu/snb/isced-f/0228</t>
  </si>
  <si>
    <t>Adamorobe Sign Language</t>
  </si>
  <si>
    <t>Argentine Sign Language</t>
  </si>
  <si>
    <t>Armenian Sign Language</t>
  </si>
  <si>
    <t>Afro-Asiatic languages</t>
  </si>
  <si>
    <t>Afghan Sign Language</t>
  </si>
  <si>
    <t>Algonquian languages</t>
  </si>
  <si>
    <t>Apache languages</t>
  </si>
  <si>
    <t>Araona</t>
  </si>
  <si>
    <t>Artificial languages</t>
  </si>
  <si>
    <t>American Sign Language</t>
  </si>
  <si>
    <t>Australian Sign Language</t>
  </si>
  <si>
    <t>Algerian Sign Language</t>
  </si>
  <si>
    <t>Austrian Sign Language</t>
  </si>
  <si>
    <t>Australian Aborigines Sign Language</t>
  </si>
  <si>
    <t>Athapascan languages</t>
  </si>
  <si>
    <t>Australian languages</t>
  </si>
  <si>
    <t>Ayoreo</t>
  </si>
  <si>
    <t>Banda languages</t>
  </si>
  <si>
    <t>Bamileke languages</t>
  </si>
  <si>
    <t>Baltic languages</t>
  </si>
  <si>
    <t>Berber languages</t>
  </si>
  <si>
    <t>British Sign Language</t>
  </si>
  <si>
    <t>Ban Khor Sign Language</t>
  </si>
  <si>
    <t>Bantu languages</t>
  </si>
  <si>
    <t>Bamako Sign Language</t>
  </si>
  <si>
    <t>Bulgarian Sign Language</t>
  </si>
  <si>
    <t>Bengkala Sign Language</t>
  </si>
  <si>
    <t>Baure</t>
  </si>
  <si>
    <t>Batak languages</t>
  </si>
  <si>
    <t>Bolivian Sign Language</t>
  </si>
  <si>
    <t>Brazilian Sign Language</t>
  </si>
  <si>
    <t>Central American Indian languages</t>
  </si>
  <si>
    <t>Carolinian</t>
  </si>
  <si>
    <t>Chacobo</t>
  </si>
  <si>
    <t>Chimane</t>
  </si>
  <si>
    <t>Caucasian languages</t>
  </si>
  <si>
    <t>Cavineña</t>
  </si>
  <si>
    <t>Kallawaya</t>
  </si>
  <si>
    <t>Chiquitano</t>
  </si>
  <si>
    <t>Canichana</t>
  </si>
  <si>
    <t>Chadian Sign Language</t>
  </si>
  <si>
    <t>Celtic languages</t>
  </si>
  <si>
    <t>Chinook jargon</t>
  </si>
  <si>
    <t>Central Kurdish</t>
  </si>
  <si>
    <t>Chamic languages</t>
  </si>
  <si>
    <t>Mandarin Chinese</t>
  </si>
  <si>
    <t>Montenegrin</t>
  </si>
  <si>
    <t>Seselwa Creole French</t>
  </si>
  <si>
    <t>Kashubian</t>
  </si>
  <si>
    <t>Catalan Sign Language</t>
  </si>
  <si>
    <t>Chiangmai Sign Language</t>
  </si>
  <si>
    <t>Czech Sign Language</t>
  </si>
  <si>
    <t>Cuban Sign Language</t>
  </si>
  <si>
    <t>Chilean Sign Language</t>
  </si>
  <si>
    <t>Chinese Sign Language</t>
  </si>
  <si>
    <t>Colombian Sign Language</t>
  </si>
  <si>
    <t>Croatian Sign Language</t>
  </si>
  <si>
    <t>Costa Rican Sign Language</t>
  </si>
  <si>
    <t>Cushitic languages</t>
  </si>
  <si>
    <t>Cayubaba</t>
  </si>
  <si>
    <t>Land Dayak languages</t>
  </si>
  <si>
    <t>Dominican Sign Language</t>
  </si>
  <si>
    <t>Dravidian languages</t>
  </si>
  <si>
    <t>Lower Sorbian</t>
  </si>
  <si>
    <t>Dutch Sign Language</t>
  </si>
  <si>
    <t>Danish Sign Language</t>
  </si>
  <si>
    <t>Ecuadorian Sign Language</t>
  </si>
  <si>
    <t>Ese Ejja</t>
  </si>
  <si>
    <t>Egyptian Sign Language</t>
  </si>
  <si>
    <t>Salvadoran Sign Language</t>
  </si>
  <si>
    <t>Estonian Sign Language</t>
  </si>
  <si>
    <t>Ethiopian Sign Language</t>
  </si>
  <si>
    <t>Quebec Sign Language</t>
  </si>
  <si>
    <t>Filipino</t>
  </si>
  <si>
    <t>Finno-Ugrian languages</t>
  </si>
  <si>
    <t>Finnish Sign Language</t>
  </si>
  <si>
    <t>French Sign Language</t>
  </si>
  <si>
    <t>Finland-Swedish Sign Language</t>
  </si>
  <si>
    <t>Friulan</t>
  </si>
  <si>
    <t>Germanic languages</t>
  </si>
  <si>
    <t>Ghanaian Sign Language</t>
  </si>
  <si>
    <t>German Sign Language</t>
  </si>
  <si>
    <t>Guatemalan Sign Language</t>
  </si>
  <si>
    <t>Greek Sign Language</t>
  </si>
  <si>
    <t>Paraguayan Guaraní</t>
  </si>
  <si>
    <t>Guinean Sign Language</t>
  </si>
  <si>
    <t>Guarayu</t>
  </si>
  <si>
    <t>Hanoi Sign Language</t>
  </si>
  <si>
    <t>Haiphong Sign Language</t>
  </si>
  <si>
    <t>Andaman Creole Hindi</t>
  </si>
  <si>
    <t>Honduran Sign Language</t>
  </si>
  <si>
    <t>Fiji Hindi</t>
  </si>
  <si>
    <t>Hong Kong Sign Language</t>
  </si>
  <si>
    <t>Ho Chi Minh City Sign Language</t>
  </si>
  <si>
    <t>Hawai'i Pidgin Sign Language</t>
  </si>
  <si>
    <t>Upper Sorbian</t>
  </si>
  <si>
    <t>Hungarian Sign Language</t>
  </si>
  <si>
    <t>Hausa Sign Language</t>
  </si>
  <si>
    <t>Icelandic Sign Language</t>
  </si>
  <si>
    <t>Ignaciano</t>
  </si>
  <si>
    <t>Ijo languages</t>
  </si>
  <si>
    <t>Indic languages</t>
  </si>
  <si>
    <t>Indo-European languages</t>
  </si>
  <si>
    <t>Indonesian Sign Language</t>
  </si>
  <si>
    <t>Indian Sign Language</t>
  </si>
  <si>
    <t>Iranian languages</t>
  </si>
  <si>
    <t>Iroquoian languages</t>
  </si>
  <si>
    <t>Italian Sign Language</t>
  </si>
  <si>
    <t>Irish Sign Language</t>
  </si>
  <si>
    <t>Israeli Sign Language</t>
  </si>
  <si>
    <t>Itene</t>
  </si>
  <si>
    <t>Itonama</t>
  </si>
  <si>
    <t>Jamaican Country Sign Language</t>
  </si>
  <si>
    <t>Jhankot Sign Language</t>
  </si>
  <si>
    <t>Jordanian Sign Language</t>
  </si>
  <si>
    <t>Japanese Sign Language</t>
  </si>
  <si>
    <t>Jumla Sign Language</t>
  </si>
  <si>
    <t>Karen languages</t>
  </si>
  <si>
    <t>Selangor Sign Language</t>
  </si>
  <si>
    <t>Khoisan languages</t>
  </si>
  <si>
    <t>Northern Kurdish</t>
  </si>
  <si>
    <t>Kru languages</t>
  </si>
  <si>
    <t>Korean Sign Language</t>
  </si>
  <si>
    <t>Brunei Malay</t>
  </si>
  <si>
    <t>Libyan Sign Language</t>
  </si>
  <si>
    <t>Leco</t>
  </si>
  <si>
    <t>Lithuanian Sign Language</t>
  </si>
  <si>
    <t>Lyons Sign Language</t>
  </si>
  <si>
    <t>Latvian Sign Language</t>
  </si>
  <si>
    <t>Laotian Sign Language</t>
  </si>
  <si>
    <t>Panamanian Sign Language</t>
  </si>
  <si>
    <t>Trinidad and Tobago Sign Language</t>
  </si>
  <si>
    <t>Luba-Lulua</t>
  </si>
  <si>
    <t>Manding</t>
  </si>
  <si>
    <t>Austronesian languages</t>
  </si>
  <si>
    <t>Maltese Sign Language</t>
  </si>
  <si>
    <t>Mexican Sign Language</t>
  </si>
  <si>
    <t>Minangkabau</t>
  </si>
  <si>
    <t>Uncoded languages</t>
  </si>
  <si>
    <t>Mon-Khmer languages</t>
  </si>
  <si>
    <t>Mandinka</t>
  </si>
  <si>
    <t>Manobo languages</t>
  </si>
  <si>
    <t>Machinere</t>
  </si>
  <si>
    <t>Martha's Vineyard Sign Language</t>
  </si>
  <si>
    <t>Yucatec Maya Sign Language</t>
  </si>
  <si>
    <t>Mongolian Sign Language</t>
  </si>
  <si>
    <t>Wichí Lhamtés Nocten</t>
  </si>
  <si>
    <t>Multiple languages</t>
  </si>
  <si>
    <t>Munda languages</t>
  </si>
  <si>
    <t>Mayan languages</t>
  </si>
  <si>
    <t>Madagascar Sign Language</t>
  </si>
  <si>
    <t>Monastic Sign Language</t>
  </si>
  <si>
    <t>Movima</t>
  </si>
  <si>
    <t>Mozambican Sign Language</t>
  </si>
  <si>
    <t>Nahuatl languages</t>
  </si>
  <si>
    <t>North American Indian languages</t>
  </si>
  <si>
    <t>Namibian Sign Language</t>
  </si>
  <si>
    <t>Nicaraguan Sign Language</t>
  </si>
  <si>
    <t>Niger-Kordofanian languages</t>
  </si>
  <si>
    <t>Niuean</t>
  </si>
  <si>
    <t>Nigerian Sign Language</t>
  </si>
  <si>
    <t>Norwegian Sign Language</t>
  </si>
  <si>
    <t>Northern Sotho</t>
  </si>
  <si>
    <t>Nepalese Sign Language</t>
  </si>
  <si>
    <t>Maritime Sign Language</t>
  </si>
  <si>
    <t>Nubian languages</t>
  </si>
  <si>
    <t>New Zealand Sign Language</t>
  </si>
  <si>
    <t>Otomian languages</t>
  </si>
  <si>
    <t>Papuan languages</t>
  </si>
  <si>
    <t>Papiamento</t>
  </si>
  <si>
    <t>Palauan</t>
  </si>
  <si>
    <t>Pacahuara</t>
  </si>
  <si>
    <t>Philippine languages</t>
  </si>
  <si>
    <t>Pitcairn-Norfolk</t>
  </si>
  <si>
    <t>Pakistan Sign Language</t>
  </si>
  <si>
    <t>Prakrit languages</t>
  </si>
  <si>
    <t>Peruvian Sign Language</t>
  </si>
  <si>
    <t>Dari</t>
  </si>
  <si>
    <t>Providencia Sign Language</t>
  </si>
  <si>
    <t>Persian Sign Language</t>
  </si>
  <si>
    <t>Plains Indian Sign Language</t>
  </si>
  <si>
    <t>Penang Sign Language</t>
  </si>
  <si>
    <t>Puerto Rican Sign Language</t>
  </si>
  <si>
    <t>Pauserna</t>
  </si>
  <si>
    <t>Polish Sign Language</t>
  </si>
  <si>
    <t>Philippine Sign Language</t>
  </si>
  <si>
    <t>Portuguese Sign Language</t>
  </si>
  <si>
    <t>Puquina</t>
  </si>
  <si>
    <t>Rarotongan</t>
  </si>
  <si>
    <t>Reyesano</t>
  </si>
  <si>
    <t>Romanian Sign Language</t>
  </si>
  <si>
    <t>Romance languages</t>
  </si>
  <si>
    <t>Romani</t>
  </si>
  <si>
    <t>Rennellese Sign Language</t>
  </si>
  <si>
    <t>Russian Sign Language</t>
  </si>
  <si>
    <t>South American Indian languages</t>
  </si>
  <si>
    <t>Salishan languages</t>
  </si>
  <si>
    <t>Scots</t>
  </si>
  <si>
    <t>Southern Kurdish</t>
  </si>
  <si>
    <t>Saudi Arabian Sign Language</t>
  </si>
  <si>
    <t>Semitic languages</t>
  </si>
  <si>
    <t>South African Sign Language</t>
  </si>
  <si>
    <t>Swiss-German Sign Language</t>
  </si>
  <si>
    <t>Sign Languages</t>
  </si>
  <si>
    <t>Sierra Leonean Sign Language</t>
  </si>
  <si>
    <t>Siouan languages</t>
  </si>
  <si>
    <t>Sikkimese</t>
  </si>
  <si>
    <t>Sino-Tibetan languages</t>
  </si>
  <si>
    <t>Pite Sami</t>
  </si>
  <si>
    <t>Slavic languages</t>
  </si>
  <si>
    <t>Swiss-Italian Sign Language</t>
  </si>
  <si>
    <t>Singapore Sign Language</t>
  </si>
  <si>
    <t>Sami languages</t>
  </si>
  <si>
    <t>Songhai languages</t>
  </si>
  <si>
    <t>Sri Lankan Sign Language</t>
  </si>
  <si>
    <t>Sirionó</t>
  </si>
  <si>
    <t>Nilo-Saharan languages</t>
  </si>
  <si>
    <t>Spanish Sign Language</t>
  </si>
  <si>
    <t>Swiss-French Sign Language</t>
  </si>
  <si>
    <t>Slovakian Sign Language</t>
  </si>
  <si>
    <t>Comorian</t>
  </si>
  <si>
    <t>Swedish Sign Language</t>
  </si>
  <si>
    <t>Al-Sayyid Bedouin Sign Language</t>
  </si>
  <si>
    <t>Tai languages</t>
  </si>
  <si>
    <t>Tetum</t>
  </si>
  <si>
    <t>Tokelauan</t>
  </si>
  <si>
    <t>Tacana</t>
  </si>
  <si>
    <t>Toromono</t>
  </si>
  <si>
    <t>Tok Pisin</t>
  </si>
  <si>
    <t>Tapieté</t>
  </si>
  <si>
    <t>Trinitario</t>
  </si>
  <si>
    <t>Tunisian Sign Language</t>
  </si>
  <si>
    <t>Turkish Sign Language</t>
  </si>
  <si>
    <t>Thai Sign Language</t>
  </si>
  <si>
    <t>Taiwanese Sign Language</t>
  </si>
  <si>
    <t>Tebul Sign Language</t>
  </si>
  <si>
    <t>Tupi languages</t>
  </si>
  <si>
    <t>Altaic languages</t>
  </si>
  <si>
    <t>Tuvaluan</t>
  </si>
  <si>
    <t>Tanzanian Sign Language</t>
  </si>
  <si>
    <t>Ugandan Sign Language</t>
  </si>
  <si>
    <t>Uruguayan Sign Language</t>
  </si>
  <si>
    <t>Ukrainian Sign Language</t>
  </si>
  <si>
    <t>Urubú-Kaapor Sign Language</t>
  </si>
  <si>
    <t>Undetermined</t>
  </si>
  <si>
    <t>Uru</t>
  </si>
  <si>
    <t>Flemish</t>
  </si>
  <si>
    <t>Moldovan Sign Language</t>
  </si>
  <si>
    <t>Venezuelan Sign Language</t>
  </si>
  <si>
    <t>Valencian Sign Language</t>
  </si>
  <si>
    <t>Wakashan languages</t>
  </si>
  <si>
    <t>Sorbian languages</t>
  </si>
  <si>
    <t>Kenyan Sign Language</t>
  </si>
  <si>
    <t>Malaysian Sign Language</t>
  </si>
  <si>
    <t>Moroccan Sign Language</t>
  </si>
  <si>
    <t>Yaminava</t>
  </si>
  <si>
    <t>Yupik languages</t>
  </si>
  <si>
    <t>Yugoslavian Sign Language</t>
  </si>
  <si>
    <t>Yue Chinese</t>
  </si>
  <si>
    <t>Yuqui</t>
  </si>
  <si>
    <t>Yuracare</t>
  </si>
  <si>
    <t>Zimbabwean Sign Language</t>
  </si>
  <si>
    <t>Malay</t>
  </si>
  <si>
    <t>Zande languages</t>
  </si>
  <si>
    <t>Zambian Sign Language</t>
  </si>
  <si>
    <t>No linguistic content</t>
  </si>
  <si>
    <t>http://publications.europa.eu/resource/authority/language/ADS</t>
  </si>
  <si>
    <t>http://publications.europa.eu/resource/authority/language/AED</t>
  </si>
  <si>
    <t>http://publications.europa.eu/resource/authority/language/AEN</t>
  </si>
  <si>
    <t>http://publications.europa.eu/resource/authority/language/AFA</t>
  </si>
  <si>
    <t>http://publications.europa.eu/resource/authority/language/AFG</t>
  </si>
  <si>
    <t>http://publications.europa.eu/resource/authority/language/ALG</t>
  </si>
  <si>
    <t>http://publications.europa.eu/resource/authority/language/APA</t>
  </si>
  <si>
    <t>http://publications.europa.eu/resource/authority/language/ARO</t>
  </si>
  <si>
    <t>http://publications.europa.eu/resource/authority/language/ART</t>
  </si>
  <si>
    <t>http://publications.europa.eu/resource/authority/language/ASE</t>
  </si>
  <si>
    <t>http://publications.europa.eu/resource/authority/language/ASF</t>
  </si>
  <si>
    <t>http://publications.europa.eu/resource/authority/language/ASP</t>
  </si>
  <si>
    <t>http://publications.europa.eu/resource/authority/language/ASQ</t>
  </si>
  <si>
    <t>http://publications.europa.eu/resource/authority/language/ASW</t>
  </si>
  <si>
    <t>http://publications.europa.eu/resource/authority/language/ATH</t>
  </si>
  <si>
    <t>http://publications.europa.eu/resource/authority/language/AUS</t>
  </si>
  <si>
    <t>http://publications.europa.eu/resource/authority/language/AYO</t>
  </si>
  <si>
    <t>http://publications.europa.eu/resource/authority/language/BAD</t>
  </si>
  <si>
    <t>http://publications.europa.eu/resource/authority/language/BAI</t>
  </si>
  <si>
    <t>http://publications.europa.eu/resource/authority/language/BAT</t>
  </si>
  <si>
    <t>http://publications.europa.eu/resource/authority/language/BER</t>
  </si>
  <si>
    <t>http://publications.europa.eu/resource/authority/language/BFI</t>
  </si>
  <si>
    <t>http://publications.europa.eu/resource/authority/language/BFK</t>
  </si>
  <si>
    <t>http://publications.europa.eu/resource/authority/language/BNT</t>
  </si>
  <si>
    <t>http://publications.europa.eu/resource/authority/language/BOG</t>
  </si>
  <si>
    <t>http://publications.europa.eu/resource/authority/language/BQN</t>
  </si>
  <si>
    <t>http://publications.europa.eu/resource/authority/language/BQY</t>
  </si>
  <si>
    <t>http://publications.europa.eu/resource/authority/language/BRG</t>
  </si>
  <si>
    <t>http://publications.europa.eu/resource/authority/language/BTK</t>
  </si>
  <si>
    <t>http://publications.europa.eu/resource/authority/language/BVL</t>
  </si>
  <si>
    <t>http://publications.europa.eu/resource/authority/language/BZS</t>
  </si>
  <si>
    <t>http://publications.europa.eu/resource/authority/language/CAI</t>
  </si>
  <si>
    <t>http://publications.europa.eu/resource/authority/language/CAL</t>
  </si>
  <si>
    <t>http://publications.europa.eu/resource/authority/language/CAO</t>
  </si>
  <si>
    <t>http://publications.europa.eu/resource/authority/language/CAS</t>
  </si>
  <si>
    <t>http://publications.europa.eu/resource/authority/language/CAU</t>
  </si>
  <si>
    <t>http://publications.europa.eu/resource/authority/language/CAV</t>
  </si>
  <si>
    <t>http://publications.europa.eu/resource/authority/language/CAW</t>
  </si>
  <si>
    <t>http://publications.europa.eu/resource/authority/language/CAX</t>
  </si>
  <si>
    <t>http://publications.europa.eu/resource/authority/language/CAZ</t>
  </si>
  <si>
    <t>http://publications.europa.eu/resource/authority/language/CDS</t>
  </si>
  <si>
    <t>http://publications.europa.eu/resource/authority/language/CEL</t>
  </si>
  <si>
    <t>http://publications.europa.eu/resource/authority/language/CHN</t>
  </si>
  <si>
    <t>http://publications.europa.eu/resource/authority/language/CKB</t>
  </si>
  <si>
    <t>http://publications.europa.eu/resource/authority/language/CMC</t>
  </si>
  <si>
    <t>http://publications.europa.eu/resource/authority/language/CMN</t>
  </si>
  <si>
    <t>http://publications.europa.eu/resource/authority/language/CNR</t>
  </si>
  <si>
    <t>http://publications.europa.eu/resource/authority/language/CRS</t>
  </si>
  <si>
    <t>http://publications.europa.eu/resource/authority/language/CSB</t>
  </si>
  <si>
    <t>http://publications.europa.eu/resource/authority/language/CSC</t>
  </si>
  <si>
    <t>http://publications.europa.eu/resource/authority/language/CSD</t>
  </si>
  <si>
    <t>http://publications.europa.eu/resource/authority/language/CSE</t>
  </si>
  <si>
    <t>http://publications.europa.eu/resource/authority/language/CSF</t>
  </si>
  <si>
    <t>http://publications.europa.eu/resource/authority/language/CSG</t>
  </si>
  <si>
    <t>http://publications.europa.eu/resource/authority/language/CSL</t>
  </si>
  <si>
    <t>http://publications.europa.eu/resource/authority/language/CSN</t>
  </si>
  <si>
    <t>http://publications.europa.eu/resource/authority/language/CSQ</t>
  </si>
  <si>
    <t>http://publications.europa.eu/resource/authority/language/CSR</t>
  </si>
  <si>
    <t>http://publications.europa.eu/resource/authority/language/CUS</t>
  </si>
  <si>
    <t>http://publications.europa.eu/resource/authority/language/CYB</t>
  </si>
  <si>
    <t>http://publications.europa.eu/resource/authority/language/DAY</t>
  </si>
  <si>
    <t>http://publications.europa.eu/resource/authority/language/DOQ</t>
  </si>
  <si>
    <t>http://publications.europa.eu/resource/authority/language/DRA</t>
  </si>
  <si>
    <t>http://publications.europa.eu/resource/authority/language/DSB</t>
  </si>
  <si>
    <t>http://publications.europa.eu/resource/authority/language/DSE</t>
  </si>
  <si>
    <t>http://publications.europa.eu/resource/authority/language/DSL</t>
  </si>
  <si>
    <t>http://publications.europa.eu/resource/authority/language/ECS</t>
  </si>
  <si>
    <t>http://publications.europa.eu/resource/authority/language/ESE</t>
  </si>
  <si>
    <t>http://publications.europa.eu/resource/authority/language/ESL</t>
  </si>
  <si>
    <t>http://publications.europa.eu/resource/authority/language/ESN</t>
  </si>
  <si>
    <t>http://publications.europa.eu/resource/authority/language/ESO</t>
  </si>
  <si>
    <t>http://publications.europa.eu/resource/authority/language/ETH</t>
  </si>
  <si>
    <t>http://publications.europa.eu/resource/authority/language/FCS</t>
  </si>
  <si>
    <t>http://publications.europa.eu/resource/authority/language/FIL</t>
  </si>
  <si>
    <t>http://publications.europa.eu/resource/authority/language/FIU</t>
  </si>
  <si>
    <t>http://publications.europa.eu/resource/authority/language/FSE</t>
  </si>
  <si>
    <t>http://publications.europa.eu/resource/authority/language/FSL</t>
  </si>
  <si>
    <t>http://publications.europa.eu/resource/authority/language/FSS</t>
  </si>
  <si>
    <t>http://publications.europa.eu/resource/authority/language/FUR</t>
  </si>
  <si>
    <t>http://publications.europa.eu/resource/authority/language/GEM</t>
  </si>
  <si>
    <t>http://publications.europa.eu/resource/authority/language/GSE</t>
  </si>
  <si>
    <t>http://publications.europa.eu/resource/authority/language/GSG</t>
  </si>
  <si>
    <t>http://publications.europa.eu/resource/authority/language/GSM</t>
  </si>
  <si>
    <t>http://publications.europa.eu/resource/authority/language/GSS</t>
  </si>
  <si>
    <t>http://publications.europa.eu/resource/authority/language/GUG</t>
  </si>
  <si>
    <t>http://publications.europa.eu/resource/authority/language/GUS</t>
  </si>
  <si>
    <t>http://publications.europa.eu/resource/authority/language/GYR</t>
  </si>
  <si>
    <t>http://publications.europa.eu/resource/authority/language/HAB</t>
  </si>
  <si>
    <t>http://publications.europa.eu/resource/authority/language/HAF</t>
  </si>
  <si>
    <t>http://publications.europa.eu/resource/authority/language/HCA</t>
  </si>
  <si>
    <t>http://publications.europa.eu/resource/authority/language/HDS</t>
  </si>
  <si>
    <t>http://publications.europa.eu/resource/authority/language/HIF</t>
  </si>
  <si>
    <t>http://publications.europa.eu/resource/authority/language/HKS</t>
  </si>
  <si>
    <t>http://publications.europa.eu/resource/authority/language/HOS</t>
  </si>
  <si>
    <t>http://publications.europa.eu/resource/authority/language/HPS</t>
  </si>
  <si>
    <t>http://publications.europa.eu/resource/authority/language/HSB</t>
  </si>
  <si>
    <t>http://publications.europa.eu/resource/authority/language/HSH</t>
  </si>
  <si>
    <t>http://publications.europa.eu/resource/authority/language/HSL</t>
  </si>
  <si>
    <t>http://publications.europa.eu/resource/authority/language/ICL</t>
  </si>
  <si>
    <t>http://publications.europa.eu/resource/authority/language/IGN</t>
  </si>
  <si>
    <t>http://publications.europa.eu/resource/authority/language/IJO</t>
  </si>
  <si>
    <t>http://publications.europa.eu/resource/authority/language/INC</t>
  </si>
  <si>
    <t>http://publications.europa.eu/resource/authority/language/INE</t>
  </si>
  <si>
    <t>http://publications.europa.eu/resource/authority/language/INL</t>
  </si>
  <si>
    <t>http://publications.europa.eu/resource/authority/language/INS</t>
  </si>
  <si>
    <t>http://publications.europa.eu/resource/authority/language/IRA</t>
  </si>
  <si>
    <t>http://publications.europa.eu/resource/authority/language/IRO</t>
  </si>
  <si>
    <t>http://publications.europa.eu/resource/authority/language/ISE</t>
  </si>
  <si>
    <t>http://publications.europa.eu/resource/authority/language/ISG</t>
  </si>
  <si>
    <t>http://publications.europa.eu/resource/authority/language/ISR</t>
  </si>
  <si>
    <t>http://publications.europa.eu/resource/authority/language/ITE</t>
  </si>
  <si>
    <t>http://publications.europa.eu/resource/authority/language/ITO</t>
  </si>
  <si>
    <t>http://publications.europa.eu/resource/authority/language/JCS</t>
  </si>
  <si>
    <t>http://publications.europa.eu/resource/authority/language/JHS</t>
  </si>
  <si>
    <t>http://publications.europa.eu/resource/authority/language/JOS</t>
  </si>
  <si>
    <t>http://publications.europa.eu/resource/authority/language/JSL</t>
  </si>
  <si>
    <t>http://publications.europa.eu/resource/authority/language/JUS</t>
  </si>
  <si>
    <t>http://publications.europa.eu/resource/authority/language/KAR</t>
  </si>
  <si>
    <t>http://publications.europa.eu/resource/authority/language/KGI</t>
  </si>
  <si>
    <t>http://publications.europa.eu/resource/authority/language/KHI</t>
  </si>
  <si>
    <t>http://publications.europa.eu/resource/authority/language/KMR</t>
  </si>
  <si>
    <t>http://publications.europa.eu/resource/authority/language/KRO</t>
  </si>
  <si>
    <t>http://publications.europa.eu/resource/authority/language/KVK</t>
  </si>
  <si>
    <t>http://publications.europa.eu/resource/authority/language/KXD</t>
  </si>
  <si>
    <t>http://publications.europa.eu/resource/authority/language/LBS</t>
  </si>
  <si>
    <t>http://publications.europa.eu/resource/authority/language/LEC</t>
  </si>
  <si>
    <t>http://publications.europa.eu/resource/authority/language/LLS</t>
  </si>
  <si>
    <t>http://publications.europa.eu/resource/authority/language/LSG</t>
  </si>
  <si>
    <t>http://publications.europa.eu/resource/authority/language/LSL</t>
  </si>
  <si>
    <t>http://publications.europa.eu/resource/authority/language/LSO</t>
  </si>
  <si>
    <t>http://publications.europa.eu/resource/authority/language/LSP</t>
  </si>
  <si>
    <t>http://publications.europa.eu/resource/authority/language/LST</t>
  </si>
  <si>
    <t>http://publications.europa.eu/resource/authority/language/LUA</t>
  </si>
  <si>
    <t>http://publications.europa.eu/resource/authority/language/MAN</t>
  </si>
  <si>
    <t>http://publications.europa.eu/resource/authority/language/MAP</t>
  </si>
  <si>
    <t>http://publications.europa.eu/resource/authority/language/MDL</t>
  </si>
  <si>
    <t>http://publications.europa.eu/resource/authority/language/MFS</t>
  </si>
  <si>
    <t>http://publications.europa.eu/resource/authority/language/MIN</t>
  </si>
  <si>
    <t>http://publications.europa.eu/resource/authority/language/MIS</t>
  </si>
  <si>
    <t>http://publications.europa.eu/resource/authority/language/MKH</t>
  </si>
  <si>
    <t>http://publications.europa.eu/resource/authority/language/MNK</t>
  </si>
  <si>
    <t>http://publications.europa.eu/resource/authority/language/MNO</t>
  </si>
  <si>
    <t>http://publications.europa.eu/resource/authority/language/MPD</t>
  </si>
  <si>
    <t>http://publications.europa.eu/resource/authority/language/MRE</t>
  </si>
  <si>
    <t>http://publications.europa.eu/resource/authority/language/MSD</t>
  </si>
  <si>
    <t>http://publications.europa.eu/resource/authority/language/MSR</t>
  </si>
  <si>
    <t>http://publications.europa.eu/resource/authority/language/MTP</t>
  </si>
  <si>
    <t>http://publications.europa.eu/resource/authority/language/MUL</t>
  </si>
  <si>
    <t>http://publications.europa.eu/resource/authority/language/MUN</t>
  </si>
  <si>
    <t>http://publications.europa.eu/resource/authority/language/MYN</t>
  </si>
  <si>
    <t>http://publications.europa.eu/resource/authority/language/MZC</t>
  </si>
  <si>
    <t>http://publications.europa.eu/resource/authority/language/MZG</t>
  </si>
  <si>
    <t>http://publications.europa.eu/resource/authority/language/MZP</t>
  </si>
  <si>
    <t>http://publications.europa.eu/resource/authority/language/MZY</t>
  </si>
  <si>
    <t>http://publications.europa.eu/resource/authority/language/NAH</t>
  </si>
  <si>
    <t>http://publications.europa.eu/resource/authority/language/NAI</t>
  </si>
  <si>
    <t>http://publications.europa.eu/resource/authority/language/NBS</t>
  </si>
  <si>
    <t>http://publications.europa.eu/resource/authority/language/NCS</t>
  </si>
  <si>
    <t>http://publications.europa.eu/resource/authority/language/NIC</t>
  </si>
  <si>
    <t>http://publications.europa.eu/resource/authority/language/NIU</t>
  </si>
  <si>
    <t>http://publications.europa.eu/resource/authority/language/NSI</t>
  </si>
  <si>
    <t>http://publications.europa.eu/resource/authority/language/NSL</t>
  </si>
  <si>
    <t>http://publications.europa.eu/resource/authority/language/NSO</t>
  </si>
  <si>
    <t>http://publications.europa.eu/resource/authority/language/NSP</t>
  </si>
  <si>
    <t>http://publications.europa.eu/resource/authority/language/NSR</t>
  </si>
  <si>
    <t>http://publications.europa.eu/resource/authority/language/NUB</t>
  </si>
  <si>
    <t>http://publications.europa.eu/resource/authority/language/NZS</t>
  </si>
  <si>
    <t>http://publications.europa.eu/resource/authority/language/OTO</t>
  </si>
  <si>
    <t>http://publications.europa.eu/resource/authority/language/PAA</t>
  </si>
  <si>
    <t>http://publications.europa.eu/resource/authority/language/PAP</t>
  </si>
  <si>
    <t>http://publications.europa.eu/resource/authority/language/PAU</t>
  </si>
  <si>
    <t>http://publications.europa.eu/resource/authority/language/PCP</t>
  </si>
  <si>
    <t>http://publications.europa.eu/resource/authority/language/PHI</t>
  </si>
  <si>
    <t>http://publications.europa.eu/resource/authority/language/PIH</t>
  </si>
  <si>
    <t>http://publications.europa.eu/resource/authority/language/PKS</t>
  </si>
  <si>
    <t>http://publications.europa.eu/resource/authority/language/PRA</t>
  </si>
  <si>
    <t>http://publications.europa.eu/resource/authority/language/PRL</t>
  </si>
  <si>
    <t>http://publications.europa.eu/resource/authority/language/PRS</t>
  </si>
  <si>
    <t>http://publications.europa.eu/resource/authority/language/PRZ</t>
  </si>
  <si>
    <t>http://publications.europa.eu/resource/authority/language/PSC</t>
  </si>
  <si>
    <t>http://publications.europa.eu/resource/authority/language/PSD</t>
  </si>
  <si>
    <t>http://publications.europa.eu/resource/authority/language/PSG</t>
  </si>
  <si>
    <t>http://publications.europa.eu/resource/authority/language/PSL</t>
  </si>
  <si>
    <t>http://publications.europa.eu/resource/authority/language/PSM</t>
  </si>
  <si>
    <t>http://publications.europa.eu/resource/authority/language/PSO</t>
  </si>
  <si>
    <t>http://publications.europa.eu/resource/authority/language/PSP</t>
  </si>
  <si>
    <t>http://publications.europa.eu/resource/authority/language/PSR</t>
  </si>
  <si>
    <t>http://publications.europa.eu/resource/authority/language/PUQ</t>
  </si>
  <si>
    <t>http://publications.europa.eu/resource/authority/language/RAR</t>
  </si>
  <si>
    <t>http://publications.europa.eu/resource/authority/language/REY</t>
  </si>
  <si>
    <t>http://publications.europa.eu/resource/authority/language/RMS</t>
  </si>
  <si>
    <t>http://publications.europa.eu/resource/authority/language/ROA</t>
  </si>
  <si>
    <t>http://publications.europa.eu/resource/authority/language/ROM</t>
  </si>
  <si>
    <t>http://publications.europa.eu/resource/authority/language/RSI</t>
  </si>
  <si>
    <t>http://publications.europa.eu/resource/authority/language/RSL</t>
  </si>
  <si>
    <t>http://publications.europa.eu/resource/authority/language/SAI</t>
  </si>
  <si>
    <t>http://publications.europa.eu/resource/authority/language/SAL</t>
  </si>
  <si>
    <t>http://publications.europa.eu/resource/authority/language/SCO</t>
  </si>
  <si>
    <t>http://publications.europa.eu/resource/authority/language/SDH</t>
  </si>
  <si>
    <t>http://publications.europa.eu/resource/authority/language/SDL</t>
  </si>
  <si>
    <t>http://publications.europa.eu/resource/authority/language/SEM</t>
  </si>
  <si>
    <t>http://publications.europa.eu/resource/authority/language/SFS</t>
  </si>
  <si>
    <t>http://publications.europa.eu/resource/authority/language/SGG</t>
  </si>
  <si>
    <t>http://publications.europa.eu/resource/authority/language/SGN</t>
  </si>
  <si>
    <t>http://publications.europa.eu/resource/authority/language/SGX</t>
  </si>
  <si>
    <t>http://publications.europa.eu/resource/authority/language/SIO</t>
  </si>
  <si>
    <t>http://publications.europa.eu/resource/authority/language/SIP</t>
  </si>
  <si>
    <t>http://publications.europa.eu/resource/authority/language/SIT</t>
  </si>
  <si>
    <t>http://publications.europa.eu/resource/authority/language/SJE</t>
  </si>
  <si>
    <t>http://publications.europa.eu/resource/authority/language/SLA</t>
  </si>
  <si>
    <t>http://publications.europa.eu/resource/authority/language/SLF</t>
  </si>
  <si>
    <t>http://publications.europa.eu/resource/authority/language/SLS</t>
  </si>
  <si>
    <t>http://publications.europa.eu/resource/authority/language/SMI</t>
  </si>
  <si>
    <t>http://publications.europa.eu/resource/authority/language/SON</t>
  </si>
  <si>
    <t>http://publications.europa.eu/resource/authority/language/SQS</t>
  </si>
  <si>
    <t>http://publications.europa.eu/resource/authority/language/SRQ</t>
  </si>
  <si>
    <t>http://publications.europa.eu/resource/authority/language/SSA</t>
  </si>
  <si>
    <t>http://publications.europa.eu/resource/authority/language/SSP</t>
  </si>
  <si>
    <t>http://publications.europa.eu/resource/authority/language/SSR</t>
  </si>
  <si>
    <t>http://publications.europa.eu/resource/authority/language/SVK</t>
  </si>
  <si>
    <t>http://publications.europa.eu/resource/authority/language/SWB</t>
  </si>
  <si>
    <t>http://publications.europa.eu/resource/authority/language/SWL</t>
  </si>
  <si>
    <t>http://publications.europa.eu/resource/authority/language/SYY</t>
  </si>
  <si>
    <t>http://publications.europa.eu/resource/authority/language/TAI</t>
  </si>
  <si>
    <t>http://publications.europa.eu/resource/authority/language/TET</t>
  </si>
  <si>
    <t>http://publications.europa.eu/resource/authority/language/TKL</t>
  </si>
  <si>
    <t>http://publications.europa.eu/resource/authority/language/TNA</t>
  </si>
  <si>
    <t>http://publications.europa.eu/resource/authority/language/TNO</t>
  </si>
  <si>
    <t>http://publications.europa.eu/resource/authority/language/TPI</t>
  </si>
  <si>
    <t>http://publications.europa.eu/resource/authority/language/TPJ</t>
  </si>
  <si>
    <t>http://publications.europa.eu/resource/authority/language/TRN</t>
  </si>
  <si>
    <t>http://publications.europa.eu/resource/authority/language/TSE</t>
  </si>
  <si>
    <t>http://publications.europa.eu/resource/authority/language/TSM</t>
  </si>
  <si>
    <t>http://publications.europa.eu/resource/authority/language/TSQ</t>
  </si>
  <si>
    <t>http://publications.europa.eu/resource/authority/language/TSS</t>
  </si>
  <si>
    <t>http://publications.europa.eu/resource/authority/language/TSY</t>
  </si>
  <si>
    <t>http://publications.europa.eu/resource/authority/language/TUP</t>
  </si>
  <si>
    <t>http://publications.europa.eu/resource/authority/language/TUT</t>
  </si>
  <si>
    <t>http://publications.europa.eu/resource/authority/language/TVL</t>
  </si>
  <si>
    <t>http://publications.europa.eu/resource/authority/language/TZA</t>
  </si>
  <si>
    <t>http://publications.europa.eu/resource/authority/language/UGN</t>
  </si>
  <si>
    <t>http://publications.europa.eu/resource/authority/language/UGY</t>
  </si>
  <si>
    <t>http://publications.europa.eu/resource/authority/language/UKL</t>
  </si>
  <si>
    <t>http://publications.europa.eu/resource/authority/language/UKS</t>
  </si>
  <si>
    <t>http://publications.europa.eu/resource/authority/language/UND</t>
  </si>
  <si>
    <t>http://publications.europa.eu/resource/authority/language/URE</t>
  </si>
  <si>
    <t>http://publications.europa.eu/resource/authority/language/VLS</t>
  </si>
  <si>
    <t>http://publications.europa.eu/resource/authority/language/VSI</t>
  </si>
  <si>
    <t>http://publications.europa.eu/resource/authority/language/VSL</t>
  </si>
  <si>
    <t>http://publications.europa.eu/resource/authority/language/VSV</t>
  </si>
  <si>
    <t>http://publications.europa.eu/resource/authority/language/WAK</t>
  </si>
  <si>
    <t>http://publications.europa.eu/resource/authority/language/WEN</t>
  </si>
  <si>
    <t>http://publications.europa.eu/resource/authority/language/XKI</t>
  </si>
  <si>
    <t>http://publications.europa.eu/resource/authority/language/XML</t>
  </si>
  <si>
    <t>http://publications.europa.eu/resource/authority/language/XMS</t>
  </si>
  <si>
    <t>http://publications.europa.eu/resource/authority/language/YAA</t>
  </si>
  <si>
    <t>http://publications.europa.eu/resource/authority/language/YPK</t>
  </si>
  <si>
    <t>http://publications.europa.eu/resource/authority/language/YSL</t>
  </si>
  <si>
    <t>http://publications.europa.eu/resource/authority/language/YUE</t>
  </si>
  <si>
    <t>http://publications.europa.eu/resource/authority/language/YUQ</t>
  </si>
  <si>
    <t>http://publications.europa.eu/resource/authority/language/YUZ</t>
  </si>
  <si>
    <t>http://publications.europa.eu/resource/authority/language/ZIB</t>
  </si>
  <si>
    <t>http://publications.europa.eu/resource/authority/language/ZLM</t>
  </si>
  <si>
    <t>http://publications.europa.eu/resource/authority/language/ZND</t>
  </si>
  <si>
    <t>http://publications.europa.eu/resource/authority/language/ZSL</t>
  </si>
  <si>
    <t>http://publications.europa.eu/resource/authority/language/ZXX</t>
  </si>
  <si>
    <t>ADS</t>
  </si>
  <si>
    <t>AED</t>
  </si>
  <si>
    <t>AEN</t>
  </si>
  <si>
    <t>AFA</t>
  </si>
  <si>
    <t>AFR</t>
  </si>
  <si>
    <t>ALG</t>
  </si>
  <si>
    <t>AMH</t>
  </si>
  <si>
    <t>APA</t>
  </si>
  <si>
    <t>ARA</t>
  </si>
  <si>
    <t>ARO</t>
  </si>
  <si>
    <t>ART</t>
  </si>
  <si>
    <t>ASE</t>
  </si>
  <si>
    <t>ASF</t>
  </si>
  <si>
    <t>ASP</t>
  </si>
  <si>
    <t>ASQ</t>
  </si>
  <si>
    <t>ASW</t>
  </si>
  <si>
    <t>ATH</t>
  </si>
  <si>
    <t>AYM</t>
  </si>
  <si>
    <t>AYO</t>
  </si>
  <si>
    <t>BAD</t>
  </si>
  <si>
    <t>BAI</t>
  </si>
  <si>
    <t>BAT</t>
  </si>
  <si>
    <t>BER</t>
  </si>
  <si>
    <t>BFI</t>
  </si>
  <si>
    <t>BFK</t>
  </si>
  <si>
    <t>BIS</t>
  </si>
  <si>
    <t>BNT</t>
  </si>
  <si>
    <t>BOD</t>
  </si>
  <si>
    <t>BOG</t>
  </si>
  <si>
    <t>BOS</t>
  </si>
  <si>
    <t>BQN</t>
  </si>
  <si>
    <t>BQY</t>
  </si>
  <si>
    <t>BRE</t>
  </si>
  <si>
    <t>BRG</t>
  </si>
  <si>
    <t>BTK</t>
  </si>
  <si>
    <t>BUL</t>
  </si>
  <si>
    <t>BVL</t>
  </si>
  <si>
    <t>BZS</t>
  </si>
  <si>
    <t>CAI</t>
  </si>
  <si>
    <t>CAL</t>
  </si>
  <si>
    <t>CAO</t>
  </si>
  <si>
    <t>CAS</t>
  </si>
  <si>
    <t>CAT</t>
  </si>
  <si>
    <t>CAU</t>
  </si>
  <si>
    <t>CAV</t>
  </si>
  <si>
    <t>CAW</t>
  </si>
  <si>
    <t>CAX</t>
  </si>
  <si>
    <t>CAZ</t>
  </si>
  <si>
    <t>CDS</t>
  </si>
  <si>
    <t>CEL</t>
  </si>
  <si>
    <t>CES</t>
  </si>
  <si>
    <t>CHA</t>
  </si>
  <si>
    <t>CKB</t>
  </si>
  <si>
    <t>CMC</t>
  </si>
  <si>
    <t>CMN</t>
  </si>
  <si>
    <t>CNR</t>
  </si>
  <si>
    <t>COR</t>
  </si>
  <si>
    <t>COS</t>
  </si>
  <si>
    <t>CRS</t>
  </si>
  <si>
    <t>CSB</t>
  </si>
  <si>
    <t>CSC</t>
  </si>
  <si>
    <t>CSD</t>
  </si>
  <si>
    <t>CSE</t>
  </si>
  <si>
    <t>CSF</t>
  </si>
  <si>
    <t>CSG</t>
  </si>
  <si>
    <t>CSL</t>
  </si>
  <si>
    <t>CSN</t>
  </si>
  <si>
    <t>CSQ</t>
  </si>
  <si>
    <t>CSR</t>
  </si>
  <si>
    <t>CUS</t>
  </si>
  <si>
    <t>CYB</t>
  </si>
  <si>
    <t>DAN</t>
  </si>
  <si>
    <t>DAY</t>
  </si>
  <si>
    <t>DIV</t>
  </si>
  <si>
    <t>DOQ</t>
  </si>
  <si>
    <t>DRA</t>
  </si>
  <si>
    <t>DSB</t>
  </si>
  <si>
    <t>DSE</t>
  </si>
  <si>
    <t>DSL</t>
  </si>
  <si>
    <t>DZO</t>
  </si>
  <si>
    <t>ECS</t>
  </si>
  <si>
    <t>ELL</t>
  </si>
  <si>
    <t>ENG</t>
  </si>
  <si>
    <t>EPO</t>
  </si>
  <si>
    <t>ESE</t>
  </si>
  <si>
    <t>ESL</t>
  </si>
  <si>
    <t>ESN</t>
  </si>
  <si>
    <t>ESO</t>
  </si>
  <si>
    <t>EUS</t>
  </si>
  <si>
    <t>EWE</t>
  </si>
  <si>
    <t>FAO</t>
  </si>
  <si>
    <t>FAS</t>
  </si>
  <si>
    <t>FCS</t>
  </si>
  <si>
    <t>FIJ</t>
  </si>
  <si>
    <t>FIL</t>
  </si>
  <si>
    <t>FIU</t>
  </si>
  <si>
    <t>FRY</t>
  </si>
  <si>
    <t>FSE</t>
  </si>
  <si>
    <t>FSL</t>
  </si>
  <si>
    <t>FSS</t>
  </si>
  <si>
    <t>FUR</t>
  </si>
  <si>
    <t>GEM</t>
  </si>
  <si>
    <t>GLA</t>
  </si>
  <si>
    <t>GLE</t>
  </si>
  <si>
    <t>GLG</t>
  </si>
  <si>
    <t>GLV</t>
  </si>
  <si>
    <t>GRN</t>
  </si>
  <si>
    <t>GSE</t>
  </si>
  <si>
    <t>GSG</t>
  </si>
  <si>
    <t>GSM</t>
  </si>
  <si>
    <t>GSS</t>
  </si>
  <si>
    <t>GUG</t>
  </si>
  <si>
    <t>GUS</t>
  </si>
  <si>
    <t>GYR</t>
  </si>
  <si>
    <t>HAB</t>
  </si>
  <si>
    <t>HAF</t>
  </si>
  <si>
    <t>HAT</t>
  </si>
  <si>
    <t>HCA</t>
  </si>
  <si>
    <t>HDS</t>
  </si>
  <si>
    <t>HEB</t>
  </si>
  <si>
    <t>HIF</t>
  </si>
  <si>
    <t>HIN</t>
  </si>
  <si>
    <t>HKS</t>
  </si>
  <si>
    <t>HMO</t>
  </si>
  <si>
    <t>HOS</t>
  </si>
  <si>
    <t>HPS</t>
  </si>
  <si>
    <t>HSB</t>
  </si>
  <si>
    <t>HSH</t>
  </si>
  <si>
    <t>HSL</t>
  </si>
  <si>
    <t>HYE</t>
  </si>
  <si>
    <t>IBO</t>
  </si>
  <si>
    <t>ICL</t>
  </si>
  <si>
    <t>IGN</t>
  </si>
  <si>
    <t>IJO</t>
  </si>
  <si>
    <t>INA</t>
  </si>
  <si>
    <t>INC</t>
  </si>
  <si>
    <t>INE</t>
  </si>
  <si>
    <t>INL</t>
  </si>
  <si>
    <t>INS</t>
  </si>
  <si>
    <t>IRA</t>
  </si>
  <si>
    <t>IRO</t>
  </si>
  <si>
    <t>ISE</t>
  </si>
  <si>
    <t>ISG</t>
  </si>
  <si>
    <t>ITE</t>
  </si>
  <si>
    <t>ITO</t>
  </si>
  <si>
    <t>JCS</t>
  </si>
  <si>
    <t>JHS</t>
  </si>
  <si>
    <t>JOS</t>
  </si>
  <si>
    <t>JSL</t>
  </si>
  <si>
    <t>JUS</t>
  </si>
  <si>
    <t>KAL</t>
  </si>
  <si>
    <t>KAR</t>
  </si>
  <si>
    <t>KAT</t>
  </si>
  <si>
    <t>KGI</t>
  </si>
  <si>
    <t>KHI</t>
  </si>
  <si>
    <t>KIN</t>
  </si>
  <si>
    <t>KMR</t>
  </si>
  <si>
    <t>KON</t>
  </si>
  <si>
    <t>KRO</t>
  </si>
  <si>
    <t>KUR</t>
  </si>
  <si>
    <t>KVK</t>
  </si>
  <si>
    <t>KXD</t>
  </si>
  <si>
    <t>LAT</t>
  </si>
  <si>
    <t>LAV</t>
  </si>
  <si>
    <t>LBS</t>
  </si>
  <si>
    <t>LEC</t>
  </si>
  <si>
    <t>LIN</t>
  </si>
  <si>
    <t>LIT</t>
  </si>
  <si>
    <t>LLS</t>
  </si>
  <si>
    <t>LSG</t>
  </si>
  <si>
    <t>LSL</t>
  </si>
  <si>
    <t>LSP</t>
  </si>
  <si>
    <t>LST</t>
  </si>
  <si>
    <t>LTZ</t>
  </si>
  <si>
    <t>LUA</t>
  </si>
  <si>
    <t>MAH</t>
  </si>
  <si>
    <t>MAN</t>
  </si>
  <si>
    <t>MAP</t>
  </si>
  <si>
    <t>MDL</t>
  </si>
  <si>
    <t>MFS</t>
  </si>
  <si>
    <t>MIN</t>
  </si>
  <si>
    <t>MIS</t>
  </si>
  <si>
    <t>MKH</t>
  </si>
  <si>
    <t>MLG</t>
  </si>
  <si>
    <t>MNK</t>
  </si>
  <si>
    <t>MNO</t>
  </si>
  <si>
    <t>MON</t>
  </si>
  <si>
    <t>MPD</t>
  </si>
  <si>
    <t>MRE</t>
  </si>
  <si>
    <t>MRI</t>
  </si>
  <si>
    <t>MSA</t>
  </si>
  <si>
    <t>MSD</t>
  </si>
  <si>
    <t>MTP</t>
  </si>
  <si>
    <t>MUL</t>
  </si>
  <si>
    <t>MUN</t>
  </si>
  <si>
    <t>MYA</t>
  </si>
  <si>
    <t>MYN</t>
  </si>
  <si>
    <t>MZC</t>
  </si>
  <si>
    <t>MZG</t>
  </si>
  <si>
    <t>MZP</t>
  </si>
  <si>
    <t>MZY</t>
  </si>
  <si>
    <t>NAH</t>
  </si>
  <si>
    <t>NAI</t>
  </si>
  <si>
    <t>NAU</t>
  </si>
  <si>
    <t>NBL</t>
  </si>
  <si>
    <t>NBS</t>
  </si>
  <si>
    <t>NCS</t>
  </si>
  <si>
    <t>NEP</t>
  </si>
  <si>
    <t>NNO</t>
  </si>
  <si>
    <t>NOB</t>
  </si>
  <si>
    <t>NSI</t>
  </si>
  <si>
    <t>NSL</t>
  </si>
  <si>
    <t>NSO</t>
  </si>
  <si>
    <t>NSP</t>
  </si>
  <si>
    <t>NSR</t>
  </si>
  <si>
    <t>NUB</t>
  </si>
  <si>
    <t>NYA</t>
  </si>
  <si>
    <t>NZS</t>
  </si>
  <si>
    <t>OCI</t>
  </si>
  <si>
    <t>OSS</t>
  </si>
  <si>
    <t>OTO</t>
  </si>
  <si>
    <t>PAA</t>
  </si>
  <si>
    <t>PAP</t>
  </si>
  <si>
    <t>PAU</t>
  </si>
  <si>
    <t>PCP</t>
  </si>
  <si>
    <t>PHI</t>
  </si>
  <si>
    <t>PIH</t>
  </si>
  <si>
    <t>PKS</t>
  </si>
  <si>
    <t>POR</t>
  </si>
  <si>
    <t>PRA</t>
  </si>
  <si>
    <t>PRL</t>
  </si>
  <si>
    <t>PRS</t>
  </si>
  <si>
    <t>PRZ</t>
  </si>
  <si>
    <t>PSC</t>
  </si>
  <si>
    <t>PSD</t>
  </si>
  <si>
    <t>PSG</t>
  </si>
  <si>
    <t>PSL</t>
  </si>
  <si>
    <t>PSM</t>
  </si>
  <si>
    <t>PSO</t>
  </si>
  <si>
    <t>PSP</t>
  </si>
  <si>
    <t>PSR</t>
  </si>
  <si>
    <t>PUQ</t>
  </si>
  <si>
    <t>QUE</t>
  </si>
  <si>
    <t>RAR</t>
  </si>
  <si>
    <t>REY</t>
  </si>
  <si>
    <t>RMS</t>
  </si>
  <si>
    <t>ROA</t>
  </si>
  <si>
    <t>ROH</t>
  </si>
  <si>
    <t>ROM</t>
  </si>
  <si>
    <t>RON</t>
  </si>
  <si>
    <t>RSI</t>
  </si>
  <si>
    <t>RSL</t>
  </si>
  <si>
    <t>RUN</t>
  </si>
  <si>
    <t>SAG</t>
  </si>
  <si>
    <t>SAI</t>
  </si>
  <si>
    <t>SAL</t>
  </si>
  <si>
    <t>SCO</t>
  </si>
  <si>
    <t>SDH</t>
  </si>
  <si>
    <t>SDL</t>
  </si>
  <si>
    <t>SEM</t>
  </si>
  <si>
    <t>SFS</t>
  </si>
  <si>
    <t>SGG</t>
  </si>
  <si>
    <t>SGN</t>
  </si>
  <si>
    <t>SGX</t>
  </si>
  <si>
    <t>SIN</t>
  </si>
  <si>
    <t>SIO</t>
  </si>
  <si>
    <t>SIP</t>
  </si>
  <si>
    <t>SIT</t>
  </si>
  <si>
    <t>SJE</t>
  </si>
  <si>
    <t>SLA</t>
  </si>
  <si>
    <t>SLF</t>
  </si>
  <si>
    <t>SLK</t>
  </si>
  <si>
    <t>SLS</t>
  </si>
  <si>
    <t>SME</t>
  </si>
  <si>
    <t>SMI</t>
  </si>
  <si>
    <t>SMO</t>
  </si>
  <si>
    <t>SON</t>
  </si>
  <si>
    <t>SOT</t>
  </si>
  <si>
    <t>SPA</t>
  </si>
  <si>
    <t>SQI</t>
  </si>
  <si>
    <t>SQS</t>
  </si>
  <si>
    <t>SRP</t>
  </si>
  <si>
    <t>SRQ</t>
  </si>
  <si>
    <t>SSA</t>
  </si>
  <si>
    <t>SSP</t>
  </si>
  <si>
    <t>SSR</t>
  </si>
  <si>
    <t>SSW</t>
  </si>
  <si>
    <t>SWA</t>
  </si>
  <si>
    <t>SWB</t>
  </si>
  <si>
    <t>SWL</t>
  </si>
  <si>
    <t>SYY</t>
  </si>
  <si>
    <t>TAI</t>
  </si>
  <si>
    <t>TAM</t>
  </si>
  <si>
    <t>TET</t>
  </si>
  <si>
    <t>TGK</t>
  </si>
  <si>
    <t>TIR</t>
  </si>
  <si>
    <t>TNA</t>
  </si>
  <si>
    <t>TNO</t>
  </si>
  <si>
    <t>TPI</t>
  </si>
  <si>
    <t>TPJ</t>
  </si>
  <si>
    <t>TRN</t>
  </si>
  <si>
    <t>TSE</t>
  </si>
  <si>
    <t>TSM</t>
  </si>
  <si>
    <t>TSN</t>
  </si>
  <si>
    <t>TSO</t>
  </si>
  <si>
    <t>TSQ</t>
  </si>
  <si>
    <t>TSS</t>
  </si>
  <si>
    <t>TSY</t>
  </si>
  <si>
    <t>TUK</t>
  </si>
  <si>
    <t>TUP</t>
  </si>
  <si>
    <t>TUT</t>
  </si>
  <si>
    <t>TVL</t>
  </si>
  <si>
    <t>UGN</t>
  </si>
  <si>
    <t>UGY</t>
  </si>
  <si>
    <t>UKL</t>
  </si>
  <si>
    <t>UKS</t>
  </si>
  <si>
    <t>UND</t>
  </si>
  <si>
    <t>URD</t>
  </si>
  <si>
    <t>URE</t>
  </si>
  <si>
    <t>VIE</t>
  </si>
  <si>
    <t>VLS</t>
  </si>
  <si>
    <t>VSI</t>
  </si>
  <si>
    <t>VSL</t>
  </si>
  <si>
    <t>VSV</t>
  </si>
  <si>
    <t>WEN</t>
  </si>
  <si>
    <t>WLN</t>
  </si>
  <si>
    <t>WOL</t>
  </si>
  <si>
    <t>XHO</t>
  </si>
  <si>
    <t>XKI</t>
  </si>
  <si>
    <t>XML</t>
  </si>
  <si>
    <t>XMS</t>
  </si>
  <si>
    <t>YAA</t>
  </si>
  <si>
    <t>YID</t>
  </si>
  <si>
    <t>YPK</t>
  </si>
  <si>
    <t>YSL</t>
  </si>
  <si>
    <t>YUE</t>
  </si>
  <si>
    <t>YUQ</t>
  </si>
  <si>
    <t>YUZ</t>
  </si>
  <si>
    <t>ZHO</t>
  </si>
  <si>
    <t>ZIB</t>
  </si>
  <si>
    <t>ZLM</t>
  </si>
  <si>
    <t>ZND</t>
  </si>
  <si>
    <t>ZSL</t>
  </si>
  <si>
    <t>ZUL</t>
  </si>
  <si>
    <t>ZXX</t>
  </si>
  <si>
    <t>walletAddress</t>
  </si>
  <si>
    <t>EuropassCredential.display</t>
  </si>
  <si>
    <t>key</t>
  </si>
  <si>
    <t>Labels key</t>
  </si>
  <si>
    <t>EuropassCredential.display.background</t>
  </si>
  <si>
    <t>EuropassCredential.display.labels#1</t>
  </si>
  <si>
    <t>labels</t>
  </si>
  <si>
    <t>Background</t>
  </si>
  <si>
    <t>EuropassCredential.display.background.contentUrl.NestedProperty.</t>
  </si>
  <si>
    <t>EuropassCredential.display.labels#1.key.NestedProperty.</t>
  </si>
  <si>
    <t>EuropassCredential.display.labels.NestedProperty.2.en</t>
  </si>
  <si>
    <t>EuropassCredential.display.labels.NestedProperty.1.en</t>
  </si>
  <si>
    <t>EuropassCredential.display.labels.NestedProperty.1.es</t>
  </si>
  <si>
    <t>EuropassCredential.display.labels.NestedProperty.2.es</t>
  </si>
  <si>
    <t>This EDC template version was released on:</t>
  </si>
  <si>
    <t>number</t>
  </si>
  <si>
    <t>country</t>
  </si>
  <si>
    <t>Method of assessment, supervision and ID verification</t>
  </si>
  <si>
    <t>National Qualifications Framework for Lifelong Learning for Liechtenstein</t>
  </si>
  <si>
    <t>Liechtenstein Qualifications Framework</t>
  </si>
  <si>
    <t>The title of the achievement.
In the case of "Generic" Credentials and "Qualification Awards", this is often the same title as that of the credential.</t>
  </si>
  <si>
    <t>This date represents the earliest date when the information associated with the credential Owner became valid. A verifiable credential MUST have a Valid from property. This is not the date and time of generation of the credential.
Please provide a valid date of issuance.</t>
  </si>
  <si>
    <r>
      <rPr>
        <i/>
        <sz val="18"/>
        <color theme="1"/>
        <rFont val="Calibri"/>
        <family val="2"/>
        <scheme val="minor"/>
      </rPr>
      <t>Entitlements</t>
    </r>
    <r>
      <rPr>
        <i/>
        <sz val="11"/>
        <color theme="1"/>
        <rFont val="Calibri"/>
        <family val="2"/>
        <scheme val="minor"/>
      </rPr>
      <t xml:space="preserve">
This sheet allows you to list any Entitlements referenced in the credential.</t>
    </r>
  </si>
  <si>
    <r>
      <rPr>
        <i/>
        <sz val="18"/>
        <color theme="1"/>
        <rFont val="Calibri"/>
        <family val="2"/>
        <scheme val="minor"/>
      </rPr>
      <t xml:space="preserve">Organisations   </t>
    </r>
    <r>
      <rPr>
        <i/>
        <sz val="11"/>
        <color theme="1"/>
        <rFont val="Calibri"/>
        <family val="2"/>
        <scheme val="minor"/>
      </rPr>
      <t xml:space="preserve">
This sheet lets you describe legal persons / registered Organisation referenced in the credential. The first Agent is automatically referenced as the issuing organisation of the credential on the "Europass Credentials" sheet.</t>
    </r>
  </si>
  <si>
    <r>
      <rPr>
        <i/>
        <sz val="18"/>
        <color theme="1"/>
        <rFont val="Calibri"/>
        <family val="2"/>
        <scheme val="minor"/>
      </rPr>
      <t xml:space="preserve">Achievements
</t>
    </r>
    <r>
      <rPr>
        <i/>
        <sz val="11"/>
        <color theme="1"/>
        <rFont val="Calibri"/>
        <family val="2"/>
        <scheme val="minor"/>
      </rPr>
      <t>This sheet allows you to list any Achievements referenced in the credential.</t>
    </r>
  </si>
  <si>
    <t>Make sure to point to an existing credential via download endpoint.
Format: http://dev.everisdx.io:8000/europass2/edci-wallet/api/v1/wallets/WALLET_ADDRESS/credentials/CREDENTIAL_UUID https://europa.eu/europass/digital-credentials/viewer/#/shareview/hgy76de8yex7sjrd https://europa.eu/!ny73bV</t>
  </si>
  <si>
    <t>tr</t>
  </si>
  <si>
    <t>македонски</t>
  </si>
  <si>
    <t>mk</t>
  </si>
  <si>
    <t>sr</t>
  </si>
  <si>
    <t>српски</t>
  </si>
  <si>
    <t>Türkçe</t>
  </si>
  <si>
    <t>EuropassCredential.title.Property.content.mk</t>
  </si>
  <si>
    <t>EuropassCredential.title.Property.content.tr</t>
  </si>
  <si>
    <t>EuropassCredential.title.Property.content.sr</t>
  </si>
  <si>
    <t>EuropassCredential.description.Property.content.mk</t>
  </si>
  <si>
    <t>EuropassCredential.description.Property.content.tr</t>
  </si>
  <si>
    <t>EuropassCredential.description.Property.content.sr</t>
  </si>
  <si>
    <t>Person.contactPoint#1.hasAddress#2.fullAddress.NestedProperty.content.mk</t>
  </si>
  <si>
    <t>Person.contactPoint#1.hasAddress#2.fullAddress.NestedProperty.content.sr</t>
  </si>
  <si>
    <t>Person.contactPoint#1.hasAddress#2.fullAddress.NestedProperty.content.tr</t>
  </si>
  <si>
    <t>Organisation.preferredName.Property.content.mk</t>
  </si>
  <si>
    <t>Organisation.preferredName.Property.content.tr</t>
  </si>
  <si>
    <t>Organisation.preferredName.Property.content.sr</t>
  </si>
  <si>
    <t>Organisation.alternativeName.Property.content.18.mk</t>
  </si>
  <si>
    <t>Organisation.alternativeName.Property.content.19.mt</t>
  </si>
  <si>
    <t>Organisation.alternativeName.Property.content.20.nl</t>
  </si>
  <si>
    <t>Organisation.alternativeName.Property.content.21.no</t>
  </si>
  <si>
    <t>Organisation.alternativeName.Property.content.22.pl</t>
  </si>
  <si>
    <t>Organisation.alternativeName.Property.content.23.pt</t>
  </si>
  <si>
    <t>Organisation.alternativeName.Property.content.24.ro</t>
  </si>
  <si>
    <t>Organisation.alternativeName.Property.content.25.sk</t>
  </si>
  <si>
    <t>Organisation.alternativeName.Property.content.26.sl</t>
  </si>
  <si>
    <t>Organisation.alternativeName.Property.content.27.sr</t>
  </si>
  <si>
    <t>Organisation.alternativeName.Property.content.28.sv</t>
  </si>
  <si>
    <t>Organisation.alternativeName.Property.content.29.tr</t>
  </si>
  <si>
    <t>Agent.hasLocation#18.geographicName.NestedProperty.content.mk</t>
  </si>
  <si>
    <t>Agent.hasLocation#19.geographicName.NestedProperty.content.mt</t>
  </si>
  <si>
    <t>Agent.hasLocation#20.geographicName.NestedProperty.content.nl</t>
  </si>
  <si>
    <t>Agent.hasLocation#21.geographicName.NestedProperty.content.no</t>
  </si>
  <si>
    <t>Agent.hasLocation#22.geographicName.NestedProperty.content.pl</t>
  </si>
  <si>
    <t>Agent.hasLocation#23.geographicName.NestedProperty.content.pt</t>
  </si>
  <si>
    <t>Agent.hasLocation#24.geographicName.NestedProperty.content.ro</t>
  </si>
  <si>
    <t>Agent.hasLocation#25.geographicName.NestedProperty.content.sk</t>
  </si>
  <si>
    <t>Agent.hasLocation#26.geographicName.NestedProperty.content.sl</t>
  </si>
  <si>
    <t>Agent.hasLocation#27.geographicName.NestedProperty.content.sr</t>
  </si>
  <si>
    <t>Agent.hasLocation#28.geographicName.NestedProperty.content.sv</t>
  </si>
  <si>
    <t>Agent.hasLocation#29.geographicName.NestedProperty.content.tr</t>
  </si>
  <si>
    <t>Agent.hasLocation#1.hasAddress#18.fullAddress.NestedProperty.content.mk</t>
  </si>
  <si>
    <t>Agent.hasLocation#1.hasAddress#19.fullAddress.NestedProperty.content.mt</t>
  </si>
  <si>
    <t>Agent.hasLocation#1.hasAddress#20.fullAddress.NestedProperty.content.nl</t>
  </si>
  <si>
    <t>Agent.hasLocation#1.hasAddress#21.fullAddress.NestedProperty.content.no</t>
  </si>
  <si>
    <t>Agent.hasLocation#1.hasAddress#22.fullAddress.NestedProperty.content.pl</t>
  </si>
  <si>
    <t>Agent.hasLocation#1.hasAddress#23.fullAddress.NestedProperty.content.pt</t>
  </si>
  <si>
    <t>Agent.hasLocation#1.hasAddress#24.fullAddress.NestedProperty.content.ro</t>
  </si>
  <si>
    <t>Agent.hasLocation#1.hasAddress#25.fullAddress.NestedProperty.content.sk</t>
  </si>
  <si>
    <t>Agent.hasLocation#1.hasAddress#26.fullAddress.NestedProperty.content.sl</t>
  </si>
  <si>
    <t>Agent.hasLocation#1.hasAddress#27.fullAddress.NestedProperty.content.sr</t>
  </si>
  <si>
    <t>Agent.hasLocation#1.hasAddress#28.fullAddress.NestedProperty.content.sv</t>
  </si>
  <si>
    <t>Agent.hasLocation#1.hasAddress#29.fullAddress.NestedProperty.content.tr</t>
  </si>
  <si>
    <t>Assessment Specification Title</t>
  </si>
  <si>
    <t>LearningAchievement.title.Property.content.mk</t>
  </si>
  <si>
    <t>LearningAchievement.title.Property.content.sr</t>
  </si>
  <si>
    <t>LearningAchievement.title.Property.content.tr</t>
  </si>
  <si>
    <t>LearningAchievement.description.Property.content.mk</t>
  </si>
  <si>
    <t>LearningAchievement.description.Property.content.tr</t>
  </si>
  <si>
    <t>LearningAchievement.description.Property.content.sk2</t>
  </si>
  <si>
    <t>LearningAchievement.specifiedBy.title.NestedProperty.content.mk</t>
  </si>
  <si>
    <t>LearningAchievement.specifiedBy.title.NestedProperty.content.tr</t>
  </si>
  <si>
    <t>LearningAchievement.specifiedBy.title.NestedProperty.content.sr</t>
  </si>
  <si>
    <t>LearningAchievement.specifiedBy.description.NestedProperty.content.mk</t>
  </si>
  <si>
    <t>LearningAchievement.specifiedBy.description.NestedProperty.content.sr</t>
  </si>
  <si>
    <t>LearningAchievement.specifiedBy.description.NestedProperty.content.sv2</t>
  </si>
  <si>
    <t>LearningAchievement.specifiedBy.entryRequirementNote.NestedProperty.mk</t>
  </si>
  <si>
    <t>LearningAchievement.specifiedBy.entryRequirementNote.NestedProperty.tr</t>
  </si>
  <si>
    <t>LearningAchievement.specifiedBy.entryRequirementNote.NestedProperty.sr</t>
  </si>
  <si>
    <t>LearningAchievement.specifiedBy.additionalNote.NestedProperty.content.1.mk</t>
  </si>
  <si>
    <t>LearningAchievement.specifiedBy.additionalNote.NestedProperty.content.1.tr</t>
  </si>
  <si>
    <t>LearningAchievement.specifiedBy.additionalNote.NestedProperty.content.1.sr</t>
  </si>
  <si>
    <t>LearningAchievement.specifiedBy.additionalNote.NestedProperty.content.2.tr</t>
  </si>
  <si>
    <t>LearningAchievement.specifiedBy.additionalNote.NestedProperty.content.2.sr</t>
  </si>
  <si>
    <t>LearningAchievement.specifiedBy.additionalNote.NestedProperty.content.2.mk</t>
  </si>
  <si>
    <t>LearningOutcome.name.Property.content.mk</t>
  </si>
  <si>
    <t>LearningOutcome.name.Property.content.tr</t>
  </si>
  <si>
    <t>LearningOutcome.name.Property.content.sr</t>
  </si>
  <si>
    <t>LearningOutcome.description.Property.content.mk</t>
  </si>
  <si>
    <t>LearningOutcome.description.Property.content.tr</t>
  </si>
  <si>
    <t>LearningOutcome.description.Property.content.sr</t>
  </si>
  <si>
    <t>LearningActivity.title.Property.content.mk</t>
  </si>
  <si>
    <t>LearningActivity.title.Property.content.tr</t>
  </si>
  <si>
    <t>LearningActivity.title.Property.content.sr</t>
  </si>
  <si>
    <t>LearningActivity.Description.Property.content.mk</t>
  </si>
  <si>
    <t>LearningActivity.Description.Property.content.tr</t>
  </si>
  <si>
    <t>LearningActivity.Description.Property.content.sr</t>
  </si>
  <si>
    <t>LearningActivity.location#1.spatialCode#1.geographicName.NestedProperty.content.mk</t>
  </si>
  <si>
    <t>LearningActivity.location#1.spatialCode#1.geographicName.NestedProperty.content.tr</t>
  </si>
  <si>
    <t>LearningActivity.location#1.spatialCode#1.geographicName.NestedProperty.content.sr</t>
  </si>
  <si>
    <t>LearningActivity.location#1.spatialCode#1.fullAddress.NestedProperty.content.mk</t>
  </si>
  <si>
    <t>LearningActivity.location#1.spatialCode#1.fullAddress.NestedProperty.content.tr</t>
  </si>
  <si>
    <t>LearningActivity.location#1.spatialCode#1.fullAddress.NestedProperty.content.sr</t>
  </si>
  <si>
    <t>LearningActivity.specifiedBy.title.NestedProperty.content.mk</t>
  </si>
  <si>
    <t>LearningActivity.specifiedBy.title.NestedProperty.content.tr</t>
  </si>
  <si>
    <t>LearningActivity.specifiedBy.title.NestedProperty.content.sr</t>
  </si>
  <si>
    <t>LearningActivity.specifiedBy.description.NestedProperty.content.mk</t>
  </si>
  <si>
    <t>LearningActivity.specifiedBy.description.NestedProperty.content.tr</t>
  </si>
  <si>
    <t>LearningActivity.specifiedBy.description.NestedProperty.content.sr</t>
  </si>
  <si>
    <t>LearningActivity.specifiedBy.additionalNote.NestedProperty.content.1.mk</t>
  </si>
  <si>
    <t>LearningActivity.specifiedBy.additionalNote.NestedProperty.content.1.tr</t>
  </si>
  <si>
    <t>LearningActivity.specifiedBy.additionalNote.NestedProperty.content.1.sr</t>
  </si>
  <si>
    <t>LearningActivity.specifiedBy.additionalNote.NestedProperty.content.2.mk</t>
  </si>
  <si>
    <t>LearningActivity.specifiedBy.additionalNote.NestedProperty.content.2.tr</t>
  </si>
  <si>
    <t>LearningActivity.specifiedBy.additionalNote.NestedProperty.content.2.sr</t>
  </si>
  <si>
    <t>Assessment.title.Property.content.mk</t>
  </si>
  <si>
    <t>Assessment.title.Property.content.tr</t>
  </si>
  <si>
    <t>Assessment.title.Property.content.sr</t>
  </si>
  <si>
    <t>Assessment.description.Property.content.mk</t>
  </si>
  <si>
    <t>Assessment.description.Property.content.tr</t>
  </si>
  <si>
    <t>Assessment.description.Property.content.sr</t>
  </si>
  <si>
    <t>Assessment.specifiedBy.title.NestedProperty.content.mk</t>
  </si>
  <si>
    <t>Assessment.specifiedBy.title.NestedProperty.content.tr</t>
  </si>
  <si>
    <t>Assessment.specifiedBy.title.NestedProperty.content.sr</t>
  </si>
  <si>
    <t>Assessment.specifiedBy.description.NestedProperty.content.mk</t>
  </si>
  <si>
    <t>Assessment.specifiedBy.description.NestedProperty.content.tr</t>
  </si>
  <si>
    <t>Assessment.specifiedBy.description.NestedProperty.content.sr</t>
  </si>
  <si>
    <t>Assessment.specifiedBy.additionalNote.NestedProperty.content.1.mk</t>
  </si>
  <si>
    <t>Assessment.specifiedBy.additionalNote.NestedProperty.content.1.tr</t>
  </si>
  <si>
    <t>Assessment.specifiedBy.additionalNote.NestedProperty.content.1.sr</t>
  </si>
  <si>
    <t>Assessment.specifiedBy.additionalNote.NestedProperty.content.2.mk</t>
  </si>
  <si>
    <t>Assessment.specifiedBy.additionalNote.NestedProperty.content.2.tr</t>
  </si>
  <si>
    <t>Assessment.specifiedBy.additionalNote.NestedProperty.content.2.sr</t>
  </si>
  <si>
    <t>Assessment.specifiedBy.gradingScheme.title.NestedProperty.content.mk</t>
  </si>
  <si>
    <t>Assessment.specifiedBy.gradingScheme.title.NestedProperty.content.tr</t>
  </si>
  <si>
    <t>Assessment.specifiedBy.gradingScheme.title.NestedProperty.content.sr</t>
  </si>
  <si>
    <t>Assessment.specifiedBy.gradingScheme.description.NestedProperty.content.mk</t>
  </si>
  <si>
    <t>Assessment.specifiedBy.gradingScheme.description.NestedProperty.content.tr</t>
  </si>
  <si>
    <t>Assessment.specifiedBy.gradingScheme.description.NestedProperty.content.sr</t>
  </si>
  <si>
    <t>Column1353</t>
  </si>
  <si>
    <t>Column1362</t>
  </si>
  <si>
    <t>Column1373</t>
  </si>
  <si>
    <t>Column107</t>
  </si>
  <si>
    <t>Column108</t>
  </si>
  <si>
    <t>Column109</t>
  </si>
  <si>
    <t>Column1603</t>
  </si>
  <si>
    <t>Column1614</t>
  </si>
  <si>
    <t>Column1625</t>
  </si>
  <si>
    <t>Column207</t>
  </si>
  <si>
    <t>Column208</t>
  </si>
  <si>
    <t>Column209</t>
  </si>
  <si>
    <t>Label 1</t>
  </si>
  <si>
    <t>EuropassCredential.display.labels.NestedProperty.1.tr</t>
  </si>
  <si>
    <t>EuropassCredential.display.labels.NestedProperty.1.sv</t>
  </si>
  <si>
    <t>EuropassCredential.display.labels.NestedProperty.1.sr</t>
  </si>
  <si>
    <t>EuropassCredential.display.labels.NestedProperty.1.sl</t>
  </si>
  <si>
    <t>EuropassCredential.display.labels.NestedProperty.1.sk</t>
  </si>
  <si>
    <t>EuropassCredential.display.labels.NestedProperty.1.ro</t>
  </si>
  <si>
    <t>EuropassCredential.display.labels.NestedProperty.1.pt</t>
  </si>
  <si>
    <t>EuropassCredential.display.labels.NestedProperty.1.pl</t>
  </si>
  <si>
    <t>EuropassCredential.display.labels.NestedProperty.1.no</t>
  </si>
  <si>
    <t>EuropassCredential.display.labels.NestedProperty.1.nl</t>
  </si>
  <si>
    <t>EuropassCredential.display.labels.NestedProperty.1.mt</t>
  </si>
  <si>
    <t>EuropassCredential.display.labels.NestedProperty.1.mk</t>
  </si>
  <si>
    <t>EuropassCredential.display.labels.NestedProperty.1.lv</t>
  </si>
  <si>
    <t>EuropassCredential.display.labels.NestedProperty.1.lt</t>
  </si>
  <si>
    <t>EuropassCredential.display.labels.NestedProperty.1.it</t>
  </si>
  <si>
    <t>EuropassCredential.display.labels.NestedProperty.1.is</t>
  </si>
  <si>
    <t>EuropassCredential.display.labels.NestedProperty.1.hu</t>
  </si>
  <si>
    <t>EuropassCredential.display.labels.NestedProperty.1.hr</t>
  </si>
  <si>
    <t>EuropassCredential.display.labels.NestedProperty.1.ga</t>
  </si>
  <si>
    <t>EuropassCredential.display.labels.NestedProperty.1.fr</t>
  </si>
  <si>
    <t>EuropassCredential.display.labels.NestedProperty.1.fi</t>
  </si>
  <si>
    <t>EuropassCredential.display.labels.NestedProperty.1.et</t>
  </si>
  <si>
    <t>EuropassCredential.display.labels.NestedProperty.1.el</t>
  </si>
  <si>
    <t>EuropassCredential.display.labels.NestedProperty.1.de</t>
  </si>
  <si>
    <t>EuropassCredential.display.labels.NestedProperty.1.da</t>
  </si>
  <si>
    <t>EuropassCredential.display.labels.NestedProperty.1.cs</t>
  </si>
  <si>
    <t>EuropassCredential.display.labels.NestedProperty.1.bg</t>
  </si>
  <si>
    <t>Label 2</t>
  </si>
  <si>
    <t>EuropassCredential.display.labels.NestedProperty.2.bg</t>
  </si>
  <si>
    <t>EuropassCredential.display.labels.NestedProperty.2.cs</t>
  </si>
  <si>
    <t>EuropassCredential.display.labels.NestedProperty.2.da</t>
  </si>
  <si>
    <t>EuropassCredential.display.labels.NestedProperty.2.el</t>
  </si>
  <si>
    <t>EuropassCredential.display.labels.NestedProperty.2.de</t>
  </si>
  <si>
    <t>EuropassCredential.display.labels.NestedProperty.2.et</t>
  </si>
  <si>
    <t>EuropassCredential.display.labels.NestedProperty.2.fi</t>
  </si>
  <si>
    <t>EuropassCredential.display.labels.NestedProperty.2.fr</t>
  </si>
  <si>
    <t>EuropassCredential.display.labels.NestedProperty.2.ga</t>
  </si>
  <si>
    <t>EuropassCredential.display.labels.NestedProperty.2.hr</t>
  </si>
  <si>
    <t>EuropassCredential.display.labels.NestedProperty.2.hu</t>
  </si>
  <si>
    <t>EuropassCredential.display.labels.NestedProperty.2.is</t>
  </si>
  <si>
    <t>EuropassCredential.display.labels.NestedProperty.2.it</t>
  </si>
  <si>
    <t>EuropassCredential.display.labels.NestedProperty.2.lt</t>
  </si>
  <si>
    <t>EuropassCredential.display.labels.NestedProperty.2.lv</t>
  </si>
  <si>
    <t>EuropassCredential.display.labels.NestedProperty.2.mk</t>
  </si>
  <si>
    <t>EuropassCredential.display.labels.NestedProperty.2.mt</t>
  </si>
  <si>
    <t>EuropassCredential.display.labels.NestedProperty.2.nl</t>
  </si>
  <si>
    <t>EuropassCredential.display.labels.NestedProperty.2.no</t>
  </si>
  <si>
    <t>EuropassCredential.display.labels.NestedProperty.2.pl</t>
  </si>
  <si>
    <t>EuropassCredential.display.labels.NestedProperty.2.pt</t>
  </si>
  <si>
    <t>EuropassCredential.display.labels.NestedProperty.2.ro</t>
  </si>
  <si>
    <t>EuropassCredential.display.labels.NestedProperty.2.sk</t>
  </si>
  <si>
    <t>EuropassCredential.display.labels.NestedProperty.2.sl</t>
  </si>
  <si>
    <t>EuropassCredential.display.labels.NestedProperty.2.sr</t>
  </si>
  <si>
    <t>EuropassCredential.display.labels.NestedProperty.2.sv</t>
  </si>
  <si>
    <t>EuropassCredential.display.labels.NestedProperty.2.tr</t>
  </si>
  <si>
    <r>
      <t xml:space="preserve">Informed by the </t>
    </r>
    <r>
      <rPr>
        <b/>
        <sz val="8"/>
        <color theme="1"/>
        <rFont val="Calibri"/>
        <family val="2"/>
        <scheme val="minor"/>
      </rPr>
      <t>Volume of Learning</t>
    </r>
    <r>
      <rPr>
        <sz val="8"/>
        <color theme="1"/>
        <rFont val="Calibri"/>
        <family val="2"/>
        <scheme val="minor"/>
      </rPr>
      <t xml:space="preserve">, this is 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</si>
  <si>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t>Column22</t>
  </si>
  <si>
    <t>birthName</t>
  </si>
  <si>
    <t>Birth Name</t>
  </si>
  <si>
    <t>Person.birthName.Property.</t>
  </si>
  <si>
    <t>Patronymic Name</t>
  </si>
  <si>
    <t>patronymicName</t>
  </si>
  <si>
    <t>Person.patronymicName.Property.</t>
  </si>
  <si>
    <t>EuropassCredential.display.labels#2</t>
  </si>
  <si>
    <t>Label 3</t>
  </si>
  <si>
    <t>EuropassCredential.display.labels.NestedProperty.3.en</t>
  </si>
  <si>
    <t>EuropassCredential.display.labels.NestedProperty.3.bg</t>
  </si>
  <si>
    <t>EuropassCredential.display.labels.NestedProperty.3.cs</t>
  </si>
  <si>
    <t>EuropassCredential.display.labels.NestedProperty.3.da</t>
  </si>
  <si>
    <t>EuropassCredential.display.labels.NestedProperty.3.de</t>
  </si>
  <si>
    <t>EuropassCredential.display.labels.NestedProperty.3.el</t>
  </si>
  <si>
    <t>EuropassCredential.display.labels.NestedProperty.3.es</t>
  </si>
  <si>
    <t>EuropassCredential.display.labels.NestedProperty.3.et</t>
  </si>
  <si>
    <t>EuropassCredential.display.labels.NestedProperty.3.fi</t>
  </si>
  <si>
    <t>EuropassCredential.display.labels.NestedProperty.3.fr</t>
  </si>
  <si>
    <t>EuropassCredential.display.labels.NestedProperty.3.ga</t>
  </si>
  <si>
    <t>EuropassCredential.display.labels.NestedProperty.3.hr</t>
  </si>
  <si>
    <t>EuropassCredential.display.labels.NestedProperty.3.hu</t>
  </si>
  <si>
    <t>EuropassCredential.display.labels.NestedProperty.3.is</t>
  </si>
  <si>
    <t>EuropassCredential.display.labels.NestedProperty.3.it</t>
  </si>
  <si>
    <t>EuropassCredential.display.labels.NestedProperty.3.lt</t>
  </si>
  <si>
    <t>EuropassCredential.display.labels.NestedProperty.3.lv</t>
  </si>
  <si>
    <t>EuropassCredential.display.labels.NestedProperty.3.mk</t>
  </si>
  <si>
    <t>EuropassCredential.display.labels.NestedProperty.3.mt</t>
  </si>
  <si>
    <t>EuropassCredential.display.labels.NestedProperty.3.nl</t>
  </si>
  <si>
    <t>EuropassCredential.display.labels.NestedProperty.3.no</t>
  </si>
  <si>
    <t>EuropassCredential.display.labels.NestedProperty.3.pl</t>
  </si>
  <si>
    <t>EuropassCredential.display.labels.NestedProperty.3.pt</t>
  </si>
  <si>
    <t>EuropassCredential.display.labels.NestedProperty.3.ro</t>
  </si>
  <si>
    <t>EuropassCredential.display.labels.NestedProperty.3.sk</t>
  </si>
  <si>
    <t>EuropassCredential.display.labels.NestedProperty.3.sl</t>
  </si>
  <si>
    <t>EuropassCredential.display.labels.NestedProperty.3.sr</t>
  </si>
  <si>
    <t>EuropassCredential.display.labels.NestedProperty.3.sv</t>
  </si>
  <si>
    <t>EuropassCredential.display.labels.NestedProperty.3.tr</t>
  </si>
  <si>
    <t>EuropassCredential.display.labels#2.key.NestedProperty.</t>
  </si>
  <si>
    <t>EuropassCredential.display.labels#3.key.NestedProperty.</t>
  </si>
  <si>
    <t>EuropassCredential.display.labels#5.key.NestedProperty.</t>
  </si>
  <si>
    <t>Label 4</t>
  </si>
  <si>
    <t>EuropassCredential.display.labels.NestedProperty.4.en</t>
  </si>
  <si>
    <t>EuropassCredential.display.labels.NestedProperty.4.bg</t>
  </si>
  <si>
    <t>EuropassCredential.display.labels.NestedProperty.4.cs</t>
  </si>
  <si>
    <t>EuropassCredential.display.labels.NestedProperty.4.da</t>
  </si>
  <si>
    <t>EuropassCredential.display.labels.NestedProperty.4.de</t>
  </si>
  <si>
    <t>EuropassCredential.display.labels.NestedProperty.4.el</t>
  </si>
  <si>
    <t>EuropassCredential.display.labels.NestedProperty.4.es</t>
  </si>
  <si>
    <t>EuropassCredential.display.labels.NestedProperty.4.et</t>
  </si>
  <si>
    <t>EuropassCredential.display.labels.NestedProperty.4.fi</t>
  </si>
  <si>
    <t>EuropassCredential.display.labels.NestedProperty.4.fr</t>
  </si>
  <si>
    <t>EuropassCredential.display.labels.NestedProperty.4.ga</t>
  </si>
  <si>
    <t>EuropassCredential.display.labels.NestedProperty.4.hr</t>
  </si>
  <si>
    <t>EuropassCredential.display.labels.NestedProperty.4.hu</t>
  </si>
  <si>
    <t>EuropassCredential.display.labels.NestedProperty.4.is</t>
  </si>
  <si>
    <t>EuropassCredential.display.labels.NestedProperty.4.it</t>
  </si>
  <si>
    <t>EuropassCredential.display.labels.NestedProperty.4.lt</t>
  </si>
  <si>
    <t>EuropassCredential.display.labels.NestedProperty.4.lv</t>
  </si>
  <si>
    <t>EuropassCredential.display.labels.NestedProperty.4.mk</t>
  </si>
  <si>
    <t>EuropassCredential.display.labels.NestedProperty.4.mt</t>
  </si>
  <si>
    <t>EuropassCredential.display.labels.NestedProperty.4.nl</t>
  </si>
  <si>
    <t>EuropassCredential.display.labels.NestedProperty.4.no</t>
  </si>
  <si>
    <t>EuropassCredential.display.labels.NestedProperty.4.pl</t>
  </si>
  <si>
    <t>EuropassCredential.display.labels.NestedProperty.4.pt</t>
  </si>
  <si>
    <t>EuropassCredential.display.labels.NestedProperty.4.ro</t>
  </si>
  <si>
    <t>EuropassCredential.display.labels.NestedProperty.4.sk</t>
  </si>
  <si>
    <t>EuropassCredential.display.labels.NestedProperty.4.sl</t>
  </si>
  <si>
    <t>EuropassCredential.display.labels.NestedProperty.4.sr</t>
  </si>
  <si>
    <t>EuropassCredential.display.labels.NestedProperty.4.sv</t>
  </si>
  <si>
    <t>EuropassCredential.display.labels.NestedProperty.4.tr</t>
  </si>
  <si>
    <t>EuropassCredential.display.labels#3</t>
  </si>
  <si>
    <t>EuropassCredential.display.labels#4</t>
  </si>
  <si>
    <t>EuropassCredential.display.labels#4.key.NestedProperty.</t>
  </si>
  <si>
    <t>EuropassCredential.display.labels.NestedProperty.5.en</t>
  </si>
  <si>
    <t>Label 5</t>
  </si>
  <si>
    <t>EuropassCredential.display.labels.NestedProperty.5.tr</t>
  </si>
  <si>
    <t>EuropassCredential.display.labels.NestedProperty.5.sv</t>
  </si>
  <si>
    <t>EuropassCredential.display.labels.NestedProperty.5.sr</t>
  </si>
  <si>
    <t>EuropassCredential.display.labels.NestedProperty.5.sl</t>
  </si>
  <si>
    <t>EuropassCredential.display.labels.NestedProperty.5.sk</t>
  </si>
  <si>
    <t>EuropassCredential.display.labels.NestedProperty.5.ro</t>
  </si>
  <si>
    <t>EuropassCredential.display.labels.NestedProperty.5.pt</t>
  </si>
  <si>
    <t>EuropassCredential.display.labels.NestedProperty.5.pl</t>
  </si>
  <si>
    <t>EuropassCredential.display.labels.NestedProperty.5.no</t>
  </si>
  <si>
    <t>EuropassCredential.display.labels.NestedProperty.5.nl</t>
  </si>
  <si>
    <t>EuropassCredential.display.labels.NestedProperty.5.mt</t>
  </si>
  <si>
    <t>EuropassCredential.display.labels.NestedProperty.5.mk</t>
  </si>
  <si>
    <t>EuropassCredential.display.labels.NestedProperty.5.lv</t>
  </si>
  <si>
    <t>EuropassCredential.display.labels.NestedProperty.5.lt</t>
  </si>
  <si>
    <t>EuropassCredential.display.labels.NestedProperty.5.it</t>
  </si>
  <si>
    <t>EuropassCredential.display.labels.NestedProperty.5.is</t>
  </si>
  <si>
    <t>EuropassCredential.display.labels.NestedProperty.5.hu</t>
  </si>
  <si>
    <t>EuropassCredential.display.labels.NestedProperty.5.hr</t>
  </si>
  <si>
    <t>EuropassCredential.display.labels.NestedProperty.5.ga</t>
  </si>
  <si>
    <t>EuropassCredential.display.labels.NestedProperty.5.fr</t>
  </si>
  <si>
    <t>EuropassCredential.display.labels.NestedProperty.5.fi</t>
  </si>
  <si>
    <t>EuropassCredential.display.labels.NestedProperty.5.et</t>
  </si>
  <si>
    <t>EuropassCredential.display.labels.NestedProperty.5.es</t>
  </si>
  <si>
    <t>EuropassCredential.display.labels.NestedProperty.5.el</t>
  </si>
  <si>
    <t>EuropassCredential.display.labels.NestedProperty.5.de</t>
  </si>
  <si>
    <t>EuropassCredential.display.labels.NestedProperty.5.da</t>
  </si>
  <si>
    <t>EuropassCredential.display.labels.NestedProperty.5.cs</t>
  </si>
  <si>
    <t>EuropassCredential.display.labels.NestedProperty.5.bg</t>
  </si>
  <si>
    <t>EuropassCredential.display.labels#5</t>
  </si>
  <si>
    <r>
      <t xml:space="preserve">CREDENTIAL WILDCARDS
</t>
    </r>
    <r>
      <rPr>
        <i/>
        <sz val="11"/>
        <color theme="1"/>
        <rFont val="Calibri"/>
        <family val="2"/>
        <scheme val="minor"/>
      </rPr>
      <t>Customise your credential to match your traditional certificates' look and feel.</t>
    </r>
  </si>
  <si>
    <t>Please provide a public URL to a background image that has a portrait orientation and DIN A4 ratio.</t>
  </si>
  <si>
    <r>
      <t>Provide here the custom text that should appear in your credential's preview (e.g. "</t>
    </r>
    <r>
      <rPr>
        <i/>
        <sz val="8"/>
        <color theme="1"/>
        <rFont val="Calibri"/>
        <family val="2"/>
        <scheme val="minor"/>
      </rPr>
      <t>certifies that</t>
    </r>
    <r>
      <rPr>
        <sz val="8"/>
        <color theme="1"/>
        <rFont val="Calibri"/>
        <family val="2"/>
        <scheme val="minor"/>
      </rPr>
      <t>" to go between the name of the credential issuer and the holder).</t>
    </r>
  </si>
  <si>
    <r>
      <t>Provide here the custom text that should appear in your credential's preview (e.g. "</t>
    </r>
    <r>
      <rPr>
        <i/>
        <sz val="8"/>
        <color theme="1"/>
        <rFont val="Calibri"/>
        <family val="2"/>
        <scheme val="minor"/>
      </rPr>
      <t>whose date of birth is:</t>
    </r>
    <r>
      <rPr>
        <sz val="8"/>
        <color theme="1"/>
        <rFont val="Calibri"/>
        <family val="2"/>
        <scheme val="minor"/>
      </rPr>
      <t>" if you would like to refer to your credential holder's date of birth in a contextualised format).</t>
    </r>
  </si>
  <si>
    <t>Provide here your third custom text that should appear in your credential's preview.</t>
  </si>
  <si>
    <t>Provide here your fourth custom text that should appear in your credential's preview.</t>
  </si>
  <si>
    <t>Provide here your fifth custom text that should appear in your credential's preview.</t>
  </si>
  <si>
    <r>
      <t xml:space="preserve">Labels can be identified in the HTML code by their key attribute, e.g. </t>
    </r>
    <r>
      <rPr>
        <i/>
        <sz val="8"/>
        <color theme="1"/>
        <rFont val="Calibri"/>
        <family val="2"/>
        <scheme val="minor"/>
      </rPr>
      <t>diploma.msg.birth</t>
    </r>
    <r>
      <rPr>
        <sz val="8"/>
        <color theme="1"/>
        <rFont val="Calibri"/>
        <family val="2"/>
        <scheme val="minor"/>
      </rPr>
      <t>.</t>
    </r>
  </si>
  <si>
    <r>
      <t xml:space="preserve">Labels can be identified in the HTML code by their key attribute, e.g. </t>
    </r>
    <r>
      <rPr>
        <i/>
        <sz val="8"/>
        <color theme="1"/>
        <rFont val="Calibri"/>
        <family val="2"/>
        <scheme val="minor"/>
      </rPr>
      <t>diploma.msg.certifiesThat</t>
    </r>
    <r>
      <rPr>
        <sz val="8"/>
        <color theme="1"/>
        <rFont val="Calibri"/>
        <family val="2"/>
        <scheme val="minor"/>
      </rPr>
      <t>.</t>
    </r>
  </si>
  <si>
    <t>Labels can be identified in the HTML code by their key attribute as illustrated before.</t>
  </si>
  <si>
    <t>The EDCI Viewer displays an HTML representation of the credential. This html portion will be included in the EDCI Viewer in a div that ensures DIN A4 ratio and the background image set as background.
This is where you can also utilise wildcards, including (1) data extracted from the Europass Learning Model - the actual wildcard to include in the &lt;html/&gt; tag would be [$XPATH$], and (2) up to 5 custom labels - the actual wildcard to include in the &lt;html/&gt; tag would be ($KEY$) that you can define in the following columns.</t>
  </si>
  <si>
    <r>
      <rPr>
        <b/>
        <sz val="11"/>
        <rFont val="Calibri"/>
        <family val="2"/>
        <scheme val="minor"/>
      </rPr>
      <t>HTML (</t>
    </r>
    <r>
      <rPr>
        <b/>
        <u/>
        <sz val="11"/>
        <color theme="10"/>
        <rFont val="Calibri"/>
        <family val="2"/>
        <scheme val="minor"/>
      </rPr>
      <t>click here for detailed instructions</t>
    </r>
    <r>
      <rPr>
        <b/>
        <sz val="11"/>
        <rFont val="Calibri"/>
        <family val="2"/>
        <scheme val="minor"/>
      </rPr>
      <t>)</t>
    </r>
  </si>
  <si>
    <t>The type of credential.</t>
  </si>
  <si>
    <t>The given name(s) of the person.</t>
  </si>
  <si>
    <t>The family name of the person.</t>
  </si>
  <si>
    <t>The gender of the person.</t>
  </si>
  <si>
    <r>
      <t xml:space="preserve">National ID
</t>
    </r>
    <r>
      <rPr>
        <sz val="8"/>
        <color theme="1"/>
        <rFont val="Calibri"/>
        <family val="2"/>
        <scheme val="minor"/>
      </rPr>
      <t>The "primary" national identifier of the person.</t>
    </r>
  </si>
  <si>
    <t>The complete address with or without formatting.</t>
  </si>
  <si>
    <t>A homepage about the organisation.</t>
  </si>
  <si>
    <t>A proper noun applied to a spatial object.</t>
  </si>
  <si>
    <t>The address’ country code.
This information is compulsory</t>
  </si>
  <si>
    <t>Another formally-issued identifier for the organisation.</t>
  </si>
  <si>
    <t>An alternative identifier assigned to the achievement by the organisation awarding the achievement.</t>
  </si>
  <si>
    <t>The name of the identifier scheme.</t>
  </si>
  <si>
    <t>The title of the learning specification.</t>
  </si>
  <si>
    <t>Short and abstract description about the learning specification.</t>
  </si>
  <si>
    <t>An alternative identifier of the learning specification, as assigned to it by the organisation who designed the specification.</t>
  </si>
  <si>
    <t>The credit points assigned to the learning specification, following the ECTS credit system.</t>
  </si>
  <si>
    <t>The mode of learning and or assessment.</t>
  </si>
  <si>
    <t>Thematic Area according to the ISCED-F Classification.</t>
  </si>
  <si>
    <t>The instruction and/or assessment language(s) used.</t>
  </si>
  <si>
    <t>The type of learning setting (formal, non-formal).</t>
  </si>
  <si>
    <t>The type of learning opportunity.</t>
  </si>
  <si>
    <t>A legible, descriptive name for the learning outcome.</t>
  </si>
  <si>
    <t>An alternative identifier of the learning outcome.</t>
  </si>
  <si>
    <t>The learning outcome type.</t>
  </si>
  <si>
    <t>The reusability level.</t>
  </si>
  <si>
    <t>An alternative identifier of the learning activity assigned to the assessment by the organisation directing the activity.</t>
  </si>
  <si>
    <t>The title of the learning activity.</t>
  </si>
  <si>
    <t xml:space="preserve">The title of the learning activity specification.	</t>
  </si>
  <si>
    <t>An alternative identifier of the Learning Activity, as assigned to it by the organisation who designed the specification.</t>
  </si>
  <si>
    <t>The type of activity.</t>
  </si>
  <si>
    <t>The instruction language(s) used.</t>
  </si>
  <si>
    <t>A public web document containing additional documentation about the learning activity specification.</t>
  </si>
  <si>
    <t>The title of the assessment.</t>
  </si>
  <si>
    <t>An alternative identifier assigned to the assessment by the organisation grading the assessment.</t>
  </si>
  <si>
    <t>Method of assessment supervision and id verification.</t>
  </si>
  <si>
    <t>The title of the assessment specification.</t>
  </si>
  <si>
    <t>An alternative identifier of the assessment specification, as assigned to it by the organisation who designed the specification.</t>
  </si>
  <si>
    <t>A free text description of the assessment specification.</t>
  </si>
  <si>
    <t>The language(s) of assessment used.</t>
  </si>
  <si>
    <t>The type of assessment.</t>
  </si>
  <si>
    <t>A public web document containing additional documentation about the assessment specification.</t>
  </si>
  <si>
    <t>Grading Scheme Title</t>
  </si>
  <si>
    <t>A free text describing the scoring scheme.</t>
  </si>
  <si>
    <t xml:space="preserve"> 	The title of the scoring scheme.</t>
  </si>
  <si>
    <t>An alternative identifier of the Grading Scheme assigned to it by the organisation administering the scheme.</t>
  </si>
  <si>
    <t>The title of the entitlement.</t>
  </si>
  <si>
    <t>An alternative identifier of the entitlement.</t>
  </si>
  <si>
    <t>An alternative identifier of the entitlement specification.</t>
  </si>
  <si>
    <t>A free text description of the entitlement specification.</t>
  </si>
  <si>
    <t>Webpage describing the learning activity specification.</t>
  </si>
  <si>
    <t>The Awarding Body's National Qualification Framework.</t>
  </si>
  <si>
    <t>Webpage describing the learning specification.</t>
  </si>
  <si>
    <t>Other Web Document describing the learning specification.</t>
  </si>
  <si>
    <t>Webpage describing the assessment specification.</t>
  </si>
  <si>
    <t>An additional free text note about the learning specification.
This field should not be used to record information which is captured by other parts of the model.</t>
  </si>
  <si>
    <t>A description of the achievement.
This field should not be used to record information which is captured by other parts of the model.</t>
  </si>
  <si>
    <t>The value of the expiry date property represents the date and time the credential ceases to be valid (if applicable).
If the credential has an expiration date, please provide that specific date in a valid data format.</t>
  </si>
  <si>
    <t>Smaller sub-credentials (micro-credentials), which when combined make up this learning opportunity. Separate multiple entries with a semicolon.</t>
  </si>
  <si>
    <t>A free text description of the learning activity.
This field should not be used to record information which is captured by other parts of the model.</t>
  </si>
  <si>
    <t>A free text description of the learning activity specification.
This field should not be used to record information which is captured by other parts of the model.</t>
  </si>
  <si>
    <t>An additional free text note about the learning activity specification.
This field should not be used to record information which is captured by other parts of the model.</t>
  </si>
  <si>
    <t>This field should not be used to record information which is captured by other parts of the model.</t>
  </si>
  <si>
    <t>An additional free text note about the assessment specification.
This field should not be used to record information which is captured by other parts of the model.</t>
  </si>
  <si>
    <t>The specific rights the holder of the credential has acquired.
This field should not be used to record information which is captured by other parts of the model.</t>
  </si>
  <si>
    <t>Пълно официално наименование на издаденото удостоверение (максимум 50 знака).</t>
  </si>
  <si>
    <t>Úplný oficiální název vydaného certifikátu (maximálně 50 znaků).</t>
  </si>
  <si>
    <t>Den fulde officielle titel på det udstedte ID (maks. 50 tegn).</t>
  </si>
  <si>
    <t>Vollständige offizielle Bezeichnung des ausgestellten Zertifikats (maximal 50 Zeichen).</t>
  </si>
  <si>
    <t>Ο πλήρης επίσημος τίτλος του διαπιστευτηρίου που έχει εκδοθεί (έως 50 χαρακτήρες).</t>
  </si>
  <si>
    <t>Denominación oficial completa de la credencial emitida (máximo, 50 caracteres)</t>
  </si>
  <si>
    <t>Väljaantud tõendi täielik ametlik nimetus (kuni 50 tähemärki).</t>
  </si>
  <si>
    <t>Annetun osaamistodistuksen virallinen otsikko kokonaisuudessaan (enintään 50 merkkiä).</t>
  </si>
  <si>
    <t>Le titre officiel complet du justificatif émis.</t>
  </si>
  <si>
    <t>Teideal oifigiúil iomlán an dintiúir a eisíodh (uasmhéid 50 carachtar).</t>
  </si>
  <si>
    <t>Puni službeni naslov izdane vjerodajnice (najviše 50 znakova).</t>
  </si>
  <si>
    <t>A kibocsátott tanúsítvány teljes hivatalos megnevezése (max. 50 karakter).</t>
  </si>
  <si>
    <t>Fullt, opinbert heiti útgefins skilríkis (50 stafir að hámarki).</t>
  </si>
  <si>
    <t>Denominazione ufficiale completa della credenziale rilasciata (max 50 caratteri).</t>
  </si>
  <si>
    <t>Visas oficialus išduoto kredencialo pavadinimas (ne daugiau kaip 50 ženklų).</t>
  </si>
  <si>
    <t>Izsniegtā apliecinājuma dokumenta pilns oficiālais nosaukums (maks. 50 rakstzīmes).</t>
  </si>
  <si>
    <t>Целосниот официјален назив на издадениот акредитив (максимум 50 карактери).</t>
  </si>
  <si>
    <t>It-titlu uffiċjali sħiħ tal-kredenzjali maħruġa (massimu 50 karattru).</t>
  </si>
  <si>
    <t>Volledige officiële titel van de afgegeven credential (max. 50 tekens)</t>
  </si>
  <si>
    <t>Full offisiell tittel på referansen (maks. 50 tegn).</t>
  </si>
  <si>
    <t>Pełna oficjalna nazwa wydanego poświadczenia (maks. 50 znaków).</t>
  </si>
  <si>
    <t>O título oficial completo da credencial emitida (máximo 50 carateres).</t>
  </si>
  <si>
    <t>Titlul oficial complet al acreditării emise (cel mult 50 de caractere).</t>
  </si>
  <si>
    <t>Celý oficiálny názov vydaného certifikátu (maximálny počet znakov 50).</t>
  </si>
  <si>
    <t>Polni uradni naziv izdanega potrdila (največ 50 znakov).</t>
  </si>
  <si>
    <t>Pun zvaničan naziv izdatog akreditiva (maksimalno 50 znakova).</t>
  </si>
  <si>
    <t>Hela officiella namnet på den utfärdade referensen (högst 50 tecken).</t>
  </si>
  <si>
    <t>Düzenlenen öğrenimi kanıtlayan belgenin tam resmi adı (Maksimum 50 karakter).</t>
  </si>
  <si>
    <t>Резюме на твърдението или групата твърдения за съответното лице (максимум 140 думи).</t>
  </si>
  <si>
    <t>Shrnutí prohlášení týkajících se dané osoby (maximálně 140 slov).</t>
  </si>
  <si>
    <t>Et resumé af det udsagn eller den gruppe af udsagn, der fremsættes om en person (maks. 140 ord).</t>
  </si>
  <si>
    <t>Zusammenfassung der Aussage oder einer Gruppe von Aussagen über eine Person (maximal 140 Wörter).</t>
  </si>
  <si>
    <t>Σύνοψη της δήλωσης ή της ομάδας δηλώσεων που υποβάλλονται για ένα πρόσωπο (έως 140 λέξεις).</t>
  </si>
  <si>
    <t>Resumen de la declaración o conjunto de declaraciones formuladas en relación con una persona (máximo, 140 palabras).</t>
  </si>
  <si>
    <t>Isiku kohta tehtud väite või väidete kogumi kokkuvõte (kuni 140 sõna).</t>
  </si>
  <si>
    <t>Tiivistelmä henkilöstä esitetystä lausumasta tai lausumista (enintään 140 sanaa).</t>
  </si>
  <si>
    <t>Un résumé de l'affirmation ou du groupe d'affirmations formulée(s) à propos d'une personne.</t>
  </si>
  <si>
    <t>Achoimre ar an dintiúr nó ar ghrúpa dintiúr atá á mhaíomh i dtaca le duine (uasmhéid 140 focal).</t>
  </si>
  <si>
    <t>Sažetak izjava ili skupine izjava koje se daju za osobu (najviše 140 riječi).</t>
  </si>
  <si>
    <t>Egy adott személyre vonatkozó állítás(ok) összefoglalása (max. 140 szó).</t>
  </si>
  <si>
    <t>Fullyrðingin eða fullyrðingarnar sem settar eru fram um einstakling (140 orð að hámarki).</t>
  </si>
  <si>
    <t>Sintesi delle affermazioni o gruppo di affermazioni fatte su una persona (max 140 parole).</t>
  </si>
  <si>
    <t>Teiginio arba teiginių apie asmenį santrauka (ne daugiau kaip 140 žodžių).</t>
  </si>
  <si>
    <t>Par personu paustā apgalvojuma vai vairāku apgalvojumu kopsavilkums (maks. 140 rakstzīmes).</t>
  </si>
  <si>
    <t>Кратка содржина на тврдењата или група на тврдења што се создадени за некое лице (Максимум 140 збора).</t>
  </si>
  <si>
    <t>Sommarju tad-dikjarazzjoni jew grupp ta’ dikjarazzjonijiet li qed isiru dwar il-persuna (massimu 140 kelma).</t>
  </si>
  <si>
    <t>Samenvatting van de bewering(en) over een persoon (max. 140 woorden)</t>
  </si>
  <si>
    <t>Sammendrag av et utsagn/et sett utsagn om en person (maks. 140 ord).</t>
  </si>
  <si>
    <t>Streszczenie oświadczenia lub grupy oświadczeń dotyczących danej osoby (maks. 140 słów).</t>
  </si>
  <si>
    <t>Um resumo da declaração ou conjunto de declarações formuladas sobre uma pessoa (máximo 140 palavras).</t>
  </si>
  <si>
    <t>Un rezumat al afirmației (setului de afirmații) făcute în legătură cu o persoană (cel mult 140 de cuvinte).</t>
  </si>
  <si>
    <t>Zhrnutie predloženého tvrdenia alebo skupiny tvrdení o osobe (maximálny počet slov 140).</t>
  </si>
  <si>
    <t>Povzetek izjave ali skupine izjav o osebi (največ 140 besed).</t>
  </si>
  <si>
    <t>Rezime zahteva ili grupe zahteva koji se sačinjavaju o licu (maksimalno 140 reči).</t>
  </si>
  <si>
    <t>En sammanfattning av det eller de påståenden som gjorts om en person (högst 140 ord).</t>
  </si>
  <si>
    <t>Kişinin öğrenimine ilişkin istem veya istemlerin özeti (maksimum 140 karakter).</t>
  </si>
  <si>
    <t>Пълно юридическо наименование на организацията, както е регистрирано от националните органи. Юридическото наименование следва да се преведе само на езици, за които съществуват официални преводи (предоставени на националните органи).</t>
  </si>
  <si>
    <t>Úplný oficiální název organizace, jak je registrován u vnitrostátních orgánů. Překlady oficiálního názvu uvádějte pouze v případě, že existují oficiální překlady (předložené vnitrostátním orgánům).</t>
  </si>
  <si>
    <t>Organisationens fulde navn som registreret hos de nationale myndigheder. Det juridiske navn bør kun oversættes til andre sprog, hvis der findes officielle oversættelser (meddelt de nationale myndigheder).</t>
  </si>
  <si>
    <t>Bei den nationalen Behörden eingetragener vollständiger Name der Einrichtung. Der offizielle Name sollte nur in Sprachen übersetzt werden, wenn für diese Sprachen amtliche Übersetzungen vorliegen, die den Behörden mitgeteilt wurden.</t>
  </si>
  <si>
    <t>Η πλήρης επωνυμία του οργανισμού, όπως έχει καταχωριστεί στις εθνικές αρχές. Η επωνυμία θα πρέπει να μεταφράζεται μόνο σε γλώσσες για τις οποίες υπάρχουν επίσημες μεταφράσεις (οι οποίες έχουν υποβληθεί στις εθνικές αρχές).</t>
  </si>
  <si>
    <t>Nombre jurídico completo de la organización, registrado ante las autoridades nacionales. La razón social solo puede traducirse a lenguas en las que existan versiones oficiales (notificadas a las autoridades nacionales).</t>
  </si>
  <si>
    <t>Riigi ametiasutustes registreeritud organisatsiooni täielik juriidiline nimi. Juriidiline nimi tuleks tõlkida ainult nendesse keeltesse, milles on olemas (riigi ametiasutustele esitatud) ametlikud tõlked.</t>
  </si>
  <si>
    <t>Organisaation virallinen nimi kokonaisuudessaan kansallisen viranomaisen rekisteröimänä. Virallisen nimen voi kääntää vain kielille, joilla sille on virallinen käännös (kansallisille viranomaisille toimitettuna).</t>
  </si>
  <si>
    <t>Dénomination juridique complète de l’organisation, telle qu’enregistrée par les autorités nationales. La dénomination juridique ne doit être traduite dans d’autres langues que lorsque des traductions officielles (soumises aux autorités nationales) existent.</t>
  </si>
  <si>
    <t>Ainm dlítheanach iomlán na heagraíochta, mar a cláraíodh é leis na húdaráis náisiúnta. Níor cheart an t-ainm dlítheanach a aistriú ach go teangacha ina bhfuil aistriúchán oifigiúil den ainm ar fáil (aistriúchán a seoladh chuig na húdaráis náisiúnta).</t>
  </si>
  <si>
    <t>Puno pravno ime organizacije, kako je upisano u nacionalni registar. Pravno ime trebalo bi se prevesti samo na jezike na kojima postoje službeni prijevodi (dostavljeni nacionalnim tijelima).</t>
  </si>
  <si>
    <t>A szervezet teljes hivatalos neve, ahogyan a tagállami hatóságok nyilvántartásában szerepel. Csak azokra a nyelvekre kell lefordítani, amelyeken létezik hivatalos (és a tagállami hatóságokhoz benyújtott) fordítás.</t>
  </si>
  <si>
    <r>
      <rPr>
        <sz val="11"/>
        <color theme="1"/>
        <rFont val="Calibri"/>
        <family val="2"/>
        <charset val="238"/>
      </rPr>
      <t>Fullt lögheiti stofnunarinnar, eins og það er skráð hjá landsyfirvöldum. Ekki skal þýða lögheiti yfir á önnur tungumál nema þar sem opinber þýðing (tilkynnt til landsbundinna yfirvalda) er til.</t>
    </r>
  </si>
  <si>
    <t>Denominazione legale completa dell'organizzazione, come registrata presso le autorità nazionali. La denominazione legale dovrebbe essere tradotta unicamente in lingue in cui esistono traduzioni ufficiali (inviate alle autorità nazionali).</t>
  </si>
  <si>
    <t>Visas juridinis organizacijos pavadinimas, užregistruotas nacionalinėse institucijose. Juridinis pavadinimas turėtų būti verčiamas tik į tas kalbas, kuriomis yra oficialūs vertimai (pateikti nacionalinėms institucijoms).</t>
  </si>
  <si>
    <t>Organizācijas pilnais juridiskais nosaukums, kas reģistrēts valsts iestādēs. Juridiskais nosaukums būtu jātulko tikai tajās valodās, kurās tas jau ir oficiāli tulkots (un iesniegts valsts iestādēm).</t>
  </si>
  <si>
    <t xml:space="preserve">Целосно правно име на организацијата, како што е регистрирано кај националните власти. Правното име треба да се преведе само на јазици каде што постојат официјални преводи (доставени до националните власти). </t>
  </si>
  <si>
    <t>Isem legali sħiħ tal-organizzazzjoni, kif reġistrat mal-awtoritajiet nazzjonali. L-isem legali għandu jiġi tradott biss għal lingwi fejn jeżistu traduzzjonijiet uffiċjali (sottomessi lill-awtoritajiet nazzjonali).</t>
  </si>
  <si>
    <t>Institusjonens fulle juridiske navn, slik det er registrert hos nasjonale myndigheter. Navnet skal bare oversettes til språk der det foreligger en offisiell oversettelse (forelagt nasjonale myndigheter).</t>
  </si>
  <si>
    <t>Pełna nazwa prawna instytucji, zarejestrowana przez organy krajowe. Nazwa prawna powinna być przetłumaczona wyłącznie na języki, w których istnieją tłumaczenia urzędowe (przedłożone organom krajowym).</t>
  </si>
  <si>
    <t>Designação legal completa da entidade, conforme registada junto das autoridades nacionais. A designação legal só deve ser traduzida para as línguas em que existam traduções oficiais (notificadas às autoridades nacionais).</t>
  </si>
  <si>
    <t>Numele complet al organizației, așa cum este înregistrat pe lângă autoritățile naționale. Denumirea juridică ar trebui tradusă doar în limbile în care există traduceri oficiale (transmise autorităților naționale).</t>
  </si>
  <si>
    <t>Celý obchodný názov organizácie, ako je zapísaný vnútroštátnymi orgánmi. Obchodný názov sa do jazykov prekladá len v prípade, že existujú úradné preklady (predložené vnútroštátnym orgánom).</t>
  </si>
  <si>
    <t>Polno uradno ime organizacije, registrirane pri nacionalnih organih. Uradno ime bi bilo treba prevesti samo v jezike, za katere obstajajo uradni prevodi (predloženi nacionalnim organom).</t>
  </si>
  <si>
    <t>Pun pravni naziv organizacije, kako je registrovan kod nacionalnih vlasti. Pravni naziv trebalo bi prevesti samo na jezike na kojima postoje zvanični prevodi (koji se dostavljaju nacionalnim vlastima).</t>
  </si>
  <si>
    <t>Organisationens fullständiga officiella namn, i den form det registrerats hos de nationella myndigheterna. Endast officiella översättningar (anmälda till de nationella myndigheterna) av namnet bör användas.</t>
  </si>
  <si>
    <t>Kuruluşun milli makamlarda tescilli haliyle tam kanuni adı. Kanuni isim sadece (yerel makamlara verilen) resmi tercümelerin mevcut olması halinde tercüme edilmelidir.</t>
  </si>
  <si>
    <t>Алтернативно наименование (по избор) на организацията, което обичайно се използва в документи, включително в удостоверения.</t>
  </si>
  <si>
    <t>Druhý (nepovinný) název organizace, jak se obvykle používá v dokumentech, včetně certifikátů.</t>
  </si>
  <si>
    <t>Organisationens (eventuelle) alternative navn, som typisk anvendes i dokumenter, herunder ID'er.</t>
  </si>
  <si>
    <t>Alternative Bezeichnung der Einrichtung, die in Dokumenten (u. a. auf Zertifikaten) gebräuchlich ist.</t>
  </si>
  <si>
    <t>Εναλλακτική ονομασία (προαιρετικά) του οργανισμού, η οποία χρησιμοποιείται συνήθως σε έγγραφα, συμπεριλαμβανομένων των διαπιστευτηρίων.</t>
  </si>
  <si>
    <t>Nombre alternativo (opcional) de la organización, normalmente utilizado en los documentos, incluidas las credenciales.</t>
  </si>
  <si>
    <t>Alternatiivne (vabatahtlik) organisatsiooni nimi, mida tavaliselt kasutatakse dokumentides (sh tõendites).</t>
  </si>
  <si>
    <t>Muu (valinnainen) organisaation nimi, jota tavallisesti käytetään asiakirjoissa, myös osaamistodistuksissa.</t>
  </si>
  <si>
    <t>Un autre nom (facultatif) de l’organisation généralement utilisé dans les documents, y compris dans les justificatifs.</t>
  </si>
  <si>
    <t>Ainm malartach (roghnach) na heagraíochta mar a úsáidtear de ghnáth i ndoiciméid, dintiúir ina measc.</t>
  </si>
  <si>
    <t>Izborno drugo ime organizacije koje se obično upotrebljava u dokumentima, uključujući vjerodajnice.</t>
  </si>
  <si>
    <t>A szervezet alternatív (opcionális) neve, amely rendszerint dokumentumokban (pl. tanúsítványokban) szerepel.</t>
  </si>
  <si>
    <t>Un nome (facoltativo) alternativo dell'organizzazione usato di norma nei documenti, incluse le credenziali.</t>
  </si>
  <si>
    <t>Alternatyvus (neprivalomas) organizacijos pavadinimas, paprastai vartojamas dokumentuose, įskaitant kredencialus.</t>
  </si>
  <si>
    <t>(Nav jānorāda obligāti) alternatīvs organizācijas nosaukums, ko parasti izmanto dokumentos, tostarp apliecinājuma dokumentos (diplomi, sertifikāti u. c.).</t>
  </si>
  <si>
    <t>Незадолжително (алтернативно) име на организацијата, како што обично се користи во документи, вклучително и акредитиви.</t>
  </si>
  <si>
    <t>Isem alternattiv (fakultattiv) tal-organizzazzjoni kif tipikament jintuża f’dokumenti, inklużi l-kredenzjali.</t>
  </si>
  <si>
    <t>(Valgfritt) alternativt navn på institusjonen som ofte brukes i dokumenter, herunder referanser.</t>
  </si>
  <si>
    <t>(Ewentualna) inna nazwa instytucji używana zwykle w dokumentach, w tym w poświadczeniach.</t>
  </si>
  <si>
    <t>Uma designação alternativa (facultativa) da entidade, normalmente utilizada em documentos, incluindo credenciais.</t>
  </si>
  <si>
    <t>O denumire alternativă (opțională) a organizației, așa cum este utilizată tipic în documente, inclusiv pe certificate.</t>
  </si>
  <si>
    <t>Iný (voliteľný) názov organizácie, ktorý sa často používa v dokumentoch vrátane certifikátov.</t>
  </si>
  <si>
    <t>(Neobvezno) alternativno ime organizacije, kot se običajno uporablja v dokumentih, vključno s potrdili.</t>
  </si>
  <si>
    <t>(Neobavezno) alternativno ime organizacije koje se obično koristi u dokumentima, uključujući akreditive.</t>
  </si>
  <si>
    <t>Ett alternativt namn (frivilligt) som vanligen används för organisationen i dokument, även referenser.</t>
  </si>
  <si>
    <t>Kuruluşun öğrenimi kanıtlayan belgeler dahil belgelerde tipik olarak kullanılan (isteğe bağlı) alternatif adı.</t>
  </si>
  <si>
    <t>Критериите, на които трябва да отговаря лицето, за да може да участва в учебната възможност.</t>
  </si>
  <si>
    <t>Kritéria, která musí účastník splnit před zahájením vzdělávací příležitosti.</t>
  </si>
  <si>
    <t>De kriterier, personen skal opfylde for at få adgang til denne læringsmulighed.</t>
  </si>
  <si>
    <t>Kriterien, die eine Person erfüllen muss, um diese Lernmöglichkeit beginnen zu können.</t>
  </si>
  <si>
    <t>Τα κριτήρια που θα πρέπει να πληροί το άτομο για να ξεκινήσει τη συγκεκριμένη ευκαιρία μάθησης.</t>
  </si>
  <si>
    <t>Criterios que se deben cumplir para iniciar esta oportunidad de aprendizaje.</t>
  </si>
  <si>
    <t>Kriteeriumid, millele isik peaks vastama, et selle õppimisvõimalusega alustada.</t>
  </si>
  <si>
    <t>Kriteerit, jotka henkilön on täytettävä tämän oppimismahdollisuuden aloittamista varten.</t>
  </si>
  <si>
    <t>Les critères que doit remplir la personne pour commencer cette possibilité d'apprentissage.</t>
  </si>
  <si>
    <t>Na riachtanais is gá don duine a chomhlíonadh chun tús a chur leis an deis foghlama seo.</t>
  </si>
  <si>
    <t>Kriteriji koje osoba treba ispuniti kako bi započela s mogućnosti učenja.</t>
  </si>
  <si>
    <t>Azok a feltételek, amelyeknek meg kell felelni, hogy valaki élhessen a tanulási lehetőséggel.</t>
  </si>
  <si>
    <r>
      <rPr>
        <sz val="11"/>
        <color theme="1"/>
        <rFont val="Calibri"/>
        <family val="2"/>
        <charset val="238"/>
      </rPr>
      <t>Skilyrðin sem einstaklingurinn þarf að uppfylla til að hefja þetta námstækifæri.</t>
    </r>
  </si>
  <si>
    <t>I criteri che occorre soddisfare per iniziare questa opportunità di apprendimento.</t>
  </si>
  <si>
    <t>Kriterijai, kuriuos asmuo turėtų atitikti, kad galėtų naudotis šia mokymosi galimybe.</t>
  </si>
  <si>
    <t>Kritēriji, kas personai jāizpilda, lai sāktu šo mācību iespēju.</t>
  </si>
  <si>
    <t>Критериумите што лицето треба да ги исполни за да започне со оваа можност за учење.</t>
  </si>
  <si>
    <t>Il-kriterji li l-persuna għandha tissodisfa biex tibda din l-opportunità ta’ tagħlim.</t>
  </si>
  <si>
    <r>
      <rPr>
        <sz val="11"/>
        <color theme="1"/>
        <rFont val="Calibri"/>
        <family val="2"/>
      </rPr>
      <t>De criteria waaraan de persoon moet voldoen om aan deze leermogelijkheid te mogen beginnen.</t>
    </r>
  </si>
  <si>
    <t>Kriteriene som må være oppfylt for å begynne læringen.</t>
  </si>
  <si>
    <t>Kryteria, które dana osoba powinna spełniać, aby skorzystać z tej oferty nauki.</t>
  </si>
  <si>
    <t>Os critérios que devem ser preenchidos para iniciar esta oportunidade de aprendizagem.</t>
  </si>
  <si>
    <t>Criteriile pe care persoana trebuie să le îndeplinească pentru a beneficia de oportunitatea de învățare.</t>
  </si>
  <si>
    <t>Kritériá, ktoré musí osoba spĺňať na začatie tejto príležitosti na vzdelávanie.</t>
  </si>
  <si>
    <t>Merila, ki jih mora oseba izpolniti, da začne izkoriščati to možnost izobraževanja</t>
  </si>
  <si>
    <t>Kriterijumi koje osoba treba da ispuni da bi započela ovu priliku za učenje.</t>
  </si>
  <si>
    <t>De kriterier en person måste uppfylla för att inleda inlärningsmöjligheten.</t>
  </si>
  <si>
    <t>Bir kişinin bu öğrenim olanağına başlayabilmek için uyması gereken kriterler.</t>
  </si>
  <si>
    <t>Мястото на провеждане на учебната дейност.</t>
  </si>
  <si>
    <t>Místo, kde se aktivita probíhala.</t>
  </si>
  <si>
    <t>Det sted, hvor aktiviteten fandt sted.</t>
  </si>
  <si>
    <t>Veranstaltungsort der Aktivität.</t>
  </si>
  <si>
    <t>Ο τόπος όπου πραγματοποιήθηκε η δραστηριότητα.</t>
  </si>
  <si>
    <t>Lugar donde se llevó a cabo la actividad.</t>
  </si>
  <si>
    <t>Koht, kus tegevus toimus.</t>
  </si>
  <si>
    <t>Paikka, jossa toimi tapahtui.</t>
  </si>
  <si>
    <t>Le lieu où l’activité s’est déroulée.</t>
  </si>
  <si>
    <t>An suíomh ina ndearnadh an ghníomhaíocht.</t>
  </si>
  <si>
    <t>Lokacija na kojoj se odvijala aktivnost.</t>
  </si>
  <si>
    <t>A tevékenység helyszíne.</t>
  </si>
  <si>
    <r>
      <rPr>
        <sz val="11"/>
        <color theme="1"/>
        <rFont val="Calibri"/>
        <family val="2"/>
        <charset val="238"/>
      </rPr>
      <t>Staðurinn þar sem iðkunin fór fram.</t>
    </r>
  </si>
  <si>
    <t>Il luogo in cui si è svolta l'attività.</t>
  </si>
  <si>
    <t>Veiklos vieta</t>
  </si>
  <si>
    <t>Aktivitātes norises vieta.</t>
  </si>
  <si>
    <t>Локацијата кадешто се случувала активноста.</t>
  </si>
  <si>
    <t>Il-lok li fih seħħet l-attività.</t>
  </si>
  <si>
    <r>
      <rPr>
        <sz val="11"/>
        <color theme="1"/>
        <rFont val="Calibri"/>
        <family val="2"/>
      </rPr>
      <t>De plaats waar de activiteit plaatsvond.</t>
    </r>
  </si>
  <si>
    <t>Stedet der aktiviteten ble utført.</t>
  </si>
  <si>
    <t>Miejsce, w którym odbyło się działanie.</t>
  </si>
  <si>
    <t>Local onde se realizou a atividade.</t>
  </si>
  <si>
    <t>Locul în care s-a desfășurat activitatea.</t>
  </si>
  <si>
    <t>Miesto, kde sa činnosť konala.</t>
  </si>
  <si>
    <t>Kraj opravljanja dejavnosti</t>
  </si>
  <si>
    <t>Mesto u kom se aktivnost odvijala.</t>
  </si>
  <si>
    <t>Den plats där aktiviteten ägde rum.</t>
  </si>
  <si>
    <t>Etkinliğin gerçekleştiği yer.</t>
  </si>
  <si>
    <t>Това поле не трябва да се използва за вписване на информация, включена в други части на формуляра.</t>
  </si>
  <si>
    <t>Tuto kolonku nepoužívejte k zaznamenávání informací, které jsou zadány v jiných částech modelu.</t>
  </si>
  <si>
    <t>Dette felt bør ikke bruges til at registrere oplysninger, som indsættes i andre dele af modellen.</t>
  </si>
  <si>
    <t>Bitte hier keine Informationen eingeben, die bereits in anderen Teilen des Modells erfasst wurden.</t>
  </si>
  <si>
    <t>Αυτό το πεδίο δεν θα πρέπει να χρησιμοποιείται για την καταχώριση πληροφοριών που συλλέγονται σε άλλα τμήματα του μοντέλου.</t>
  </si>
  <si>
    <t>Este campo no se debe utilizar para registrar información capturada en otras partes del modelo.</t>
  </si>
  <si>
    <t>Seda välja ei tohiks kasutada mudeli muudes osades sisalduva teabe salvestamiseks.</t>
  </si>
  <si>
    <t>Tätä kenttää ei pitäisi käyttää sellaisen tiedon tallentamiseen, jonka muut mallin osat poimivat.</t>
  </si>
  <si>
    <t>Ce champ ne doit pas être utilisé pour enregistrer des informations déjà renseignées dans d’autres parties du modèle.</t>
  </si>
  <si>
    <t>Níor cheart an réimse seo a úsáid chun faisnéis a thaifeadadh a thugtar i gcodanna eile den tsamhail.</t>
  </si>
  <si>
    <t>Ovo se polje ne bi trebalo upotrebljavati za unos informacija koje sadržavaju drugi dijelovi modela.</t>
  </si>
  <si>
    <t>Ebben a mezőben nem szabad olyan információkat megadni, amelyek szerepelnek a modell más részeiben.</t>
  </si>
  <si>
    <r>
      <rPr>
        <sz val="11"/>
        <color theme="1"/>
        <rFont val="Calibri"/>
        <family val="2"/>
        <charset val="238"/>
      </rPr>
      <t>Þennan reit skal ekki nota til að skrá upplýsingar sem gefnar eru í öðrum hlutum líkansins.</t>
    </r>
  </si>
  <si>
    <t>Questo campo non deve essere utilizzato per registrare informazioni riprese da altre parti del modello.</t>
  </si>
  <si>
    <t>Šis laukelis neturėtų būti naudojamas įrašyti informacijai, fiksuojamai kitose modulio dalyse.</t>
  </si>
  <si>
    <t>Neievadiet šajā laukā informāciju, kas jau norādīta citās modeļa daļās.</t>
  </si>
  <si>
    <t>Ова поле не треба да се користи за снимање на податок којшто е превземен од други делови на моделот.</t>
  </si>
  <si>
    <t>Dan il-qasam m’għandux jintuża biex tiġi reġistrata informazzjoni li tkun koperta minn partijiet oħra tal-mudell.</t>
  </si>
  <si>
    <r>
      <rPr>
        <sz val="11"/>
        <color theme="1"/>
        <rFont val="Calibri"/>
        <family val="2"/>
      </rPr>
      <t>Dit veld mag niet worden gebruikt voor informatie die al in andere delen van het model wordt opgeslagen.</t>
    </r>
  </si>
  <si>
    <t>Dette feltet skal ikke brukes til opplysninger gitt i andre deler av modellen.</t>
  </si>
  <si>
    <t>Nie należy wpisywać w tym polu informacji ujętych w innych częściach wzoru.</t>
  </si>
  <si>
    <t>Este campo não deve ser utilizado para registar informações que já foram dadas noutras partes do modelo.</t>
  </si>
  <si>
    <t>Acest câmp nu trebuie să fie utilizat pentru a înregistra informații care sunt incluse în alte părți ale modelului.</t>
  </si>
  <si>
    <t>Toto pole by sa nemalo používať na zaznamenanie údajov, ktoré sa uvádzajú v iných častiach modelu.</t>
  </si>
  <si>
    <t>Tega polja se ne sme uporabiti za zapisovanje informacij, ki so zajete v drugih delih modela.</t>
  </si>
  <si>
    <t>Ovo polje ne bi trebalo koristiti za čuvanje informacija koje su zabeležene u drugim delovima modela.</t>
  </si>
  <si>
    <t>Fältet bör inte användas för att fylla i information som redan anges i andra delar av mallen.</t>
  </si>
  <si>
    <t>Bu alan, modelin diğer taraflarında yakalanan bilgileri kaydetmekte kullanılmamalıdır.</t>
  </si>
  <si>
    <t xml:space="preserve">Специфичните права, придобити от притежателя на удостоверението. Това поле не трябва да се използва за въвеждане на информация, включена в други части на формуляра. </t>
  </si>
  <si>
    <t xml:space="preserve">Zvláštní práva, která držitel certifikátu nabyl. Tuto kolonku nepoužívejte k zaznamenávání informací, které jsou zadány v jiných částech modelu. </t>
  </si>
  <si>
    <t xml:space="preserve">De specifikke rettigheder, som indehaveren af ID'et har erhvervet. Dette felt bør ikke bruges til at registrere oplysninger, som indsættes i andre dele af modellen. </t>
  </si>
  <si>
    <t xml:space="preserve">Spezifische Rechte, die der Inhaber des Zertifikats erworben hat. Bitte hier keine Informationen eingeben, die bereits in anderen Teilen des Modells erfasst wurden. </t>
  </si>
  <si>
    <t xml:space="preserve">Τα συγκεκριμένα δικαιώματα που έχει αποκτήσει ο κάτοχος του διαπιστευτηρίου. Αυτό το πεδίο δεν θα πρέπει να χρησιμοποιείται για την καταχώριση πληροφοριών που συλλέγονται σε άλλα τμήματα του μοντέλου. </t>
  </si>
  <si>
    <t xml:space="preserve">Derechos específicos adquiridos por el titular de la credencial. Este campo no se debe utilizar para registrar información capturada en otras partes del modelo. </t>
  </si>
  <si>
    <t xml:space="preserve">Konkreetsed õigused, mille tõendi omanik on omandanud. Seda välja ei tohiks kasutada mudeli muudes osades sisalduva teabe salvestamiseks. </t>
  </si>
  <si>
    <t xml:space="preserve">Erityiset oikeudet, jotka osaamistodistuksen haltija on saanut. Tätä kenttää ei pitäisi käyttää sellaisen tiedon tallentamiseen, jonka muut mallin osat poimivat. </t>
  </si>
  <si>
    <t xml:space="preserve">Les droits spécifiques que le titulaire du justificatif a obtenus. Ce champ ne doit pas être utilisé pour enregistrer des informations déjà renseignées dans d’autres parties du modèle. </t>
  </si>
  <si>
    <t xml:space="preserve">Na cearta sonracha atá faighte ag sealbhóir an dintiúir. Níor cheart an réimse seo a úsáid chun faisnéis a thaifeadadh a thugtar i gcodanna eile den tsamhail. </t>
  </si>
  <si>
    <t xml:space="preserve">Posebna prava koja je stekao nositelj vjerodajnice. Ovo se polje ne bi trebalo upotrebljavati za unos informacija koje sadržavaju drugi dijelovi modela. </t>
  </si>
  <si>
    <t xml:space="preserve">A tanúsítvány tulajdonosát megillető konkrét jogok. Ebben a mezőben nem szabad olyan információkat megadni, amelyek szerepelnek a modell más részeiben. </t>
  </si>
  <si>
    <t xml:space="preserve">Hin tilteknu réttindi sem handhafi skilríkisins hefur öðlast. Þennan reit skal ekki nota til að skrá upplýsingar sem gefnar eru í öðrum hlutum líkansins. </t>
  </si>
  <si>
    <t xml:space="preserve">I diritti specifici acquisiti dal titolare della credenziale. Questo campo non deve essere utilizzato per registrare informazioni riprese da altre parti del modello. </t>
  </si>
  <si>
    <t xml:space="preserve">Konkrečios teisės, kurias įgijo kredencialo turėtojas. Šis laukelis neturėtų būti naudojamas įrašyti informacijai, fiksuojamai kitose modulio dalyse. </t>
  </si>
  <si>
    <t xml:space="preserve">Konkrētas tiesības, ko ir ieguvis apliecinājuma dokumenta īpašnieks. Neievadiet šajā laukā informāciju, kas jau norādīta citās modeļa daļās. </t>
  </si>
  <si>
    <t xml:space="preserve">Специфичните права што ги има стекнато носителот на акредитивот. Ова поле не треба да се користи за снимање на информации што се заробени од други делови на моделот. </t>
  </si>
  <si>
    <t xml:space="preserve">Id-drittijiet speċifiċi li akkwista d-detentur tal-kredenzjali. Dan il-qasam m’għandux jintuża biex tiġi reġistrata informazzjoni li tkun koperta minn partijiet oħra tal-mudell. </t>
  </si>
  <si>
    <t>De specifieke rechten die de houder van de credential heeft verworven. Dit veld mag niet worden gebruikt voor informatie die elders in dit model kan worden opgeslagen.</t>
  </si>
  <si>
    <t xml:space="preserve">Særskilte rettigheter som eieren av referansen har oppnådd. Dette feltet skal ikke brukes til opplysninger gitt i andre deler av modellen. </t>
  </si>
  <si>
    <t xml:space="preserve">Szczególne prawa nabyte przez właściciela poświadczenia. Nie należy wpisywać w tym polu informacji ujętych w innych częściach wzoru. </t>
  </si>
  <si>
    <t xml:space="preserve">Os direitos específicos adquiridos pelo titular da credencial. Este campo não deve ser utilizado para registar informações preenchidas noutras partes do modelo. </t>
  </si>
  <si>
    <t xml:space="preserve">Drepturile specifice pe care le-a dobândit titularul acreditării. Acest câmp nu trebuie să fie utilizat pentru a înregistra informații care sunt incluse în alte părți ale modelului. </t>
  </si>
  <si>
    <t xml:space="preserve">Osobitné práva, ktoré držiteľ certifikátu nadobudol. Toto pole by sa nemalo používať na zaznamenanie údajov, ktoré sa uvádzajú v iných častiach modelu. </t>
  </si>
  <si>
    <t xml:space="preserve">Posebne pravice, ki jih je pridobil imetnik potrdila. Tega polja se ne sme uporabiti za zapisovanje informacij, ki so zajete v drugih delih modela. </t>
  </si>
  <si>
    <t xml:space="preserve">Specifična prava koja je stekao nosilac akreditacije. Ovo polje ne bi trebalo koristiti za čuvanje podataka koji su zabeleženi u drugim delovima modela. </t>
  </si>
  <si>
    <t xml:space="preserve">De specifika rättigheter som referensens innehavare har förvärvat. Fältet bör inte användas för att fylla i information som redan anges i andra delar av mallen. </t>
  </si>
  <si>
    <t xml:space="preserve">Öğrenimi kanıtlayan belge sahibinin kazandığı belirli haklar. Bu alan, veri modelinin diğer bölümlerinde yer alan bilgileri kaydetmekte kullanılmamalıdır. </t>
  </si>
  <si>
    <t>Спецификация на правото, придобито от дадено лице, обикновено в резултат на учебно постижение. Това може да бъде правото на членство в дадена организация или правото лицето да следва определена учебна възможност или кариера.</t>
  </si>
  <si>
    <t>Specifikace práva, kterého studující nabývá (obvykle) na základě studijního úspěchu. Může se jednat o právo být členem organizace, využívat určité specifikace vzdělávacích příležitosti nebo kariérní cestu.</t>
  </si>
  <si>
    <t>Specifikationen af en ret, som en person har adgang til, typisk som følge af et læringsresultat. Det kan være retten til at blive medlem af en organisation, til at følge et bestemt læringsforløb eller til at følge en bestemt karriere.</t>
  </si>
  <si>
    <t>Spezifikation eines Rechts, das in der Regel durch die Erzielung einer Lernleistung erworben wurde. Der Anspruch kann darin bestehen, Mitglied einer Organisation zu werden, eine Lernmöglichkeit anzunehmen oder einen Beruf auszuüben.</t>
  </si>
  <si>
    <t>Η προδιαγραφή ενός δικαιώματος στο οποίο έχει πρόσβαση το άτομο, συνήθως ως αποτέλεσμα συγκεκριμένου μαθησιακού επιτεύγματος. Μπορεί να έχει τη μορφή δικαιώματος του ατόμου να αποκτήσει την ιδιότητα μέλους ενός οργανισμού, να αξιοποιήσει συγκεκριμένη ευκαιρία μάθησης, ή να ακολουθήσει συγκεκριμένη επαγγελματική σταδιοδρομία.</t>
  </si>
  <si>
    <t>Especificación de un derecho al que se tiene acceso, por lo general, a raíz de un proceso de aprendizaje. El derecho puede consistir, entre otros, en la habilitación para afiliarse a una organización, acogerse a una determinada oportunidad de aprendizaje o seguir una determinada carrera.</t>
  </si>
  <si>
    <t>Selle õiguse kirjeldus, millele isikul on (tavaliselt õpitulemuse saavutamise järgselt) juurdepääs. See võib olla õigus saada organisatsiooni liikmeks, otsustada teatava õppimisvõimaluse kirjelduse või teatava karjäärivõimaluse kasuks.</t>
  </si>
  <si>
    <t>Eritelmä henkilön oikeudesta johonkin, yleensä oppimissaavutuksen tuloksena. Kyseessä voi olla oikeus olla jonkin organisaation jäsen, osallistua tiettyyn oppimismahdollisuuteen tai lähteä tietylle uralle.</t>
  </si>
  <si>
    <t>La spécification d’un droit dont dispose une personne, et qui résulte généralement d'un acquis d’apprentissage. Il peut s’agir du droit de faire partie d’une organisation, de suivre une spécification de possibilité d’apprentissage particulière ou de suivre une certaine carrière.</t>
  </si>
  <si>
    <t>Sonraíocht an chirt a bhíonn ag duine de ghnáth tar éis dó gnóthachtáil foghlama áirithe a bhaint amach. D’fhéadfadh sé go mbeadh an ceart aige a bheith ina bhall d’eagraíocht, sonraíocht deise foghlama áirithe a leanúint nó gairm bheatha áirithe a leanúint.</t>
  </si>
  <si>
    <t>Specifikacija prava kojem osoba ima pristup, obično kao rezultat obrazovnog postignuća. Može biti u obliku prava na članstvo u organizaciji, na praćenje određene specifikacije mogućnosti učenja ili na određenu karijeru.</t>
  </si>
  <si>
    <t xml:space="preserve">Azon jog specifikációja, amelyet egy személy – rendszerint valamilyen tanulási eredmény révén – megszerzett (és aminek köszönhetően pl. beléphet egy szervezetbe, élhet egy bizonyos tanulási lehetőséggel vagy választhat bizonyos pályát). </t>
  </si>
  <si>
    <t>La specifica di un diritto di cui una persona gode di norma in virtù di un risultato di apprendimento. Può assumere la forma del diritto di essere membro di un'organizzazione, di seguire una determinata specifica di opportunità di apprendimento o di seguire una determinata carriera.</t>
  </si>
  <si>
    <t>Teisės, kuria asmuo gali naudotis, paprastai dėl įgyto mokymosi pasiekimo, specifikacija. Tai gali būti teisė būti organizacijos nariu, naudotis tam tikra mokymosi galimybe arba dirbti tam tikrą darbą.</t>
  </si>
  <si>
    <t>Specifikācija tiesībām, ko persona parasti iegūst mācību sasniegumu rezultātā. Tās var būt tiesības būt organizācijas biedram, izmantot noteiktas mācību iespējas vai veidot noteiktu karjeru.</t>
  </si>
  <si>
    <t xml:space="preserve">Спецификацијата на правото до која лицето има пристап, обично како резултат на достигнувањето од учењето. Тоа може да има форма на право да се биде член на една организација, да се следи одредена спецификација на можност за учење или да следи одредена кариера. </t>
  </si>
  <si>
    <t>L-ispeċifikazzjoni ta’ dritt li persuna għandha aċċess għalih, tipikament bħala riżultat ta’ kisba ta’ tagħlim. Jista’ jieħu l-forma tad-dritt li tkun membru ta’ organizzazzjoni, li ssegwi ċerta speċifikazzjoni ta’ opportunità ta’ tagħlim, jew li ssegwi ċerta karriera.</t>
  </si>
  <si>
    <t>Spesifikasjon av en rettighet en person har tilgang til, vanligvis som følge av et læringsresultat. Eksempel: rett til å bli medlem av en organisasjon, benytte seg av en viss læringsmulighet eller begynne en viss karriere.</t>
  </si>
  <si>
    <t>Specyfikacja prawa, które uzyskała dana osoba, zwykle w wyniku uzyskania rezultatu nauczania. Może mieć formę prawa do bycia członkiem danej organizacji, do trzymania się określonej specyfikacji oferty nauki lub do wkroczenia na określoną ścieżkę kariery zawodowej.</t>
  </si>
  <si>
    <t>A descrição de um direito conferido a uma pessoa, geralmente em resultado de uma aquisição de aprendizagem. Pode assumir a forma de direito de aderir a uma organização, seguir uma determinada especificação de oportunidade de aprendizagem ou enveredar por uma determinada carreira.</t>
  </si>
  <si>
    <t>Specificația dreptului de care dispune o persoană, în special ca urmare a unei reușite de învățare. De exemplu, dreptul de a deveni membru al unei organizații, de a urma o oportunitate de învățare sau de a practica o anumită carieră.</t>
  </si>
  <si>
    <t>Špecifikácia práva, na ktoré má osoba nárok, zvyčajne na základe výsledku vzdelávania. Môže mať formu práva stať sa členom organizácie, využiť určitú špecifikáciu príležitosti na vzdelávanie alebo vykonávať určité povolanie.</t>
  </si>
  <si>
    <t>Specifikacija pravice, ki jo pridobi oseba, običajno na podlagi učnega dosežka. Lahko je v obliki pravice do članstva v organizaciji, izkoriščanja določene možnosti izobraževanja ali opravljanja določenega poklica.</t>
  </si>
  <si>
    <t>Specifikacija prava kome neka osoba ima pristup, obično kao rezultat postignuća u učenju. Može biti u obliku prava da budete član organizacije, da sledite određene specifikacije prilike za učenje ili da pratite određenu karijeru.</t>
  </si>
  <si>
    <t>Specifikation av den rätt en person har, vanligen som ett resultat av en prestation, t.ex. rätt att vara medlem i en organisation, delta i en viss inlärningsmöjlighet eller utöva ett visst yrke.</t>
  </si>
  <si>
    <t>Bir kişinin, genelde bir öğrenim başarısı sonucunda erişim sahibi olduğu bir hakkın tanımı. Bir kuruluşun üyesi olma, belirli bir öğrenim olanağı tanımı için başvuruda bulunma veya belirli bir kariyeri sürdürme hakkı şeklini alabilir.</t>
  </si>
  <si>
    <t>Наименование</t>
  </si>
  <si>
    <t>Název</t>
  </si>
  <si>
    <t>Titel</t>
  </si>
  <si>
    <t>Bezeichnung</t>
  </si>
  <si>
    <t>Τίτλος</t>
  </si>
  <si>
    <t>Denominación</t>
  </si>
  <si>
    <t>Nimetus</t>
  </si>
  <si>
    <t>Otsikko</t>
  </si>
  <si>
    <t>Titre</t>
  </si>
  <si>
    <t>Teideal</t>
  </si>
  <si>
    <t>Naslov</t>
  </si>
  <si>
    <t>Cím</t>
  </si>
  <si>
    <r>
      <rPr>
        <sz val="11"/>
        <color theme="1"/>
        <rFont val="Calibri"/>
        <family val="2"/>
        <charset val="238"/>
      </rPr>
      <t>Heiti</t>
    </r>
  </si>
  <si>
    <t>Titolo</t>
  </si>
  <si>
    <t>Pavadinimas</t>
  </si>
  <si>
    <t>Nosaukums</t>
  </si>
  <si>
    <t>Титула</t>
  </si>
  <si>
    <t>Titlu</t>
  </si>
  <si>
    <r>
      <rPr>
        <sz val="11"/>
        <color theme="1"/>
        <rFont val="Calibri"/>
        <family val="2"/>
      </rPr>
      <t>Titel</t>
    </r>
  </si>
  <si>
    <t>Tittel</t>
  </si>
  <si>
    <t>Nazwa</t>
  </si>
  <si>
    <t>Título</t>
  </si>
  <si>
    <t>Názov</t>
  </si>
  <si>
    <t>Namn</t>
  </si>
  <si>
    <t>Başlık</t>
  </si>
  <si>
    <t>Описание</t>
  </si>
  <si>
    <t>Popis</t>
  </si>
  <si>
    <t>Beskrivelse</t>
  </si>
  <si>
    <t>Beschreibung</t>
  </si>
  <si>
    <t>Περιγραφή</t>
  </si>
  <si>
    <t>Descripción</t>
  </si>
  <si>
    <t>Kirjeldus</t>
  </si>
  <si>
    <t>Kuvaus</t>
  </si>
  <si>
    <t>Cur síos</t>
  </si>
  <si>
    <t>Opis</t>
  </si>
  <si>
    <t>Leírás</t>
  </si>
  <si>
    <r>
      <rPr>
        <sz val="11"/>
        <color theme="1"/>
        <rFont val="Calibri"/>
        <family val="2"/>
        <charset val="238"/>
      </rPr>
      <t>Lýsing</t>
    </r>
  </si>
  <si>
    <t>Descrizione</t>
  </si>
  <si>
    <t>Aprašas</t>
  </si>
  <si>
    <t>Apraksts</t>
  </si>
  <si>
    <t>Опис</t>
  </si>
  <si>
    <t>Deskrizzjoni</t>
  </si>
  <si>
    <r>
      <rPr>
        <sz val="11"/>
        <color theme="1"/>
        <rFont val="Calibri"/>
        <family val="2"/>
      </rPr>
      <t>Omschrijving</t>
    </r>
  </si>
  <si>
    <t>Descrição</t>
  </si>
  <si>
    <t>Descriere</t>
  </si>
  <si>
    <t>Beskrivning</t>
  </si>
  <si>
    <t>Açıklama</t>
  </si>
  <si>
    <t>Пълен адрес</t>
  </si>
  <si>
    <t>Úplná adresa</t>
  </si>
  <si>
    <t>Fuldstændig adresse</t>
  </si>
  <si>
    <t>Vollständige Anschrift</t>
  </si>
  <si>
    <t>Πλήρης διεύθυνση</t>
  </si>
  <si>
    <t>Dirección completa</t>
  </si>
  <si>
    <t>Täielik aadress</t>
  </si>
  <si>
    <t>Osoite kokonaisuudessaan</t>
  </si>
  <si>
    <t>Adresse complète</t>
  </si>
  <si>
    <t>Seoladh Iomlán</t>
  </si>
  <si>
    <t>Puna adresa</t>
  </si>
  <si>
    <t>Teljes cím</t>
  </si>
  <si>
    <r>
      <rPr>
        <sz val="11"/>
        <color theme="1"/>
        <rFont val="Calibri"/>
        <family val="2"/>
        <charset val="238"/>
      </rPr>
      <t>Fullt heimilisfang</t>
    </r>
  </si>
  <si>
    <t>Indirizzo completo</t>
  </si>
  <si>
    <t>Visas adresas</t>
  </si>
  <si>
    <t>Pilna adrese</t>
  </si>
  <si>
    <t>Целосна адреса</t>
  </si>
  <si>
    <t>Indirizz Sħiħ</t>
  </si>
  <si>
    <r>
      <rPr>
        <sz val="11"/>
        <color theme="1"/>
        <rFont val="Calibri"/>
        <family val="2"/>
      </rPr>
      <t>Volledig adres</t>
    </r>
  </si>
  <si>
    <t>Full adresse</t>
  </si>
  <si>
    <t>Pełny adres</t>
  </si>
  <si>
    <t>Endereço completo</t>
  </si>
  <si>
    <t>Adresa completă</t>
  </si>
  <si>
    <t>Celá adresa</t>
  </si>
  <si>
    <t>Polni naslov</t>
  </si>
  <si>
    <t>Fullständig adress</t>
  </si>
  <si>
    <t>Tam Adres</t>
  </si>
  <si>
    <t>Nombre de la ubicación</t>
  </si>
  <si>
    <t xml:space="preserve">Nom du lieu </t>
  </si>
  <si>
    <t xml:space="preserve">Наименование на местоположението </t>
  </si>
  <si>
    <t xml:space="preserve">Atrašanās vietas nosaukums </t>
  </si>
  <si>
    <t xml:space="preserve">Vietos pavadinimas </t>
  </si>
  <si>
    <t xml:space="preserve">Název lokality </t>
  </si>
  <si>
    <t xml:space="preserve">Helyszín megnevezése </t>
  </si>
  <si>
    <t xml:space="preserve">Stedets navn </t>
  </si>
  <si>
    <t xml:space="preserve">Isem tal-Post </t>
  </si>
  <si>
    <t xml:space="preserve">Name des Orts </t>
  </si>
  <si>
    <t xml:space="preserve">Naam locatie </t>
  </si>
  <si>
    <t xml:space="preserve">Asukoht </t>
  </si>
  <si>
    <t xml:space="preserve">Nazwa miejsca </t>
  </si>
  <si>
    <t xml:space="preserve">Όνομα τοποθεσίας </t>
  </si>
  <si>
    <t xml:space="preserve">Localização </t>
  </si>
  <si>
    <t xml:space="preserve">Numele locației </t>
  </si>
  <si>
    <t xml:space="preserve">Názov miesta </t>
  </si>
  <si>
    <t xml:space="preserve">Ainm an tSuímh </t>
  </si>
  <si>
    <t xml:space="preserve">Ime lokacije </t>
  </si>
  <si>
    <t xml:space="preserve">Naziv lokacije </t>
  </si>
  <si>
    <t xml:space="preserve">Sijaintipaikan nimi </t>
  </si>
  <si>
    <t xml:space="preserve">Nome dell’ubicazione </t>
  </si>
  <si>
    <t xml:space="preserve">Platsens namn </t>
  </si>
  <si>
    <t xml:space="preserve">Staðsetning (staðarheiti) </t>
  </si>
  <si>
    <t xml:space="preserve">Име на локација </t>
  </si>
  <si>
    <t xml:space="preserve">Sted </t>
  </si>
  <si>
    <t xml:space="preserve">Yer Adı </t>
  </si>
  <si>
    <t xml:space="preserve">Naziv mesta </t>
  </si>
  <si>
    <t>Изисквания за прием</t>
  </si>
  <si>
    <t>Vstupní požadavky</t>
  </si>
  <si>
    <t>Optagelseskrav</t>
  </si>
  <si>
    <t>Zugangsvoraussetzungen</t>
  </si>
  <si>
    <t>Απαιτήσεις εισαγωγής</t>
  </si>
  <si>
    <t>Requisitos de admisión</t>
  </si>
  <si>
    <t>Osalemistingimused</t>
  </si>
  <si>
    <t>Aloitusvaatimukset</t>
  </si>
  <si>
    <t>Conditions d’admission</t>
  </si>
  <si>
    <t>Riachtanais Iontrála</t>
  </si>
  <si>
    <t>Uvjeti za upis</t>
  </si>
  <si>
    <t>A tanulás megkezdésének feltételei</t>
  </si>
  <si>
    <r>
      <rPr>
        <sz val="11"/>
        <color theme="1"/>
        <rFont val="Calibri"/>
        <family val="2"/>
        <charset val="238"/>
      </rPr>
      <t>Inntökuskilyrði</t>
    </r>
  </si>
  <si>
    <t>Requisiti di ammissione</t>
  </si>
  <si>
    <t>Priėmimo reikalavimai</t>
  </si>
  <si>
    <t>Prasības attiecībā uz dalību</t>
  </si>
  <si>
    <t>Барања за влез</t>
  </si>
  <si>
    <t>Rekwiżiti tad-dħul</t>
  </si>
  <si>
    <r>
      <rPr>
        <sz val="11"/>
        <color theme="1"/>
        <rFont val="Calibri"/>
        <family val="2"/>
      </rPr>
      <t>Toegangseisen</t>
    </r>
  </si>
  <si>
    <t>Opptakskrav</t>
  </si>
  <si>
    <t>Wymogi dotyczące udziału</t>
  </si>
  <si>
    <t>Requisitos de admissão</t>
  </si>
  <si>
    <t>Condiții de admitere</t>
  </si>
  <si>
    <t>Požiadavky na zápis</t>
  </si>
  <si>
    <t>Vpisni pogoji</t>
  </si>
  <si>
    <t>Uslovi za upis</t>
  </si>
  <si>
    <t>Inträdeskrav</t>
  </si>
  <si>
    <t>Giriş Gereklilikleri</t>
  </si>
  <si>
    <t>Юридическо наименование</t>
  </si>
  <si>
    <t>Oficiální název</t>
  </si>
  <si>
    <t>Juridisk navn</t>
  </si>
  <si>
    <t>Offizieller Name</t>
  </si>
  <si>
    <t>Εταιρική επωνυμία</t>
  </si>
  <si>
    <t>Razón social</t>
  </si>
  <si>
    <t>Juriidiline nimi</t>
  </si>
  <si>
    <t>Virallinen nimi</t>
  </si>
  <si>
    <t>Dénomination juridique</t>
  </si>
  <si>
    <t>Ainm Dlítheanach</t>
  </si>
  <si>
    <t>Pravno ime</t>
  </si>
  <si>
    <t>Törvényes név</t>
  </si>
  <si>
    <r>
      <rPr>
        <sz val="11"/>
        <color theme="1"/>
        <rFont val="Calibri"/>
        <family val="2"/>
        <charset val="238"/>
      </rPr>
      <t>Lögheiti</t>
    </r>
  </si>
  <si>
    <t>Denominazione legale</t>
  </si>
  <si>
    <t>Juridinis pavadinimas</t>
  </si>
  <si>
    <t>Juridiskais nosaukums</t>
  </si>
  <si>
    <t>Правно име</t>
  </si>
  <si>
    <t>Isem Legali</t>
  </si>
  <si>
    <t>Nazwa prawna</t>
  </si>
  <si>
    <t>Designação legal</t>
  </si>
  <si>
    <t>Denumire juridică</t>
  </si>
  <si>
    <t>Obchodný názov</t>
  </si>
  <si>
    <t>Uradno ime</t>
  </si>
  <si>
    <t>Pravni naziv</t>
  </si>
  <si>
    <t>Officiellt namn</t>
  </si>
  <si>
    <t>Kanuni Adı</t>
  </si>
  <si>
    <t>Wettelijke naam</t>
  </si>
  <si>
    <t>Volledige wettelijke naam van de organisatie, zoals geregistreerd bij de nationale autoriteiten. Vermeld eventuele vertalingen alleen als het officiële vertalingen zijn die eveneens bij de nationale autoriteiten zijn geregistreerd.</t>
  </si>
  <si>
    <t>Общоприето наименование</t>
  </si>
  <si>
    <t>Obecný název</t>
  </si>
  <si>
    <t>Kaldenavn</t>
  </si>
  <si>
    <t>Gebräuchlicher Name</t>
  </si>
  <si>
    <t>Κοινή ονομασία</t>
  </si>
  <si>
    <t>Denominación común</t>
  </si>
  <si>
    <t>Üldnimi</t>
  </si>
  <si>
    <t>Yleinen nimi</t>
  </si>
  <si>
    <t>Nom usuel</t>
  </si>
  <si>
    <t>Ainm Coitianta</t>
  </si>
  <si>
    <t>Uobičajeno ime</t>
  </si>
  <si>
    <t>Közismert név</t>
  </si>
  <si>
    <t>Nome comune</t>
  </si>
  <si>
    <t>Bendrinis pavadinimas</t>
  </si>
  <si>
    <t>Vispārpieņemtais nosaukums</t>
  </si>
  <si>
    <t>Вообичаено име</t>
  </si>
  <si>
    <t>Isem Komuni</t>
  </si>
  <si>
    <t>Navn i vanlig bruk</t>
  </si>
  <si>
    <t>Nazwa powszechnie używana</t>
  </si>
  <si>
    <t>Designação comum</t>
  </si>
  <si>
    <t>Denumire comună</t>
  </si>
  <si>
    <t>Bežný názov</t>
  </si>
  <si>
    <t>Splošno ime</t>
  </si>
  <si>
    <t>Vanligt namn</t>
  </si>
  <si>
    <t>Olağan Adı</t>
  </si>
  <si>
    <r>
      <rPr>
        <b/>
        <sz val="11"/>
        <color theme="1"/>
        <rFont val="Calibri"/>
        <family val="2"/>
      </rPr>
      <t>Almennt heiti</t>
    </r>
  </si>
  <si>
    <r>
      <rPr>
        <sz val="8"/>
        <color theme="1"/>
        <rFont val="Calibri"/>
        <family val="2"/>
      </rPr>
      <t>Annað (valkvætt) heiti stofnunarinnar sem jafnan er notað í skjölum, þ.m.t. skilríkjum.</t>
    </r>
  </si>
  <si>
    <r>
      <rPr>
        <b/>
        <sz val="11"/>
        <color theme="1"/>
        <rFont val="Calibri"/>
        <family val="2"/>
      </rPr>
      <t>Gangbare naam</t>
    </r>
  </si>
  <si>
    <r>
      <rPr>
        <sz val="8"/>
        <color theme="1"/>
        <rFont val="Calibri"/>
        <family val="2"/>
      </rPr>
      <t>Een (facultatieve) alternatieve naam van de organisatie zoals die gewoonlijk wordt gebruikt in documenten, bijv. credentials.</t>
    </r>
  </si>
  <si>
    <r>
      <rPr>
        <b/>
        <sz val="11"/>
        <color theme="1"/>
        <rFont val="Calibri"/>
        <family val="2"/>
      </rPr>
      <t>Fullt heimilisfang</t>
    </r>
  </si>
  <si>
    <r>
      <rPr>
        <b/>
        <sz val="11"/>
        <color theme="1"/>
        <rFont val="Calibri"/>
        <family val="2"/>
      </rPr>
      <t>Volledig adres</t>
    </r>
  </si>
  <si>
    <r>
      <rPr>
        <b/>
        <sz val="11"/>
        <color rgb="FFFF0000"/>
        <rFont val="Calibri"/>
        <family val="2"/>
      </rPr>
      <t>Titel</t>
    </r>
  </si>
  <si>
    <t>Organisation.contactPoint#1</t>
  </si>
  <si>
    <t>Organisation.contactPoint#1.email.NestedProperty.id.1.</t>
  </si>
  <si>
    <t>Heiti</t>
  </si>
  <si>
    <t>Naziv</t>
  </si>
  <si>
    <t>Lýsing</t>
  </si>
  <si>
    <t>Omschrijving</t>
  </si>
  <si>
    <t>Спецификация на обучението
Наименование</t>
  </si>
  <si>
    <t>Specifikace vzdělávací příležitosti
Název</t>
  </si>
  <si>
    <t>Læringsspecifikation
Titel</t>
  </si>
  <si>
    <t>Lernspezifikation
Bezeichnung</t>
  </si>
  <si>
    <t>Προδιαγραφή μάθησης
Τίτλος</t>
  </si>
  <si>
    <t>Especificación de aprendizaje
Denominación</t>
  </si>
  <si>
    <t>Õppekirjeldus
Nimetus</t>
  </si>
  <si>
    <t>Oppimiseritelmä
Otsikko</t>
  </si>
  <si>
    <t>Spécification d’apprentissage
Titre</t>
  </si>
  <si>
    <t>Sonraíocht Foghlama
Teideal</t>
  </si>
  <si>
    <t>Specifikacija učenja
Naslov</t>
  </si>
  <si>
    <t>Tanulási specifikáció
Cím</t>
  </si>
  <si>
    <t>Námslýsing
Heiti</t>
  </si>
  <si>
    <t>Specifica di apprendimento
Titolo</t>
  </si>
  <si>
    <t>Mokymosi specifikacija
Pavadinimas</t>
  </si>
  <si>
    <t>Mācību specifikācija
Nosaukums</t>
  </si>
  <si>
    <t>Спецификација за учење
Титула</t>
  </si>
  <si>
    <t>Speċifikazzjoni tat-Tagħlim
Titlu</t>
  </si>
  <si>
    <t>Leerspecificatie
Titel</t>
  </si>
  <si>
    <t>Læringsspesifikasjon
Tittel</t>
  </si>
  <si>
    <t>Specyfikacja nauki
Nazwa</t>
  </si>
  <si>
    <t>Especificação de aprendizagem
Título</t>
  </si>
  <si>
    <t>Specificație de învățare
Titlu</t>
  </si>
  <si>
    <t>Špecifikácia vzdelávania
Názov</t>
  </si>
  <si>
    <t>Učne specifikacije
Naziv</t>
  </si>
  <si>
    <t>Lärandespecifikation
Namn</t>
  </si>
  <si>
    <t>Öğrenim Tanımı
Başlık</t>
  </si>
  <si>
    <t>Допълнителна информация</t>
  </si>
  <si>
    <t>Další informace</t>
  </si>
  <si>
    <t>Yderligere oplysninger</t>
  </si>
  <si>
    <t>Weitere Informationen</t>
  </si>
  <si>
    <t>Περισσότερες πληροφορίες</t>
  </si>
  <si>
    <t>Más información</t>
  </si>
  <si>
    <t>Lisateave</t>
  </si>
  <si>
    <t>Lisätietoja</t>
  </si>
  <si>
    <t>Informations supplémentaires</t>
  </si>
  <si>
    <t>Tuilleadh eolais</t>
  </si>
  <si>
    <t>Više informacija</t>
  </si>
  <si>
    <t>További információk</t>
  </si>
  <si>
    <t>Ulteriori informazioni</t>
  </si>
  <si>
    <t>Daugiau informacijos</t>
  </si>
  <si>
    <t>Vairāk informācijas</t>
  </si>
  <si>
    <t>Повеќе информации</t>
  </si>
  <si>
    <t>Aktar informazzjoni</t>
  </si>
  <si>
    <t>Tilleggsopplysninger</t>
  </si>
  <si>
    <t>Więcej informacji</t>
  </si>
  <si>
    <t>Mais informações</t>
  </si>
  <si>
    <t>Informații suplimentare</t>
  </si>
  <si>
    <t>Ďalšie informácie</t>
  </si>
  <si>
    <t>Več informacij</t>
  </si>
  <si>
    <t>Mer information</t>
  </si>
  <si>
    <t>Daha fazla bilgi</t>
  </si>
  <si>
    <t>Viðbótarupplýsingar</t>
  </si>
  <si>
    <t>Meer informatie</t>
  </si>
  <si>
    <t>Спецификация на учебната дейност
Наименование</t>
  </si>
  <si>
    <t>Specifikace vzdělávací aktivity
Název</t>
  </si>
  <si>
    <t>Specifikation af læringsaktivitet
Titel</t>
  </si>
  <si>
    <t>Spezifikation einer Lernaktivität
Bezeichnung</t>
  </si>
  <si>
    <t>Προδιαγραφή μαθησιακής δραστηριότητας
Τίτλος</t>
  </si>
  <si>
    <t>Especificación de actividad de aprendizaje
Denominación</t>
  </si>
  <si>
    <t>Õppetegevuse kirjeldus
Nimetus</t>
  </si>
  <si>
    <t>Oppimistoimen eritelmä
Otsikko</t>
  </si>
  <si>
    <t>Spécification d’activité d’apprentissage
Titre</t>
  </si>
  <si>
    <t>Sonraíocht na Gníomhaíochta Foghlama
Teideal</t>
  </si>
  <si>
    <t>Specifikacija aktivnosti učenja
Naslov</t>
  </si>
  <si>
    <t>A tanulási tevékenység specifikációja
Cím</t>
  </si>
  <si>
    <t>Námsiðkunarlýsing
Heiti</t>
  </si>
  <si>
    <t>Specifica di attività di apprendimento
Titolo</t>
  </si>
  <si>
    <t>Mokymosi veiklos specifikacija
Pavadinimas</t>
  </si>
  <si>
    <t>Mācību aktivitātes specifikācija
Nosaukums</t>
  </si>
  <si>
    <t>Спецификација на активност за учење
Титула</t>
  </si>
  <si>
    <t>Speċifikazzjoni ta’ Attività tat-Tagħlim
Titlu</t>
  </si>
  <si>
    <t>Specificatie van de leeractiviteit
Titel</t>
  </si>
  <si>
    <t>Spesifikasjon for læringsaktivitet
Tittel</t>
  </si>
  <si>
    <t>Specyfikacja działania edukacyjnego
Nazwa</t>
  </si>
  <si>
    <t>Especificação da atividade de aprendizagem
Título</t>
  </si>
  <si>
    <t>Specificația activității de învățare
Titlu</t>
  </si>
  <si>
    <t>Špecifikácia vzdelávacej činnosti
Názov</t>
  </si>
  <si>
    <t>Specifikacija učne dejavnosti
Naziv</t>
  </si>
  <si>
    <t>Inlärningsaktivitetsspecifikation
Namn</t>
  </si>
  <si>
    <t>Öğrenim Etkinliği Tanımı
Başlık</t>
  </si>
  <si>
    <t>Спецификация на оценката
Наименование</t>
  </si>
  <si>
    <t>Specifikace hodnocení
Název</t>
  </si>
  <si>
    <t>Vurderingsspecifikation
Titel</t>
  </si>
  <si>
    <t>Beurteilungsspezifikation
Bezeichnung</t>
  </si>
  <si>
    <t>Προδιαγραφή αξιολόγησης
Τίτλος</t>
  </si>
  <si>
    <t>Especificación de evaluación
Denominación</t>
  </si>
  <si>
    <t>Hindamise kirjeldus
Nimetus</t>
  </si>
  <si>
    <t>Arvioinnin eritelmä
Otsikko</t>
  </si>
  <si>
    <t>Spécification d’évaluation
Titre</t>
  </si>
  <si>
    <t>Sonraíocht Mheasúnaithe
Teideal</t>
  </si>
  <si>
    <t>Specifikacija procjene
Naslov</t>
  </si>
  <si>
    <t>Az értékelés specifikációja
Cím</t>
  </si>
  <si>
    <t>Matslýsing
Heiti</t>
  </si>
  <si>
    <t>Specifica di valutazione
Titolo</t>
  </si>
  <si>
    <t>Įvertinimo specifikacija
Pavadinimas</t>
  </si>
  <si>
    <t>Novērtējuma specifikācija
Nosaukums</t>
  </si>
  <si>
    <t>Спецификација за оценување
Титула</t>
  </si>
  <si>
    <t>Speċifikazzjoni tal-Valutazzjoni
Titlu</t>
  </si>
  <si>
    <t>Beoordelingsspecificatie
Titel</t>
  </si>
  <si>
    <t>Evalueringsspesifikasjon
Tittel</t>
  </si>
  <si>
    <t>Specyfikacja oceny
Nazwa</t>
  </si>
  <si>
    <t>Especificação da avaliação
Título</t>
  </si>
  <si>
    <t>Specificație de evaluare
Titlu</t>
  </si>
  <si>
    <t>Špecifikácia hodnotenia
Názov</t>
  </si>
  <si>
    <t>Specifikacija ocenjevanja
Naziv</t>
  </si>
  <si>
    <t>Specifikacija procene
Naslov</t>
  </si>
  <si>
    <t>Bedömningsspecifikation
Namn</t>
  </si>
  <si>
    <t>Başarı Tanımı
Başlık</t>
  </si>
  <si>
    <t>Схема за класиране
Наименование</t>
  </si>
  <si>
    <t>Systém známkování
Název</t>
  </si>
  <si>
    <t>Bedømmelsessystem
Titel</t>
  </si>
  <si>
    <t>Notenskala
Bezeichnung</t>
  </si>
  <si>
    <t>Σύστημα βαθμολόγησης
Τίτλος</t>
  </si>
  <si>
    <t>Sistema de calificación
Denominación</t>
  </si>
  <si>
    <t>Hindamissüsteem
Nimetus</t>
  </si>
  <si>
    <t>Arvosanajärjestelmä
Otsikko</t>
  </si>
  <si>
    <t>Système de notation
Titre</t>
  </si>
  <si>
    <t>Scéim Grádúcháin
Teideal</t>
  </si>
  <si>
    <t>Sustav ocjena
Naslov</t>
  </si>
  <si>
    <t>Osztályozási rendszer
Cím</t>
  </si>
  <si>
    <t>Einkunnakerfi
Heiti</t>
  </si>
  <si>
    <t>Sistema di classificazione
Titolo</t>
  </si>
  <si>
    <t>Vertinimo balais sistema
Pavadinimas</t>
  </si>
  <si>
    <t>Vērtēšanas skala
Nosaukums</t>
  </si>
  <si>
    <t>Шема за оценување
Титула</t>
  </si>
  <si>
    <t>Skema ta’ Klassifikazzjoni
Titlu</t>
  </si>
  <si>
    <t>Beoordelingssysteem
Titel</t>
  </si>
  <si>
    <t>Karakterskala
Tittel</t>
  </si>
  <si>
    <t>Skala ocen
Nazwa</t>
  </si>
  <si>
    <t>Sistema de classificação
Título</t>
  </si>
  <si>
    <t>Sistem de notare
Titlu</t>
  </si>
  <si>
    <t>Klasifikačný systém
Názov</t>
  </si>
  <si>
    <t>Ocenjevalna lestvica
Naziv</t>
  </si>
  <si>
    <t>Shema ocenjivanja
Naslov</t>
  </si>
  <si>
    <t>Betygssystem
Namn</t>
  </si>
  <si>
    <t>Not Sistemi
Başlık</t>
  </si>
  <si>
    <t>Спецификация на правото
Наименование</t>
  </si>
  <si>
    <t>Specifikace nároku
Název</t>
  </si>
  <si>
    <t>Specifikation af autorisation
Titel</t>
  </si>
  <si>
    <t>Anspruchsspezifikation
Bezeichnung</t>
  </si>
  <si>
    <t>Προδιαγραφή δικαιώματος
Τίτλος</t>
  </si>
  <si>
    <t>Especificación de derechos
Denominación</t>
  </si>
  <si>
    <t>Õiguse kirjeldus
Nimetus</t>
  </si>
  <si>
    <t>Kelpuutuksen eritelmä
Otsikko</t>
  </si>
  <si>
    <t>Spécification de droit
Titre</t>
  </si>
  <si>
    <t>Sonraíocht Teidlíochta
Teideal</t>
  </si>
  <si>
    <t>Specifikacija prava
Naslov</t>
  </si>
  <si>
    <t>A jogosultság specifikációja
Cím</t>
  </si>
  <si>
    <t>Réttindalýsing
Heiti</t>
  </si>
  <si>
    <t>Nánari skilgreining á rétti sem einstaklingi stendur til boða; rétturinn skapast yfirleitt af námsárangri. Þarna getur verið um að ræða rétt til aðildar að samtökum, til að nýta sér ákveðið námstækifæri eða til að stunda ákveðið starf.</t>
  </si>
  <si>
    <t>Specifica del diritto
Titolo</t>
  </si>
  <si>
    <t>Teisės specifikacija
Pavadinimas</t>
  </si>
  <si>
    <t>Tiesību specifikācija
Nosaukums</t>
  </si>
  <si>
    <t>Спецификација на право
Титула</t>
  </si>
  <si>
    <t>Speċifikazzjoni ta' Intitolament
Titlu</t>
  </si>
  <si>
    <t>Specificatie van het recht
Titel</t>
  </si>
  <si>
    <t xml:space="preserve">De specificatie van een recht dat de houder toekomt, meestal op grond van een leerprestatie. Dit kan inhouden dat de betrokkene lid mag worden van een bepaalde organisatie, toegang krijgt tot een bepaalde leermogelijkheid, of een bepaald beroep mag gaan uitoefenen. </t>
  </si>
  <si>
    <t>Rettighetsspesifikasjon
Tittel</t>
  </si>
  <si>
    <t>Specyfikacja uprawnienia
Nazwa</t>
  </si>
  <si>
    <t>Especificação do direito
Título</t>
  </si>
  <si>
    <t>Specificația dreptului
Titlu</t>
  </si>
  <si>
    <t>Špecifikácia oprávnenia
Názov</t>
  </si>
  <si>
    <t>Specifikacija upravičenosti
Naziv</t>
  </si>
  <si>
    <t>Rättighetsspecifikation
Namn</t>
  </si>
  <si>
    <t>Kazanılan Hak Tanımı
Başlık</t>
  </si>
  <si>
    <t>primaryLanguage</t>
  </si>
  <si>
    <t>Primary language</t>
  </si>
  <si>
    <t>EuropassCredential.primaryLanguage.Reference</t>
  </si>
  <si>
    <t>EuropassCredential.primaryLanguage.Property</t>
  </si>
  <si>
    <t>LearningOutcome.relatedSkill#1</t>
  </si>
  <si>
    <t>LearningOutcome.relatedSkill#2</t>
  </si>
  <si>
    <t>LearningOutcome.relatedSkill#3</t>
  </si>
  <si>
    <t>A link to a related skill or the level of a related skill on a skill framework (except ESCO).</t>
  </si>
  <si>
    <t>LearningOutcome.relatedSkill#1.targetResource.NestedProperty.</t>
  </si>
  <si>
    <t>LearningAchievement.specifiedBy.CreditPoints#1</t>
  </si>
  <si>
    <t>Credit Points</t>
  </si>
  <si>
    <t>LearningAchievement.specifiedBy.CreditPoints#1.content.NestedProperty.</t>
  </si>
  <si>
    <t>TargetFrameworkURI</t>
  </si>
  <si>
    <t>ESCO Framework URI</t>
  </si>
  <si>
    <t>LearningOutcome.relatedESCOSkill#1.targetFrameworkURI.NestedProperty.</t>
  </si>
  <si>
    <t>http://data.europa.eu/esco/model#Skill</t>
  </si>
  <si>
    <t>Related ESCO Skill 1 URL</t>
  </si>
  <si>
    <t>Related ESCO Skill 2 URL</t>
  </si>
  <si>
    <t>Related ESCO Skill 3 URL</t>
  </si>
  <si>
    <t>LearningOutcome.relatedESCOSkill#1.URI.NestedProperty.</t>
  </si>
  <si>
    <t>LearningOutcome.relatedESCOSkill#2.URI.NestedProperty.</t>
  </si>
  <si>
    <t>LearningOutcome.relatedESCOSkill#3.URI.NestedProperty.</t>
  </si>
  <si>
    <t>Related Skill Framework URI</t>
  </si>
  <si>
    <t>The identification of the controlled vocabulary (the code list). (e.g. a URI)</t>
  </si>
  <si>
    <t>Related Skill 1 Title</t>
  </si>
  <si>
    <t>Related Skill 1 URL</t>
  </si>
  <si>
    <t>Related Skill 2 Title</t>
  </si>
  <si>
    <t>Related Skill 2 URL</t>
  </si>
  <si>
    <t>Related Skill 3 Title</t>
  </si>
  <si>
    <t>Related Skill 3 URL</t>
  </si>
  <si>
    <t xml:space="preserve">Please provide the title of the referenced (non-ESCO) skill. </t>
  </si>
  <si>
    <t>LearningOutcome.relatedSkill#1.targetName.NestedProperty.</t>
  </si>
  <si>
    <t>LearningOutcome.relatedSkill#1.URI.NestedProperty.</t>
  </si>
  <si>
    <t>LearningOutcome.relatedSkill#2.targetName.NestedProperty.</t>
  </si>
  <si>
    <t>LearningOutcome.relatedSkill#2.URI.NestedProperty.</t>
  </si>
  <si>
    <t>LearningOutcome.relatedSkill#3.targetName.NestedProperty.</t>
  </si>
  <si>
    <t>LearningOutcome.relatedSkill#3.URI.NestedProperty.</t>
  </si>
  <si>
    <r>
      <t>All sheets have a "</t>
    </r>
    <r>
      <rPr>
        <b/>
        <sz val="11"/>
        <color theme="1"/>
        <rFont val="Calibri"/>
        <family val="2"/>
        <scheme val="minor"/>
      </rPr>
      <t>Default Value</t>
    </r>
    <r>
      <rPr>
        <sz val="11"/>
        <color theme="1"/>
        <rFont val="Calibri"/>
        <family val="2"/>
        <scheme val="minor"/>
      </rPr>
      <t>" row, where you can enter data (in the yellow cells) that will be automatically copied into each new row you add to speed up the data filling procedure.</t>
    </r>
  </si>
  <si>
    <t>LearningOutcome.relatedESCOSkill#2.targetFrameworkURI.NestedProperty.</t>
  </si>
  <si>
    <t>LearningOutcome.relatedESCOSkill#3.targetFrameworkURI.NestedProperty.</t>
  </si>
  <si>
    <t>LearningOutcome.relatedSkill#2.targetResource.NestedProperty.</t>
  </si>
  <si>
    <t>LearningOutcome.relatedSkill#3.targetResource.NestedProperty.</t>
  </si>
  <si>
    <r>
      <t xml:space="preserve">(1) Credential Title; (2) Credential type; (3) Valid from date; (4) Full name of recipient; (5) e-mail </t>
    </r>
    <r>
      <rPr>
        <b/>
        <u/>
        <sz val="11"/>
        <color theme="1"/>
        <rFont val="Calibri"/>
        <family val="2"/>
        <scheme val="minor"/>
      </rPr>
      <t>or</t>
    </r>
    <r>
      <rPr>
        <sz val="11"/>
        <color theme="1"/>
        <rFont val="Calibri"/>
        <family val="2"/>
        <scheme val="minor"/>
      </rPr>
      <t xml:space="preserve"> wallet address of recipient; (6) Identification of issuing organisation.</t>
    </r>
  </si>
  <si>
    <t>Column1410</t>
  </si>
  <si>
    <t>Entitlement.specifiedBy.supplementaryDocument#1</t>
  </si>
  <si>
    <t>Other Web Document describing the entitlement specification</t>
  </si>
  <si>
    <t>has completed the "Data and Software business" Masters level course run by information and knowledge management unit of Tampere University. The course gives an overview of data and software business. The learners work individually and together on developing a minimum viable product (MVP) for a new software start-up.</t>
  </si>
  <si>
    <t>Data and Software Business module</t>
  </si>
  <si>
    <t>Jane1</t>
  </si>
  <si>
    <t>Doe1</t>
  </si>
  <si>
    <t>Doe2</t>
  </si>
  <si>
    <t>Tampere University Foundation sr</t>
  </si>
  <si>
    <t>Tampere University</t>
  </si>
  <si>
    <t>FI-12345678</t>
  </si>
  <si>
    <t>https://upload.wikimedia.org/wikipedia/commons/2/2f/Tampere_University_logo.png</t>
  </si>
  <si>
    <t>https://www.tuni.fi/en/about-us/tampere-university</t>
  </si>
  <si>
    <t>Tampere</t>
  </si>
  <si>
    <t>Data and Software Business</t>
  </si>
  <si>
    <t>Overall grade</t>
  </si>
  <si>
    <t>Individual exercise; course exercise; zoom lectures</t>
  </si>
  <si>
    <t>Basics of Data and software business</t>
  </si>
  <si>
    <t>Monetizing Data and Software Business</t>
  </si>
  <si>
    <t>Collaboratively develop a data or software concept</t>
  </si>
  <si>
    <t>Student understands the basic principles of data and software business, and the special characteristics of software industry</t>
  </si>
  <si>
    <t>He/she can critically analyse how it is possible to monetize with data and software</t>
  </si>
  <si>
    <t>He/she can analyze the feasibility of software business models. Student can apply theoretical knowledge and understanding of the data and software business characteristics to collaboratively create a solid lean canvas model for a software start-up.</t>
  </si>
  <si>
    <t>http://data.europa.eu/esco/skill/09e28145-e205-4b7a-8b3b-5c4876396069</t>
  </si>
  <si>
    <t>Basics of Data and software business; Monetizing Data and Software Business; Collaboratively develop a data or software concept</t>
  </si>
  <si>
    <t>Individual exercise</t>
  </si>
  <si>
    <t>The individual exercise is a written task that has two parts: 1. Choose 1 main lecture topic to focus on 2. Choose 2 guest lectures to focus on-Access the documentation in Moodle and answer the according questions in your own time (by the 5th of October) -Each task requires some self-learning, such as finding suitable examples for typical revenue streams and so on. -Return your answers in one document and upload to Moodle (note. Plagiarism tested automatically). The individual assignment accounts for 40% of the final grade.</t>
  </si>
  <si>
    <t>http://data.europa.eu/esco/skill/60c78287-22eb-4103-9c8c-28deaa460da1</t>
  </si>
  <si>
    <t>http://data.europa.eu/esco/skill/c624c6a3-b0ba-4a31-a296-0d433fe47e42</t>
  </si>
  <si>
    <t>http://data.europa.eu/esco/skill/943d07ec-fb75-4bb5-bc07-20451a2b66e5</t>
  </si>
  <si>
    <t>http://data.europa.eu/esco/skill/7dd94ad3-13d6-43fe-8b94-51fcbf67ced10</t>
  </si>
  <si>
    <t>http://data.europa.eu/esco/skill/27ed854c-15b8-4ba2-90e9-ae888a219704</t>
  </si>
  <si>
    <t>http://data.europa.eu/esco/skill/fcb2b5f4-3a64-42f2-987a-073bea986105</t>
  </si>
  <si>
    <t>Course exercise</t>
  </si>
  <si>
    <t>Minimum viable product (MVP) –Concept to explore product-market fit. Students will Identify the topic area of their MVP (Data-, platform-, product-Or service business), sketch their MVP (Use lean business model canvas), present and then report on their MVP. 3-5 people, 4 weeks remote collaboration, pitching of MVPs in a final event together with Business Tampere and Start-up centre Tribe. The course exercise accounts for 60% of the final grade</t>
  </si>
  <si>
    <t>Zoom lectures</t>
  </si>
  <si>
    <t>includes both basic lectures on data and software business and guest lectures by companies.</t>
  </si>
  <si>
    <t>Jane1.doe1@test.edu</t>
  </si>
  <si>
    <t>Jane2</t>
  </si>
  <si>
    <t>jane2.doe2@test.edu</t>
  </si>
  <si>
    <t>Doe3</t>
  </si>
  <si>
    <t>John3</t>
  </si>
  <si>
    <t>John4</t>
  </si>
  <si>
    <t>Doe4</t>
  </si>
  <si>
    <t>john3.doe3@rtest.edu</t>
  </si>
  <si>
    <t>john4.doe4@test.edu</t>
  </si>
  <si>
    <t>Individual exercise; Course exercise; Zoom lectures</t>
  </si>
  <si>
    <t>Individual assignment1</t>
  </si>
  <si>
    <t>Individual assignment2</t>
  </si>
  <si>
    <t>Project assignment</t>
  </si>
  <si>
    <t>Individual assignment1; Individual assignment2; Project assignment</t>
  </si>
  <si>
    <t>ECTS</t>
  </si>
  <si>
    <t>Date and place of Issue: Tampere</t>
  </si>
  <si>
    <t>x94476556</t>
  </si>
  <si>
    <t>x28978975</t>
  </si>
  <si>
    <t>x8560321765</t>
  </si>
  <si>
    <t>x57658326225</t>
  </si>
  <si>
    <t>Student identification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</si>
</sst>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 mmmm\ yyyy;@" x16r2:formatCode16="[$-en-BE,1]d\ mmmm\ yyyy;@"/>
    <numFmt numFmtId="166" formatCode="dd/mm/yyyy"/>
  </numFmts>
  <fonts count="32">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i/>
      <sz val="8"/>
      <color theme="1"/>
      <name val="Calibri"/>
      <family val="2"/>
      <scheme val="minor"/>
    </font>
    <font>
      <b/>
      <u/>
      <sz val="11"/>
      <color theme="10"/>
      <name val="Calibri"/>
      <family val="2"/>
      <scheme val="minor"/>
    </font>
    <font>
      <sz val="11"/>
      <color indexed="8"/>
      <name val="Calibri"/>
      <family val="2"/>
      <charset val="1"/>
    </font>
    <font>
      <sz val="11"/>
      <color theme="1"/>
      <name val="Calibri"/>
      <family val="2"/>
      <charset val="238"/>
    </font>
    <font>
      <sz val="11"/>
      <color theme="1"/>
      <name val="Calibri"/>
      <family val="2"/>
    </font>
    <font>
      <b/>
      <sz val="11"/>
      <color rgb="FFFF0000"/>
      <name val="Calibri"/>
      <family val="2"/>
    </font>
    <font>
      <sz val="8"/>
      <color theme="1"/>
      <name val="Calibri"/>
      <family val="2"/>
    </font>
    <font>
      <b/>
      <sz val="11"/>
      <color theme="1"/>
      <name val="Calibri"/>
      <family val="2"/>
    </font>
    <font>
      <sz val="11"/>
      <name val="Calibri"/>
      <scheme val="minor"/>
    </font>
    <font>
      <u/>
      <sz val="11"/>
      <color rgb="FF0000FF"/>
      <name val="Calibri"/>
      <scheme val="minor"/>
    </font>
  </fonts>
  <fills count="1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s>
  <borders count="34">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diagonal/>
    </border>
    <border>
      <left style="thin">
        <color indexed="64"/>
      </left>
      <right/>
      <top/>
      <bottom/>
      <diagonal/>
    </border>
    <border>
      <left/>
      <right style="thin">
        <color indexed="64"/>
      </right>
      <top style="thin">
        <color indexed="64"/>
      </top>
      <bottom style="medium">
        <color indexed="64"/>
      </bottom>
      <diagonal/>
    </border>
    <border>
      <left style="medium">
        <color rgb="FFE5E0C6"/>
      </left>
      <right style="medium">
        <color rgb="FFE5E0C6"/>
      </right>
      <top style="medium">
        <color rgb="FFE5E0C6"/>
      </top>
      <bottom style="medium">
        <color rgb="FFE5E0C6"/>
      </bottom>
      <diagonal/>
    </border>
  </borders>
  <cellStyleXfs count="6">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xf numFmtId="0" fontId="24" fillId="0" borderId="0"/>
    <xf numFmtId="0" fontId="10" fillId="0" borderId="0"/>
  </cellStyleXfs>
  <cellXfs count="342">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7" borderId="8" xfId="0" applyFont="1" applyFill="1" applyBorder="1"/>
    <xf numFmtId="0" fontId="0" fillId="0" borderId="7" xfId="0" applyFont="1" applyBorder="1"/>
    <xf numFmtId="0" fontId="0" fillId="0" borderId="8" xfId="0" applyFont="1" applyBorder="1"/>
    <xf numFmtId="0" fontId="0" fillId="0" borderId="9" xfId="0" applyFont="1" applyBorder="1"/>
    <xf numFmtId="0" fontId="0" fillId="7" borderId="7" xfId="0" applyFont="1" applyFill="1" applyBorder="1"/>
    <xf numFmtId="0" fontId="0" fillId="7" borderId="9" xfId="0" applyFont="1" applyFill="1" applyBorder="1"/>
    <xf numFmtId="0" fontId="0" fillId="0" borderId="10" xfId="0" applyFont="1" applyBorder="1"/>
    <xf numFmtId="0" fontId="0" fillId="0" borderId="11" xfId="0" applyFont="1" applyBorder="1"/>
    <xf numFmtId="0" fontId="0" fillId="0" borderId="12" xfId="0" applyFont="1" applyBorder="1"/>
    <xf numFmtId="0" fontId="0" fillId="7" borderId="13" xfId="0" applyFont="1" applyFill="1" applyBorder="1"/>
    <xf numFmtId="0" fontId="0" fillId="7" borderId="14" xfId="0" applyFont="1" applyFill="1" applyBorder="1" applyAlignment="1">
      <alignment horizontal="left" vertical="top"/>
    </xf>
    <xf numFmtId="0" fontId="0" fillId="7" borderId="14" xfId="0" applyFont="1" applyFill="1" applyBorder="1"/>
    <xf numFmtId="0" fontId="0" fillId="0" borderId="13" xfId="0" applyFont="1" applyBorder="1"/>
    <xf numFmtId="0" fontId="0" fillId="0" borderId="14" xfId="0" applyFont="1" applyBorder="1"/>
    <xf numFmtId="0" fontId="0" fillId="0" borderId="15" xfId="0" applyFont="1" applyBorder="1"/>
    <xf numFmtId="0" fontId="0" fillId="8" borderId="16" xfId="0" applyFont="1" applyFill="1" applyBorder="1"/>
    <xf numFmtId="0" fontId="0" fillId="8" borderId="17" xfId="0" applyFont="1" applyFill="1" applyBorder="1"/>
    <xf numFmtId="0" fontId="6" fillId="8" borderId="18" xfId="2" applyFont="1" applyFill="1" applyBorder="1"/>
    <xf numFmtId="0" fontId="0" fillId="0" borderId="16" xfId="0" applyFont="1" applyBorder="1"/>
    <xf numFmtId="0" fontId="0" fillId="0" borderId="17" xfId="0" applyFont="1" applyBorder="1"/>
    <xf numFmtId="0" fontId="0" fillId="0" borderId="18" xfId="0" applyFont="1" applyBorder="1"/>
    <xf numFmtId="0" fontId="0" fillId="8" borderId="18" xfId="0" applyFont="1" applyFill="1" applyBorder="1"/>
    <xf numFmtId="0" fontId="0" fillId="7" borderId="14" xfId="3" applyNumberFormat="1" applyFont="1" applyFill="1" applyBorder="1" applyAlignment="1"/>
    <xf numFmtId="0" fontId="0" fillId="7" borderId="15" xfId="0" applyFont="1" applyFill="1" applyBorder="1"/>
    <xf numFmtId="0" fontId="0" fillId="0" borderId="14" xfId="3" applyNumberFormat="1" applyFont="1" applyBorder="1" applyAlignment="1"/>
    <xf numFmtId="0" fontId="0" fillId="7" borderId="8" xfId="3" applyNumberFormat="1" applyFont="1" applyFill="1" applyBorder="1" applyAlignment="1"/>
    <xf numFmtId="0" fontId="0" fillId="0" borderId="14" xfId="0" applyFont="1" applyBorder="1" applyAlignment="1">
      <alignment horizontal="left" vertical="top"/>
    </xf>
    <xf numFmtId="0" fontId="0" fillId="0" borderId="8" xfId="0" applyFont="1" applyBorder="1" applyAlignment="1">
      <alignment horizontal="left" vertical="top"/>
    </xf>
    <xf numFmtId="0" fontId="0" fillId="8" borderId="16" xfId="0" applyFont="1" applyFill="1" applyBorder="1" applyAlignment="1">
      <alignment horizontal="left" vertical="top"/>
    </xf>
    <xf numFmtId="0" fontId="0" fillId="8" borderId="17" xfId="0" applyFont="1" applyFill="1" applyBorder="1" applyAlignment="1">
      <alignment horizontal="left" vertical="top"/>
    </xf>
    <xf numFmtId="0" fontId="0" fillId="8" borderId="18" xfId="0" applyFont="1" applyFill="1" applyBorder="1" applyAlignment="1">
      <alignment vertical="top" wrapText="1"/>
    </xf>
    <xf numFmtId="0" fontId="0" fillId="0" borderId="10" xfId="0" applyFont="1" applyBorder="1" applyAlignment="1">
      <alignment horizontal="left" vertical="top"/>
    </xf>
    <xf numFmtId="0" fontId="0" fillId="0" borderId="11" xfId="0" applyFont="1" applyBorder="1" applyAlignment="1">
      <alignment horizontal="left" vertical="top"/>
    </xf>
    <xf numFmtId="0" fontId="0" fillId="0" borderId="12" xfId="0" applyFont="1" applyBorder="1" applyAlignment="1">
      <alignment wrapText="1"/>
    </xf>
    <xf numFmtId="0" fontId="5" fillId="3" borderId="0" xfId="0" applyNumberFormat="1" applyFont="1" applyFill="1" applyBorder="1" applyAlignment="1" applyProtection="1">
      <alignment vertical="top" wrapText="1"/>
    </xf>
    <xf numFmtId="0" fontId="6" fillId="0" borderId="15" xfId="2" applyBorder="1"/>
    <xf numFmtId="0" fontId="5" fillId="3" borderId="19"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5"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5"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0" fillId="0" borderId="0" xfId="0" applyAlignment="1">
      <alignment vertical="center"/>
    </xf>
    <xf numFmtId="0" fontId="17"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2" fillId="0" borderId="23" xfId="0" applyFont="1" applyBorder="1" applyAlignment="1">
      <alignment vertical="center" wrapText="1"/>
    </xf>
    <xf numFmtId="0" fontId="2" fillId="0" borderId="22" xfId="0" applyFont="1" applyBorder="1" applyAlignment="1">
      <alignment vertical="center" wrapText="1"/>
    </xf>
    <xf numFmtId="0" fontId="0" fillId="0" borderId="0" xfId="0" applyFont="1" applyAlignment="1" applyProtection="1">
      <alignment vertical="center" wrapText="1"/>
    </xf>
    <xf numFmtId="0" fontId="0" fillId="0" borderId="22"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4" xfId="0" applyNumberFormat="1" applyFont="1" applyFill="1" applyBorder="1" applyAlignment="1" applyProtection="1">
      <alignment vertical="center" wrapText="1"/>
    </xf>
    <xf numFmtId="0" fontId="0" fillId="0" borderId="22" xfId="0" applyBorder="1" applyAlignment="1" applyProtection="1">
      <alignment vertical="center" wrapText="1"/>
      <protection locked="0"/>
    </xf>
    <xf numFmtId="0" fontId="0" fillId="0" borderId="0" xfId="0" applyBorder="1" applyAlignment="1" applyProtection="1">
      <alignment vertical="center" wrapText="1"/>
    </xf>
    <xf numFmtId="0" fontId="0" fillId="0" borderId="22"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19" xfId="0" applyFont="1" applyFill="1" applyBorder="1" applyAlignment="1">
      <alignment vertical="center" wrapText="1"/>
    </xf>
    <xf numFmtId="0" fontId="2" fillId="0" borderId="0" xfId="0" applyFont="1" applyFill="1" applyAlignment="1">
      <alignment vertical="center" wrapText="1"/>
    </xf>
    <xf numFmtId="0" fontId="2" fillId="0" borderId="19"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19"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0"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19" xfId="0" applyBorder="1" applyAlignment="1">
      <alignment vertical="center" wrapText="1"/>
    </xf>
    <xf numFmtId="0" fontId="0" fillId="0" borderId="19" xfId="0" applyNumberFormat="1" applyBorder="1" applyAlignment="1" applyProtection="1">
      <alignment vertical="center" wrapText="1"/>
      <protection locked="0"/>
    </xf>
    <xf numFmtId="0" fontId="0" fillId="0" borderId="19"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19" xfId="0" applyFont="1" applyBorder="1" applyAlignment="1">
      <alignment horizontal="left" vertical="center"/>
    </xf>
    <xf numFmtId="0" fontId="5" fillId="3" borderId="19" xfId="0" applyNumberFormat="1" applyFont="1" applyFill="1" applyBorder="1" applyAlignment="1" applyProtection="1">
      <alignment horizontal="left" vertical="top" wrapText="1"/>
    </xf>
    <xf numFmtId="0" fontId="5" fillId="3" borderId="20" xfId="0" applyNumberFormat="1" applyFont="1" applyFill="1" applyBorder="1" applyAlignment="1" applyProtection="1">
      <alignment horizontal="left" vertical="center" wrapText="1"/>
    </xf>
    <xf numFmtId="0" fontId="0" fillId="0" borderId="19" xfId="0" applyBorder="1" applyAlignment="1">
      <alignment horizontal="left" vertical="center" wrapText="1"/>
    </xf>
    <xf numFmtId="14" fontId="0" fillId="0" borderId="0" xfId="0" applyNumberFormat="1" applyAlignment="1" applyProtection="1">
      <alignment vertical="center" wrapText="1"/>
    </xf>
    <xf numFmtId="0" fontId="6" fillId="7" borderId="9" xfId="2" applyFill="1" applyBorder="1"/>
    <xf numFmtId="0" fontId="5" fillId="3" borderId="22"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1" borderId="6" xfId="0" applyFont="1" applyFill="1" applyBorder="1" applyAlignment="1" applyProtection="1">
      <alignment vertical="center" wrapText="1"/>
      <protection locked="0"/>
    </xf>
    <xf numFmtId="14" fontId="0" fillId="11" borderId="6" xfId="0" applyNumberFormat="1" applyFont="1" applyFill="1" applyBorder="1" applyAlignment="1" applyProtection="1">
      <alignment vertical="center" wrapText="1"/>
      <protection locked="0"/>
    </xf>
    <xf numFmtId="0" fontId="0" fillId="10" borderId="0" xfId="0" applyFont="1" applyFill="1" applyBorder="1" applyAlignment="1" applyProtection="1">
      <alignment vertical="center" wrapText="1"/>
      <protection locked="0"/>
    </xf>
    <xf numFmtId="0" fontId="0" fillId="10" borderId="0" xfId="0" applyFont="1" applyFill="1" applyBorder="1" applyAlignment="1" applyProtection="1">
      <alignment vertical="center" wrapText="1"/>
    </xf>
    <xf numFmtId="0" fontId="0" fillId="10" borderId="0" xfId="0" applyFont="1" applyFill="1" applyAlignment="1" applyProtection="1">
      <alignment vertical="center" wrapText="1"/>
      <protection locked="0"/>
    </xf>
    <xf numFmtId="0" fontId="0" fillId="10" borderId="0" xfId="0" applyFont="1" applyFill="1" applyAlignment="1">
      <alignment vertical="center" wrapText="1"/>
    </xf>
    <xf numFmtId="0" fontId="0" fillId="11" borderId="6"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5" fillId="0" borderId="0" xfId="0" applyFont="1" applyAlignment="1" applyProtection="1">
      <alignment vertical="center" wrapText="1"/>
    </xf>
    <xf numFmtId="0" fontId="11" fillId="0" borderId="19" xfId="1" applyFont="1" applyFill="1" applyBorder="1" applyAlignment="1" applyProtection="1">
      <alignment horizontal="left" vertical="center" wrapText="1"/>
      <protection locked="0"/>
    </xf>
    <xf numFmtId="0" fontId="9" fillId="12" borderId="0" xfId="0" applyFont="1" applyFill="1"/>
    <xf numFmtId="0" fontId="9" fillId="12" borderId="2" xfId="0" applyFont="1" applyFill="1" applyBorder="1" applyAlignment="1" applyProtection="1">
      <alignment vertical="top" wrapText="1"/>
    </xf>
    <xf numFmtId="0" fontId="9" fillId="12" borderId="2" xfId="0" applyNumberFormat="1" applyFont="1" applyFill="1" applyBorder="1" applyAlignment="1" applyProtection="1">
      <alignment horizontal="lef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5" fillId="0" borderId="0" xfId="1" applyFont="1" applyFill="1" applyBorder="1" applyAlignment="1">
      <alignment vertical="center" wrapText="1"/>
    </xf>
    <xf numFmtId="0" fontId="15" fillId="0" borderId="0" xfId="1" applyFont="1" applyFill="1" applyAlignment="1">
      <alignment vertical="center" wrapText="1"/>
    </xf>
    <xf numFmtId="0" fontId="11" fillId="0" borderId="0" xfId="1" applyFont="1" applyFill="1" applyAlignment="1">
      <alignment vertical="center" wrapText="1"/>
    </xf>
    <xf numFmtId="0" fontId="0" fillId="12" borderId="0" xfId="0" applyFill="1"/>
    <xf numFmtId="0" fontId="0" fillId="9" borderId="0" xfId="0" applyFont="1" applyFill="1" applyAlignment="1" applyProtection="1">
      <alignment vertical="center" wrapText="1"/>
    </xf>
    <xf numFmtId="14" fontId="0" fillId="10" borderId="0" xfId="0" applyNumberFormat="1" applyFont="1" applyFill="1" applyAlignment="1">
      <alignment vertical="center" wrapText="1"/>
    </xf>
    <xf numFmtId="0" fontId="0" fillId="9" borderId="22" xfId="0" applyFont="1" applyFill="1" applyBorder="1" applyAlignment="1" applyProtection="1">
      <alignment vertical="center" wrapText="1"/>
    </xf>
    <xf numFmtId="14" fontId="0" fillId="1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6" fillId="10" borderId="0" xfId="2" applyFont="1" applyFill="1" applyBorder="1" applyAlignment="1" applyProtection="1">
      <alignment vertical="center" wrapText="1"/>
    </xf>
    <xf numFmtId="0" fontId="0" fillId="0" borderId="0" xfId="0" applyFont="1" applyAlignment="1">
      <alignment vertical="center"/>
    </xf>
    <xf numFmtId="0" fontId="0" fillId="9" borderId="19" xfId="0" applyFont="1" applyFill="1" applyBorder="1" applyAlignment="1" applyProtection="1">
      <alignment horizontal="left" vertical="center" wrapText="1"/>
    </xf>
    <xf numFmtId="0" fontId="0" fillId="9" borderId="19" xfId="0" applyFont="1" applyFill="1" applyBorder="1" applyAlignment="1" applyProtection="1">
      <alignment vertical="center" wrapText="1"/>
    </xf>
    <xf numFmtId="0" fontId="0" fillId="0" borderId="0" xfId="0" applyFont="1" applyFill="1" applyAlignment="1">
      <alignment vertical="center" wrapText="1"/>
    </xf>
    <xf numFmtId="0" fontId="21" fillId="0" borderId="0" xfId="0" applyFont="1" applyAlignment="1" applyProtection="1">
      <alignment vertical="center" wrapText="1"/>
    </xf>
    <xf numFmtId="14" fontId="0" fillId="10" borderId="0" xfId="0" applyNumberFormat="1" applyFont="1" applyFill="1" applyAlignment="1" applyProtection="1">
      <alignment vertical="center" wrapText="1"/>
      <protection locked="0"/>
    </xf>
    <xf numFmtId="0" fontId="5" fillId="3" borderId="28" xfId="0" applyFont="1" applyFill="1" applyBorder="1" applyAlignment="1" applyProtection="1">
      <alignment vertical="top" wrapText="1"/>
    </xf>
    <xf numFmtId="0" fontId="5" fillId="3" borderId="29" xfId="0" applyNumberFormat="1" applyFont="1" applyFill="1" applyBorder="1" applyAlignment="1" applyProtection="1">
      <alignment vertical="top" wrapText="1"/>
    </xf>
    <xf numFmtId="0" fontId="2" fillId="3" borderId="23" xfId="0" applyNumberFormat="1" applyFont="1" applyFill="1" applyBorder="1" applyAlignment="1" applyProtection="1">
      <alignment vertical="top" wrapText="1"/>
    </xf>
    <xf numFmtId="0" fontId="2" fillId="3" borderId="23" xfId="0" applyFont="1" applyFill="1" applyBorder="1" applyAlignment="1">
      <alignment vertical="top" wrapText="1"/>
    </xf>
    <xf numFmtId="0" fontId="0" fillId="4" borderId="22" xfId="0" applyFill="1" applyBorder="1" applyAlignment="1">
      <alignment vertical="center" wrapText="1"/>
    </xf>
    <xf numFmtId="0" fontId="0" fillId="13" borderId="0" xfId="0" applyFill="1" applyBorder="1" applyAlignment="1">
      <alignment vertical="center" wrapText="1"/>
    </xf>
    <xf numFmtId="0" fontId="2" fillId="13" borderId="2" xfId="0" applyFont="1" applyFill="1" applyBorder="1" applyAlignment="1">
      <alignment vertical="top" wrapText="1"/>
    </xf>
    <xf numFmtId="0" fontId="0" fillId="12" borderId="0" xfId="0" applyFill="1" applyAlignment="1" applyProtection="1">
      <alignment vertical="center" wrapText="1"/>
      <protection locked="0"/>
    </xf>
    <xf numFmtId="14" fontId="0" fillId="12" borderId="0" xfId="0" applyNumberFormat="1" applyFill="1" applyAlignment="1" applyProtection="1">
      <alignment vertical="center" wrapText="1"/>
      <protection locked="0"/>
    </xf>
    <xf numFmtId="0" fontId="6" fillId="12" borderId="0" xfId="2" applyFill="1" applyAlignment="1" applyProtection="1">
      <alignment vertical="center" wrapText="1"/>
      <protection locked="0"/>
    </xf>
    <xf numFmtId="0" fontId="5" fillId="3" borderId="28" xfId="0" applyFont="1" applyFill="1" applyBorder="1" applyAlignment="1">
      <alignment vertical="top" wrapText="1"/>
    </xf>
    <xf numFmtId="0" fontId="5" fillId="3" borderId="29" xfId="0" applyFont="1" applyFill="1" applyBorder="1" applyAlignment="1">
      <alignment vertical="top" wrapText="1"/>
    </xf>
    <xf numFmtId="0" fontId="6" fillId="8" borderId="18" xfId="2" applyFill="1" applyBorder="1"/>
    <xf numFmtId="0" fontId="6" fillId="7" borderId="14" xfId="2" applyFill="1" applyBorder="1"/>
    <xf numFmtId="0" fontId="6" fillId="7" borderId="15" xfId="2" applyFill="1" applyBorder="1"/>
    <xf numFmtId="0" fontId="0" fillId="0" borderId="0" xfId="0" applyAlignment="1">
      <alignment wrapText="1"/>
    </xf>
    <xf numFmtId="0" fontId="0" fillId="0" borderId="7" xfId="0" applyFont="1" applyBorder="1" applyAlignment="1">
      <alignment wrapText="1"/>
    </xf>
    <xf numFmtId="0" fontId="6" fillId="0" borderId="9" xfId="2" applyBorder="1"/>
    <xf numFmtId="0" fontId="0" fillId="0" borderId="13" xfId="0" applyFont="1" applyBorder="1" applyAlignment="1"/>
    <xf numFmtId="0" fontId="0" fillId="8" borderId="17" xfId="0" applyFont="1" applyFill="1" applyBorder="1" applyAlignment="1">
      <alignment horizontal="left"/>
    </xf>
    <xf numFmtId="0" fontId="0" fillId="0" borderId="17" xfId="0" applyFont="1" applyBorder="1" applyAlignment="1">
      <alignment horizontal="left"/>
    </xf>
    <xf numFmtId="0" fontId="0" fillId="0" borderId="11" xfId="0" applyFont="1" applyBorder="1" applyAlignment="1">
      <alignment horizontal="left"/>
    </xf>
    <xf numFmtId="0" fontId="6" fillId="0" borderId="18" xfId="2" applyBorder="1"/>
    <xf numFmtId="0" fontId="6" fillId="0" borderId="12" xfId="2" applyBorder="1"/>
    <xf numFmtId="0" fontId="0" fillId="14" borderId="0" xfId="0" applyFill="1"/>
    <xf numFmtId="0" fontId="2" fillId="14" borderId="0" xfId="0" applyNumberFormat="1" applyFont="1" applyFill="1" applyAlignment="1" applyProtection="1">
      <alignment vertical="top" wrapText="1"/>
    </xf>
    <xf numFmtId="0" fontId="0" fillId="14" borderId="0" xfId="0" applyFill="1" applyAlignment="1" applyProtection="1">
      <alignment vertical="center" wrapText="1"/>
      <protection locked="0"/>
    </xf>
    <xf numFmtId="0" fontId="2" fillId="14" borderId="2" xfId="0" applyFont="1" applyFill="1" applyBorder="1" applyAlignment="1">
      <alignment vertical="top" wrapText="1"/>
    </xf>
    <xf numFmtId="0" fontId="0" fillId="14" borderId="0" xfId="0" applyFill="1" applyBorder="1" applyAlignment="1" applyProtection="1">
      <alignment vertical="center" wrapText="1"/>
      <protection locked="0"/>
    </xf>
    <xf numFmtId="0" fontId="0" fillId="0" borderId="14" xfId="0" applyFont="1" applyFill="1" applyBorder="1"/>
    <xf numFmtId="0" fontId="0" fillId="0" borderId="13" xfId="0" applyFont="1" applyFill="1" applyBorder="1"/>
    <xf numFmtId="0" fontId="6" fillId="0" borderId="15" xfId="2" applyFont="1" applyFill="1" applyBorder="1"/>
    <xf numFmtId="0" fontId="6" fillId="0" borderId="15" xfId="2" applyFill="1" applyBorder="1"/>
    <xf numFmtId="0" fontId="0" fillId="0" borderId="15" xfId="0" applyFont="1" applyFill="1" applyBorder="1"/>
    <xf numFmtId="0" fontId="0" fillId="0" borderId="8" xfId="0" applyFont="1" applyFill="1" applyBorder="1"/>
    <xf numFmtId="0" fontId="0" fillId="0" borderId="7" xfId="0" applyFont="1" applyFill="1" applyBorder="1"/>
    <xf numFmtId="0" fontId="0" fillId="0" borderId="9" xfId="0" applyFont="1" applyFill="1" applyBorder="1"/>
    <xf numFmtId="0" fontId="0" fillId="10"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49" fontId="0" fillId="7" borderId="14" xfId="3" applyNumberFormat="1" applyFont="1" applyFill="1" applyBorder="1" applyAlignment="1"/>
    <xf numFmtId="165" fontId="2" fillId="0" borderId="0" xfId="0" applyNumberFormat="1" applyFont="1" applyAlignment="1">
      <alignment horizontal="left"/>
    </xf>
    <xf numFmtId="0" fontId="0" fillId="10" borderId="0" xfId="0" applyFill="1"/>
    <xf numFmtId="0" fontId="5" fillId="3" borderId="28" xfId="0" applyNumberFormat="1" applyFont="1" applyFill="1" applyBorder="1" applyAlignment="1" applyProtection="1">
      <alignment horizontal="center" vertical="top" wrapText="1"/>
    </xf>
    <xf numFmtId="0" fontId="5" fillId="3" borderId="29" xfId="0" applyFont="1" applyFill="1" applyBorder="1" applyAlignment="1" applyProtection="1">
      <alignment horizontal="center" vertical="top" wrapText="1"/>
    </xf>
    <xf numFmtId="0" fontId="9" fillId="12" borderId="2" xfId="0" applyFont="1" applyFill="1" applyBorder="1" applyAlignment="1">
      <alignment vertical="top" wrapText="1"/>
    </xf>
    <xf numFmtId="0" fontId="11" fillId="0" borderId="19" xfId="1" applyFont="1" applyFill="1" applyBorder="1" applyAlignment="1">
      <alignment horizontal="left" vertical="center" wrapText="1"/>
    </xf>
    <xf numFmtId="0" fontId="15" fillId="0" borderId="19" xfId="1" applyFont="1" applyFill="1" applyBorder="1" applyAlignment="1" applyProtection="1">
      <alignment horizontal="left" vertical="center" wrapText="1"/>
    </xf>
    <xf numFmtId="0" fontId="15" fillId="0" borderId="19" xfId="1" applyFont="1" applyFill="1" applyBorder="1" applyAlignment="1">
      <alignment horizontal="left" vertical="center" wrapText="1"/>
    </xf>
    <xf numFmtId="0" fontId="2" fillId="3" borderId="19" xfId="0" applyNumberFormat="1" applyFont="1" applyFill="1" applyBorder="1" applyAlignment="1" applyProtection="1">
      <alignment vertical="top" wrapText="1"/>
    </xf>
    <xf numFmtId="0" fontId="0" fillId="0" borderId="21" xfId="0" applyFill="1" applyBorder="1" applyAlignment="1">
      <alignment vertical="center" wrapText="1"/>
    </xf>
    <xf numFmtId="0" fontId="2" fillId="0" borderId="4" xfId="0" applyFont="1" applyBorder="1" applyAlignment="1" applyProtection="1">
      <alignment vertical="center" wrapText="1"/>
    </xf>
    <xf numFmtId="0" fontId="2" fillId="0" borderId="4" xfId="0" applyFont="1" applyFill="1" applyBorder="1" applyAlignment="1">
      <alignment vertical="center" wrapText="1"/>
    </xf>
    <xf numFmtId="0" fontId="0" fillId="0" borderId="4" xfId="0" applyFill="1" applyBorder="1" applyAlignment="1">
      <alignment vertical="center" wrapText="1"/>
    </xf>
    <xf numFmtId="0" fontId="2" fillId="3" borderId="0" xfId="0" applyNumberFormat="1" applyFont="1" applyFill="1" applyBorder="1" applyAlignment="1" applyProtection="1">
      <alignment vertical="top" wrapText="1"/>
    </xf>
    <xf numFmtId="0" fontId="2" fillId="3" borderId="19" xfId="0" applyNumberFormat="1" applyFont="1" applyFill="1" applyBorder="1" applyAlignment="1" applyProtection="1">
      <alignment horizontal="left" vertical="top" wrapText="1"/>
    </xf>
    <xf numFmtId="0" fontId="2" fillId="3" borderId="0" xfId="0" applyFont="1" applyFill="1" applyBorder="1" applyAlignment="1" applyProtection="1">
      <alignment vertical="top" wrapText="1"/>
    </xf>
    <xf numFmtId="0" fontId="2" fillId="0" borderId="21" xfId="0" applyFont="1" applyBorder="1" applyAlignment="1" applyProtection="1">
      <alignment vertical="center" wrapText="1"/>
    </xf>
    <xf numFmtId="0" fontId="18" fillId="0" borderId="0" xfId="0" applyFont="1" applyAlignment="1">
      <alignment vertical="center"/>
    </xf>
    <xf numFmtId="0" fontId="2" fillId="0" borderId="19" xfId="0" applyFont="1" applyBorder="1" applyAlignment="1">
      <alignment vertical="center" wrapText="1"/>
    </xf>
    <xf numFmtId="0" fontId="2" fillId="3" borderId="30" xfId="0" applyFont="1" applyFill="1" applyBorder="1" applyAlignment="1">
      <alignment vertical="top" wrapText="1"/>
    </xf>
    <xf numFmtId="0" fontId="0" fillId="3" borderId="20" xfId="0" applyFill="1" applyBorder="1" applyAlignment="1" applyProtection="1">
      <alignment vertical="center" wrapText="1"/>
    </xf>
    <xf numFmtId="0" fontId="0" fillId="10" borderId="19" xfId="0" applyFont="1" applyFill="1" applyBorder="1" applyAlignment="1" applyProtection="1">
      <alignment vertical="center" wrapText="1"/>
      <protection locked="0"/>
    </xf>
    <xf numFmtId="0" fontId="11" fillId="6" borderId="19" xfId="0" applyFont="1" applyFill="1" applyBorder="1" applyAlignment="1">
      <alignment vertical="center"/>
    </xf>
    <xf numFmtId="0" fontId="0" fillId="0" borderId="19" xfId="0" applyBorder="1" applyAlignment="1" applyProtection="1">
      <alignment vertical="center" wrapText="1"/>
    </xf>
    <xf numFmtId="0" fontId="23" fillId="3" borderId="2" xfId="2" applyFont="1" applyFill="1" applyBorder="1" applyAlignment="1" applyProtection="1">
      <alignment vertical="top" wrapText="1"/>
    </xf>
    <xf numFmtId="0" fontId="2" fillId="3" borderId="26" xfId="0" applyNumberFormat="1" applyFont="1" applyFill="1" applyBorder="1" applyAlignment="1" applyProtection="1">
      <alignment vertical="top" wrapText="1"/>
    </xf>
    <xf numFmtId="0" fontId="2" fillId="3" borderId="27" xfId="0" applyNumberFormat="1" applyFont="1" applyFill="1" applyBorder="1" applyAlignment="1" applyProtection="1">
      <alignment vertical="top" wrapText="1"/>
    </xf>
    <xf numFmtId="0" fontId="5" fillId="3" borderId="28" xfId="0" applyNumberFormat="1" applyFont="1" applyFill="1" applyBorder="1" applyAlignment="1" applyProtection="1">
      <alignment vertical="top" wrapText="1"/>
    </xf>
    <xf numFmtId="0" fontId="2" fillId="3" borderId="26" xfId="0" applyFont="1" applyFill="1" applyBorder="1" applyAlignment="1">
      <alignment vertical="top" wrapText="1"/>
    </xf>
    <xf numFmtId="0" fontId="2" fillId="3" borderId="27" xfId="0" applyFont="1" applyFill="1" applyBorder="1" applyAlignment="1">
      <alignment vertical="top" wrapText="1"/>
    </xf>
    <xf numFmtId="0" fontId="5" fillId="3" borderId="4" xfId="0" applyNumberFormat="1" applyFont="1" applyFill="1" applyBorder="1" applyAlignment="1" applyProtection="1">
      <alignment vertical="top" wrapText="1"/>
    </xf>
    <xf numFmtId="0" fontId="2" fillId="3" borderId="26" xfId="0" applyFont="1" applyFill="1" applyBorder="1" applyAlignment="1" applyProtection="1">
      <alignment vertical="top" wrapText="1"/>
    </xf>
    <xf numFmtId="0" fontId="2" fillId="3" borderId="27" xfId="0" applyFont="1" applyFill="1" applyBorder="1" applyAlignment="1" applyProtection="1">
      <alignment vertical="top" wrapText="1"/>
    </xf>
    <xf numFmtId="0" fontId="5" fillId="3" borderId="29" xfId="0" applyFont="1" applyFill="1" applyBorder="1" applyAlignment="1" applyProtection="1">
      <alignment vertical="top" wrapText="1"/>
    </xf>
    <xf numFmtId="0" fontId="5" fillId="3" borderId="4" xfId="0" applyFont="1" applyFill="1" applyBorder="1" applyAlignment="1" applyProtection="1">
      <alignment vertical="top" wrapText="1"/>
    </xf>
    <xf numFmtId="0" fontId="11" fillId="12" borderId="0" xfId="2" applyFont="1" applyFill="1" applyAlignment="1" applyProtection="1">
      <alignment vertical="center" wrapText="1"/>
      <protection locked="0"/>
    </xf>
    <xf numFmtId="0" fontId="27" fillId="12" borderId="2" xfId="0" applyFont="1" applyFill="1" applyBorder="1" applyAlignment="1" applyProtection="1">
      <alignment vertical="top" wrapText="1"/>
    </xf>
    <xf numFmtId="0" fontId="28" fillId="3" borderId="3" xfId="0" applyNumberFormat="1" applyFont="1" applyFill="1" applyBorder="1" applyAlignment="1" applyProtection="1">
      <alignment vertical="center" wrapText="1"/>
    </xf>
    <xf numFmtId="0" fontId="0" fillId="3" borderId="4" xfId="0" applyFont="1" applyFill="1" applyBorder="1" applyAlignment="1" applyProtection="1">
      <alignment vertical="top" wrapText="1"/>
    </xf>
    <xf numFmtId="0" fontId="0" fillId="3" borderId="29" xfId="0" applyFont="1" applyFill="1" applyBorder="1" applyAlignment="1" applyProtection="1">
      <alignment vertical="top" wrapText="1"/>
    </xf>
    <xf numFmtId="0" fontId="2" fillId="0" borderId="31" xfId="0" applyNumberFormat="1" applyFont="1" applyFill="1" applyBorder="1" applyAlignment="1" applyProtection="1">
      <alignment vertical="top" wrapText="1"/>
    </xf>
    <xf numFmtId="0" fontId="5" fillId="0" borderId="31" xfId="0" applyNumberFormat="1" applyFont="1" applyFill="1" applyBorder="1" applyAlignment="1" applyProtection="1">
      <alignment vertical="top" wrapText="1"/>
    </xf>
    <xf numFmtId="0" fontId="0" fillId="0" borderId="31" xfId="0" applyBorder="1" applyAlignment="1">
      <alignment vertical="top" wrapText="1"/>
    </xf>
    <xf numFmtId="0" fontId="5" fillId="3" borderId="31" xfId="0" applyFont="1" applyFill="1" applyBorder="1" applyAlignment="1">
      <alignment vertical="top" wrapText="1"/>
    </xf>
    <xf numFmtId="0" fontId="0" fillId="0" borderId="0" xfId="0" applyBorder="1"/>
    <xf numFmtId="0" fontId="5" fillId="3" borderId="32" xfId="0" applyNumberFormat="1" applyFont="1" applyFill="1" applyBorder="1" applyAlignment="1" applyProtection="1">
      <alignment vertical="center" wrapText="1"/>
    </xf>
    <xf numFmtId="0" fontId="3" fillId="0" borderId="0" xfId="0" applyFont="1" applyAlignment="1">
      <alignment vertical="top" wrapText="1"/>
    </xf>
    <xf numFmtId="0" fontId="0" fillId="9" borderId="0" xfId="0" applyFill="1" applyAlignment="1">
      <alignment vertical="center" wrapText="1"/>
    </xf>
    <xf numFmtId="0" fontId="15" fillId="0" borderId="0" xfId="1" applyFont="1" applyFill="1" applyAlignment="1">
      <alignment vertical="top" wrapText="1"/>
    </xf>
    <xf numFmtId="0" fontId="15" fillId="0" borderId="0" xfId="0" applyFont="1" applyAlignment="1">
      <alignment vertical="top" wrapText="1"/>
    </xf>
    <xf numFmtId="0" fontId="6" fillId="11" borderId="6" xfId="2" applyFont="1" applyFill="1" applyBorder="1" applyAlignment="1">
      <alignment vertical="center" wrapText="1"/>
    </xf>
    <xf numFmtId="0" fontId="15" fillId="0" borderId="0" xfId="0" applyFont="1"/>
    <xf numFmtId="0" fontId="15" fillId="0" borderId="0" xfId="1" applyFont="1" applyFill="1"/>
    <xf numFmtId="14" fontId="0" fillId="0" borderId="0" xfId="0" applyNumberFormat="1" applyFill="1" applyAlignment="1" applyProtection="1">
      <alignment vertical="center" wrapText="1"/>
      <protection locked="0"/>
    </xf>
    <xf numFmtId="0" fontId="21" fillId="0" borderId="0" xfId="2" applyFont="1" applyBorder="1" applyAlignment="1" applyProtection="1">
      <alignment vertical="center" wrapText="1"/>
      <protection locked="0"/>
    </xf>
    <xf numFmtId="0" fontId="21" fillId="0" borderId="0" xfId="0" applyFont="1" applyAlignment="1" applyProtection="1">
      <alignment vertical="top" wrapText="1"/>
      <protection locked="0"/>
    </xf>
    <xf numFmtId="0" fontId="21" fillId="0" borderId="0" xfId="2" applyFont="1" applyAlignment="1" applyProtection="1">
      <alignment vertical="top" wrapText="1"/>
    </xf>
    <xf numFmtId="0" fontId="21" fillId="0" borderId="0" xfId="0" applyFont="1" applyAlignment="1" applyProtection="1">
      <alignment vertical="center" wrapText="1"/>
      <protection locked="0"/>
    </xf>
    <xf numFmtId="0" fontId="21" fillId="0" borderId="0" xfId="0" applyFont="1" applyAlignment="1">
      <alignment vertical="center" wrapText="1"/>
    </xf>
    <xf numFmtId="0" fontId="6" fillId="11" borderId="6" xfId="2" applyFill="1" applyBorder="1" applyAlignment="1" applyProtection="1">
      <alignment vertical="center" wrapText="1"/>
      <protection locked="0"/>
    </xf>
    <xf numFmtId="0" fontId="0" fillId="0" borderId="0" xfId="0" applyAlignment="1" applyProtection="1">
      <alignment vertical="top" wrapText="1"/>
      <protection locked="0"/>
    </xf>
    <xf numFmtId="0" fontId="11" fillId="0" borderId="0" xfId="2" applyFont="1" applyAlignment="1" applyProtection="1">
      <alignment vertical="top" wrapText="1"/>
      <protection locked="0"/>
    </xf>
    <xf numFmtId="166" fontId="0" fillId="12" borderId="0" xfId="0" applyNumberFormat="1" applyFill="1" applyAlignment="1" applyProtection="1">
      <alignment vertical="center" wrapText="1"/>
      <protection locked="0"/>
    </xf>
    <xf numFmtId="166" fontId="0" fillId="0" borderId="0" xfId="0" applyNumberFormat="1" applyAlignment="1" applyProtection="1">
      <alignment vertical="center" wrapText="1"/>
      <protection locked="0"/>
    </xf>
    <xf numFmtId="166" fontId="0" fillId="0" borderId="0" xfId="0" applyNumberFormat="1" applyAlignment="1" applyProtection="1">
      <alignment vertical="center" wrapText="1"/>
    </xf>
    <xf numFmtId="0" fontId="0" fillId="0" borderId="0" xfId="0" applyNumberFormat="1" applyAlignment="1" applyProtection="1">
      <alignment vertical="center" wrapText="1"/>
      <protection locked="0"/>
    </xf>
    <xf numFmtId="166" fontId="0" fillId="0" borderId="0" xfId="0" applyNumberFormat="1" applyFill="1" applyAlignment="1" applyProtection="1">
      <alignment vertical="center" wrapText="1"/>
      <protection locked="0"/>
    </xf>
    <xf numFmtId="0" fontId="0" fillId="5" borderId="0" xfId="0" applyFill="1" applyAlignment="1" applyProtection="1">
      <alignment vertical="center" wrapText="1"/>
    </xf>
    <xf numFmtId="0" fontId="0" fillId="12" borderId="0" xfId="0" applyNumberFormat="1" applyFill="1" applyAlignment="1" applyProtection="1">
      <alignment vertical="center" wrapText="1"/>
      <protection locked="0"/>
    </xf>
    <xf numFmtId="0" fontId="0" fillId="0" borderId="0" xfId="0" applyNumberFormat="1" applyAlignment="1" applyProtection="1">
      <alignment vertical="center" wrapText="1"/>
    </xf>
    <xf numFmtId="0" fontId="0" fillId="0" borderId="0" xfId="0" applyNumberFormat="1" applyAlignment="1" applyProtection="1">
      <alignment vertical="top" wrapText="1"/>
    </xf>
    <xf numFmtId="0" fontId="21" fillId="0" borderId="0" xfId="2" applyNumberFormat="1" applyFont="1" applyBorder="1" applyAlignment="1" applyProtection="1">
      <alignment vertical="center" wrapText="1"/>
      <protection locked="0"/>
    </xf>
    <xf numFmtId="0" fontId="21" fillId="0" borderId="0" xfId="2" applyFont="1" applyAlignment="1" applyProtection="1">
      <alignment vertical="center" wrapText="1"/>
      <protection locked="0"/>
    </xf>
    <xf numFmtId="0" fontId="30" fillId="0" borderId="0" xfId="1" applyFont="1" applyFill="1" applyAlignment="1" applyProtection="1">
      <alignment vertical="center" wrapText="1"/>
      <protection locked="0"/>
    </xf>
    <xf numFmtId="0" fontId="0" fillId="0" borderId="22" xfId="0" applyNumberFormat="1" applyBorder="1" applyAlignment="1" applyProtection="1">
      <alignment vertical="center" wrapText="1"/>
      <protection locked="0"/>
    </xf>
    <xf numFmtId="0" fontId="31" fillId="0" borderId="0" xfId="0" applyFont="1" applyAlignment="1" applyProtection="1">
      <alignment vertical="center" wrapText="1"/>
      <protection locked="0"/>
    </xf>
    <xf numFmtId="0" fontId="0" fillId="0" borderId="0" xfId="0" applyNumberFormat="1" applyFill="1" applyAlignment="1">
      <alignment vertical="center" wrapText="1"/>
    </xf>
    <xf numFmtId="0" fontId="31" fillId="0" borderId="0" xfId="2" applyFont="1" applyAlignment="1" applyProtection="1">
      <alignment vertical="center" wrapText="1"/>
      <protection locked="0"/>
    </xf>
    <xf numFmtId="0" fontId="6" fillId="0" borderId="33" xfId="2" applyBorder="1" applyAlignment="1" applyProtection="1">
      <alignment horizontal="left" vertical="center" wrapText="1"/>
      <protection locked="0"/>
    </xf>
    <xf numFmtId="0" fontId="2" fillId="3" borderId="26" xfId="0" applyFont="1" applyFill="1" applyBorder="1" applyAlignment="1" applyProtection="1">
      <alignment horizontal="center" vertical="top" wrapText="1"/>
    </xf>
    <xf numFmtId="0" fontId="2" fillId="3" borderId="27" xfId="0" applyFont="1" applyFill="1" applyBorder="1" applyAlignment="1" applyProtection="1">
      <alignment horizontal="center" vertical="top" wrapText="1"/>
    </xf>
    <xf numFmtId="0" fontId="2" fillId="3" borderId="26" xfId="0" applyFont="1" applyFill="1" applyBorder="1" applyAlignment="1">
      <alignment horizontal="center" vertical="top" wrapText="1"/>
    </xf>
    <xf numFmtId="0" fontId="2" fillId="3" borderId="27" xfId="0" applyFont="1" applyFill="1" applyBorder="1" applyAlignment="1">
      <alignment horizontal="center" vertical="top" wrapText="1"/>
    </xf>
    <xf numFmtId="0" fontId="7" fillId="0" borderId="21" xfId="0" applyFont="1" applyBorder="1" applyAlignment="1">
      <alignment horizontal="center" vertical="center"/>
    </xf>
    <xf numFmtId="0" fontId="7" fillId="0" borderId="4" xfId="0" applyFont="1" applyBorder="1" applyAlignment="1">
      <alignment horizontal="center" vertical="center"/>
    </xf>
    <xf numFmtId="0" fontId="14" fillId="0" borderId="25" xfId="0" applyFont="1" applyBorder="1" applyAlignment="1">
      <alignment horizontal="center" vertical="center"/>
    </xf>
    <xf numFmtId="0" fontId="14" fillId="0" borderId="4" xfId="0" applyFont="1" applyBorder="1" applyAlignment="1">
      <alignment horizontal="center" vertical="center"/>
    </xf>
    <xf numFmtId="0" fontId="7" fillId="0" borderId="22" xfId="0" applyFont="1" applyBorder="1" applyAlignment="1">
      <alignment horizontal="center" vertical="center"/>
    </xf>
    <xf numFmtId="0" fontId="7" fillId="0" borderId="0" xfId="0" applyFont="1" applyBorder="1" applyAlignment="1">
      <alignment horizontal="center" vertical="center"/>
    </xf>
    <xf numFmtId="0" fontId="18" fillId="0" borderId="4" xfId="0" applyFont="1" applyBorder="1" applyAlignment="1">
      <alignment horizontal="center" vertical="center"/>
    </xf>
    <xf numFmtId="0" fontId="7" fillId="0" borderId="22" xfId="0" applyFont="1" applyBorder="1" applyAlignment="1">
      <alignment horizontal="center" vertical="center" wrapText="1"/>
    </xf>
    <xf numFmtId="0" fontId="7" fillId="0" borderId="0" xfId="0" applyFont="1" applyBorder="1" applyAlignment="1">
      <alignment horizontal="center" vertical="center" wrapText="1"/>
    </xf>
  </cellXfs>
  <cellStyles count="6">
    <cellStyle name="Bad" xfId="1" builtinId="27"/>
    <cellStyle name="Excel Built-in Normal" xfId="4" xr:uid="{814ED8E7-2FE8-4ACC-8F8E-F3D3CD145FF9}"/>
    <cellStyle name="Hyperlink" xfId="2" builtinId="8"/>
    <cellStyle name="Normal" xfId="0" builtinId="0"/>
    <cellStyle name="Normal 2" xfId="3" xr:uid="{00000000-0005-0000-0000-000003000000}"/>
    <cellStyle name="Normal 4" xfId="5" xr:uid="{08E0854E-22C4-4010-A6F3-F0BBCD638B63}"/>
  </cellStyles>
  <dxfs count="1661">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ertAlign val="baseline"/>
        <sz val="11"/>
        <color rgb="FF0000FF"/>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font>
        <color theme="4" tint="0.79998168889431442"/>
      </font>
      <fill>
        <patternFill>
          <bgColor theme="4" tint="0.79998168889431442"/>
        </patternFill>
      </fill>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al="none"/>
        <vertAlign val="baseline"/>
        <sz val="11"/>
        <color auto="1"/>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numFmt numFmtId="0" formatCode="General"/>
      <alignment horizontal="general" vertical="center"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horizontal="general"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ont>
        <strike val="0"/>
        <outline val="0"/>
        <shadow val="0"/>
        <u val="none"/>
        <vertAlign val="baseline"/>
        <sz val="11"/>
        <color auto="1"/>
        <name val="Calibri"/>
        <family val="2"/>
        <scheme val="minor"/>
      </font>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66" formatCode="dd/mm/yyyy"/>
      <alignment horizontal="general" vertical="center" textRotation="0" wrapText="1" indent="0" justifyLastLine="0" shrinkToFit="0" readingOrder="0"/>
      <protection locked="1"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patternType="none">
          <fgColor indexed="64"/>
          <bgColor auto="1"/>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border diagonalUp="0" diagonalDown="0">
        <left style="medium">
          <color indexed="64"/>
        </left>
        <right/>
        <vertical/>
      </border>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66" formatCode="dd/mm/yyyy"/>
      <fill>
        <patternFill patternType="none">
          <fgColor indexed="64"/>
          <bgColor auto="1"/>
        </patternFill>
      </fill>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0000FF"/>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67390</xdr:colOff>
      <xdr:row>2</xdr:row>
      <xdr:rowOff>1062990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67390</xdr:colOff>
      <xdr:row>2</xdr:row>
      <xdr:rowOff>1344588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0</xdr:rowOff>
    </xdr:from>
    <xdr:to>
      <xdr:col>0</xdr:col>
      <xdr:colOff>1580489</xdr:colOff>
      <xdr:row>13</xdr:row>
      <xdr:rowOff>210875</xdr:rowOff>
    </xdr:to>
    <xdr:sp macro="[0]!Sheet1.AddCredentials" textlink="">
      <xdr:nvSpPr>
        <xdr:cNvPr id="2" name="Rectangle 1">
          <a:extLst>
            <a:ext uri="{FF2B5EF4-FFF2-40B4-BE49-F238E27FC236}">
              <a16:creationId xmlns:a16="http://schemas.microsoft.com/office/drawing/2014/main" id="{6B2BA97F-491D-4111-A41F-0288F9B2FD2A}"/>
            </a:ext>
          </a:extLst>
        </xdr:cNvPr>
        <xdr:cNvSpPr/>
      </xdr:nvSpPr>
      <xdr:spPr>
        <a:xfrm>
          <a:off x="68489" y="2444294"/>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t>
          </a:r>
          <a:r>
            <a:rPr lang="en-GB" sz="1400"/>
            <a:t>Credentials</a:t>
          </a:r>
          <a:br>
            <a:rPr lang="hu-HU" sz="1400"/>
          </a:br>
          <a:r>
            <a:rPr lang="hu-HU" sz="1000"/>
            <a:t>(do not exceed total</a:t>
          </a:r>
          <a:r>
            <a:rPr lang="hu-HU" sz="1000" baseline="0"/>
            <a:t> 50)</a:t>
          </a:r>
          <a:endParaRPr lang="en-GB" sz="1000"/>
        </a:p>
      </xdr:txBody>
    </xdr:sp>
    <xdr:clientData/>
  </xdr:twoCellAnchor>
  <xdr:twoCellAnchor editAs="absolute">
    <xdr:from>
      <xdr:col>0</xdr:col>
      <xdr:colOff>71441</xdr:colOff>
      <xdr:row>13</xdr:row>
      <xdr:rowOff>353476</xdr:rowOff>
    </xdr:from>
    <xdr:to>
      <xdr:col>0</xdr:col>
      <xdr:colOff>1583441</xdr:colOff>
      <xdr:row>15</xdr:row>
      <xdr:rowOff>199226</xdr:rowOff>
    </xdr:to>
    <xdr:sp macro="[0]!Sheet1.DeleteCredentials" textlink="">
      <xdr:nvSpPr>
        <xdr:cNvPr id="3" name="Rectangle 2">
          <a:extLst>
            <a:ext uri="{FF2B5EF4-FFF2-40B4-BE49-F238E27FC236}">
              <a16:creationId xmlns:a16="http://schemas.microsoft.com/office/drawing/2014/main" id="{83C11A62-C34D-474A-B11F-B627396875C1}"/>
            </a:ext>
          </a:extLst>
        </xdr:cNvPr>
        <xdr:cNvSpPr/>
      </xdr:nvSpPr>
      <xdr:spPr>
        <a:xfrm>
          <a:off x="71441" y="3274476"/>
          <a:ext cx="1512000" cy="573883"/>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1584856</xdr:colOff>
      <xdr:row>13</xdr:row>
      <xdr:rowOff>279773</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70316" y="1976438"/>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72709</xdr:colOff>
      <xdr:row>14</xdr:row>
      <xdr:rowOff>1569</xdr:rowOff>
    </xdr:from>
    <xdr:to>
      <xdr:col>0</xdr:col>
      <xdr:colOff>1585979</xdr:colOff>
      <xdr:row>15</xdr:row>
      <xdr:rowOff>201967</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71439" y="26447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0</xdr:col>
      <xdr:colOff>1567563</xdr:colOff>
      <xdr:row>13</xdr:row>
      <xdr:rowOff>304682</xdr:rowOff>
    </xdr:to>
    <xdr:sp macro="[0]!Sheet3.AddOrganisations" textlink="">
      <xdr:nvSpPr>
        <xdr:cNvPr id="2" name="Rectangle 1">
          <a:extLst>
            <a:ext uri="{FF2B5EF4-FFF2-40B4-BE49-F238E27FC236}">
              <a16:creationId xmlns:a16="http://schemas.microsoft.com/office/drawing/2014/main" id="{B27C06CE-4CFE-4E06-9DFA-979D0566EDE8}"/>
            </a:ext>
          </a:extLst>
        </xdr:cNvPr>
        <xdr:cNvSpPr/>
      </xdr:nvSpPr>
      <xdr:spPr>
        <a:xfrm>
          <a:off x="55563" y="20305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0</xdr:col>
      <xdr:colOff>1583438</xdr:colOff>
      <xdr:row>15</xdr:row>
      <xdr:rowOff>274375</xdr:rowOff>
    </xdr:to>
    <xdr:sp macro="[0]!Sheet3.DeleteOrganisations" textlink="">
      <xdr:nvSpPr>
        <xdr:cNvPr id="4" name="Rectangle 3">
          <a:extLst>
            <a:ext uri="{FF2B5EF4-FFF2-40B4-BE49-F238E27FC236}">
              <a16:creationId xmlns:a16="http://schemas.microsoft.com/office/drawing/2014/main" id="{B1A0FE1D-6B31-4129-B78D-6E837CCC7DE9}"/>
            </a:ext>
          </a:extLst>
        </xdr:cNvPr>
        <xdr:cNvSpPr/>
      </xdr:nvSpPr>
      <xdr:spPr>
        <a:xfrm>
          <a:off x="71438" y="273050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69125</xdr:colOff>
      <xdr:row>12</xdr:row>
      <xdr:rowOff>43820</xdr:rowOff>
    </xdr:from>
    <xdr:to>
      <xdr:col>0</xdr:col>
      <xdr:colOff>1565275</xdr:colOff>
      <xdr:row>13</xdr:row>
      <xdr:rowOff>253425</xdr:rowOff>
    </xdr:to>
    <xdr:sp macro="[0]!Sheet4.AddAchievements" textlink="">
      <xdr:nvSpPr>
        <xdr:cNvPr id="2" name="Rectangle 1">
          <a:extLst>
            <a:ext uri="{FF2B5EF4-FFF2-40B4-BE49-F238E27FC236}">
              <a16:creationId xmlns:a16="http://schemas.microsoft.com/office/drawing/2014/main" id="{71873FD2-502A-43E8-ACDC-6DAB449DFF52}"/>
            </a:ext>
          </a:extLst>
        </xdr:cNvPr>
        <xdr:cNvSpPr/>
      </xdr:nvSpPr>
      <xdr:spPr>
        <a:xfrm>
          <a:off x="58965" y="2374905"/>
          <a:ext cx="151266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45402</xdr:colOff>
      <xdr:row>14</xdr:row>
      <xdr:rowOff>793</xdr:rowOff>
    </xdr:from>
    <xdr:to>
      <xdr:col>0</xdr:col>
      <xdr:colOff>1565022</xdr:colOff>
      <xdr:row>15</xdr:row>
      <xdr:rowOff>198272</xdr:rowOff>
    </xdr:to>
    <xdr:sp macro="[0]!Sheet4.DeleteAchievements" textlink="">
      <xdr:nvSpPr>
        <xdr:cNvPr id="3" name="Rectangle 2">
          <a:extLst>
            <a:ext uri="{FF2B5EF4-FFF2-40B4-BE49-F238E27FC236}">
              <a16:creationId xmlns:a16="http://schemas.microsoft.com/office/drawing/2014/main" id="{87FDDF07-E618-4BEE-B056-DCC4918EC6B3}"/>
            </a:ext>
          </a:extLst>
        </xdr:cNvPr>
        <xdr:cNvSpPr/>
      </xdr:nvSpPr>
      <xdr:spPr>
        <a:xfrm>
          <a:off x="55562" y="3086106"/>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79373</xdr:colOff>
      <xdr:row>12</xdr:row>
      <xdr:rowOff>78742</xdr:rowOff>
    </xdr:from>
    <xdr:to>
      <xdr:col>0</xdr:col>
      <xdr:colOff>1634993</xdr:colOff>
      <xdr:row>13</xdr:row>
      <xdr:rowOff>304857</xdr:rowOff>
    </xdr:to>
    <xdr:sp macro="[0]!Sheet13.AddLOs" textlink="">
      <xdr:nvSpPr>
        <xdr:cNvPr id="2" name="Rectangle 1">
          <a:extLst>
            <a:ext uri="{FF2B5EF4-FFF2-40B4-BE49-F238E27FC236}">
              <a16:creationId xmlns:a16="http://schemas.microsoft.com/office/drawing/2014/main" id="{EBA94CD6-B231-4331-99BC-F303EE8D4B59}"/>
            </a:ext>
          </a:extLst>
        </xdr:cNvPr>
        <xdr:cNvSpPr/>
      </xdr:nvSpPr>
      <xdr:spPr>
        <a:xfrm>
          <a:off x="79373" y="1968502"/>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41592</xdr:rowOff>
    </xdr:from>
    <xdr:to>
      <xdr:col>0</xdr:col>
      <xdr:colOff>1634996</xdr:colOff>
      <xdr:row>15</xdr:row>
      <xdr:rowOff>266437</xdr:rowOff>
    </xdr:to>
    <xdr:sp macro="[0]!Sheet13.DeleteLOs" textlink="">
      <xdr:nvSpPr>
        <xdr:cNvPr id="3" name="Rectangle 2">
          <a:extLst>
            <a:ext uri="{FF2B5EF4-FFF2-40B4-BE49-F238E27FC236}">
              <a16:creationId xmlns:a16="http://schemas.microsoft.com/office/drawing/2014/main" id="{FBFB78F2-FE20-496F-A233-99F13CEF4669}"/>
            </a:ext>
          </a:extLst>
        </xdr:cNvPr>
        <xdr:cNvSpPr/>
      </xdr:nvSpPr>
      <xdr:spPr>
        <a:xfrm>
          <a:off x="79376" y="2674937"/>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1559626</xdr:colOff>
      <xdr:row>13</xdr:row>
      <xdr:rowOff>274376</xdr:rowOff>
    </xdr:to>
    <xdr:sp macro="[0]!Sheet5.AddActivities" textlink="">
      <xdr:nvSpPr>
        <xdr:cNvPr id="2" name="Rectangle 1">
          <a:extLst>
            <a:ext uri="{FF2B5EF4-FFF2-40B4-BE49-F238E27FC236}">
              <a16:creationId xmlns:a16="http://schemas.microsoft.com/office/drawing/2014/main" id="{CD0C0F34-1767-4752-92BC-5F9D3EB8C997}"/>
            </a:ext>
          </a:extLst>
        </xdr:cNvPr>
        <xdr:cNvSpPr/>
      </xdr:nvSpPr>
      <xdr:spPr>
        <a:xfrm>
          <a:off x="47626" y="2500313"/>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283101</xdr:rowOff>
    </xdr:from>
    <xdr:to>
      <xdr:col>0</xdr:col>
      <xdr:colOff>1559625</xdr:colOff>
      <xdr:row>15</xdr:row>
      <xdr:rowOff>128850</xdr:rowOff>
    </xdr:to>
    <xdr:sp macro="[0]!Sheet5.DeleteActivities" textlink="">
      <xdr:nvSpPr>
        <xdr:cNvPr id="3" name="Rectangle 2">
          <a:extLst>
            <a:ext uri="{FF2B5EF4-FFF2-40B4-BE49-F238E27FC236}">
              <a16:creationId xmlns:a16="http://schemas.microsoft.com/office/drawing/2014/main" id="{9D61A470-B948-4D1E-92C2-A5B58AF6DCA2}"/>
            </a:ext>
          </a:extLst>
        </xdr:cNvPr>
        <xdr:cNvSpPr/>
      </xdr:nvSpPr>
      <xdr:spPr>
        <a:xfrm>
          <a:off x="47625" y="31527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79370</xdr:colOff>
      <xdr:row>12</xdr:row>
      <xdr:rowOff>48758</xdr:rowOff>
    </xdr:from>
    <xdr:to>
      <xdr:col>1</xdr:col>
      <xdr:colOff>5775</xdr:colOff>
      <xdr:row>13</xdr:row>
      <xdr:rowOff>259633</xdr:rowOff>
    </xdr:to>
    <xdr:sp macro="[0]!Sheet6.AddAssessments" textlink="">
      <xdr:nvSpPr>
        <xdr:cNvPr id="2" name="Rectangle 1">
          <a:extLst>
            <a:ext uri="{FF2B5EF4-FFF2-40B4-BE49-F238E27FC236}">
              <a16:creationId xmlns:a16="http://schemas.microsoft.com/office/drawing/2014/main" id="{A7D72684-D674-4598-8C9B-F2F2B98AAD58}"/>
            </a:ext>
          </a:extLst>
        </xdr:cNvPr>
        <xdr:cNvSpPr/>
      </xdr:nvSpPr>
      <xdr:spPr>
        <a:xfrm>
          <a:off x="79370" y="2199821"/>
          <a:ext cx="154248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endParaRPr lang="hu-HU" sz="1400"/>
        </a:p>
        <a:p>
          <a:pPr algn="ctr"/>
          <a:r>
            <a:rPr lang="en-GB" sz="1400"/>
            <a:t>Assessments</a:t>
          </a:r>
        </a:p>
      </xdr:txBody>
    </xdr:sp>
    <xdr:clientData/>
  </xdr:twoCellAnchor>
  <xdr:twoCellAnchor editAs="absolute">
    <xdr:from>
      <xdr:col>0</xdr:col>
      <xdr:colOff>79374</xdr:colOff>
      <xdr:row>13</xdr:row>
      <xdr:rowOff>330189</xdr:rowOff>
    </xdr:from>
    <xdr:to>
      <xdr:col>1</xdr:col>
      <xdr:colOff>4762</xdr:colOff>
      <xdr:row>15</xdr:row>
      <xdr:rowOff>175939</xdr:rowOff>
    </xdr:to>
    <xdr:sp macro="[0]!Sheet6.DeleteAssessments" textlink="">
      <xdr:nvSpPr>
        <xdr:cNvPr id="3" name="Rectangle 2">
          <a:extLst>
            <a:ext uri="{FF2B5EF4-FFF2-40B4-BE49-F238E27FC236}">
              <a16:creationId xmlns:a16="http://schemas.microsoft.com/office/drawing/2014/main" id="{F2AA0B05-6580-487A-BD56-FED1B6FD7381}"/>
            </a:ext>
          </a:extLst>
        </xdr:cNvPr>
        <xdr:cNvSpPr/>
      </xdr:nvSpPr>
      <xdr:spPr>
        <a:xfrm>
          <a:off x="79374" y="2846377"/>
          <a:ext cx="1531938"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0</xdr:col>
      <xdr:colOff>1591375</xdr:colOff>
      <xdr:row>13</xdr:row>
      <xdr:rowOff>272509</xdr:rowOff>
    </xdr:to>
    <xdr:sp macro="[0]!Sheet7.AddEntitlements" textlink="">
      <xdr:nvSpPr>
        <xdr:cNvPr id="2" name="Rectangle 1">
          <a:extLst>
            <a:ext uri="{FF2B5EF4-FFF2-40B4-BE49-F238E27FC236}">
              <a16:creationId xmlns:a16="http://schemas.microsoft.com/office/drawing/2014/main" id="{C48CBA24-08F6-4010-BEE5-5986EC35F511}"/>
            </a:ext>
          </a:extLst>
        </xdr:cNvPr>
        <xdr:cNvSpPr/>
      </xdr:nvSpPr>
      <xdr:spPr>
        <a:xfrm>
          <a:off x="79375" y="2220334"/>
          <a:ext cx="1512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Entitlements</a:t>
          </a:r>
        </a:p>
      </xdr:txBody>
    </xdr:sp>
    <xdr:clientData/>
  </xdr:twoCellAnchor>
  <xdr:twoCellAnchor editAs="absolute">
    <xdr:from>
      <xdr:col>0</xdr:col>
      <xdr:colOff>71438</xdr:colOff>
      <xdr:row>13</xdr:row>
      <xdr:rowOff>338152</xdr:rowOff>
    </xdr:from>
    <xdr:to>
      <xdr:col>0</xdr:col>
      <xdr:colOff>1583438</xdr:colOff>
      <xdr:row>15</xdr:row>
      <xdr:rowOff>183902</xdr:rowOff>
    </xdr:to>
    <xdr:sp macro="[0]!Sheet7.DeleteEntitlements" textlink="">
      <xdr:nvSpPr>
        <xdr:cNvPr id="3" name="Rectangle 2">
          <a:extLst>
            <a:ext uri="{FF2B5EF4-FFF2-40B4-BE49-F238E27FC236}">
              <a16:creationId xmlns:a16="http://schemas.microsoft.com/office/drawing/2014/main" id="{648A5710-340E-4FD6-913B-7FE18A9F7D88}"/>
            </a:ext>
          </a:extLst>
        </xdr:cNvPr>
        <xdr:cNvSpPr/>
      </xdr:nvSpPr>
      <xdr:spPr>
        <a:xfrm>
          <a:off x="71438" y="291784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Credentials" displayName="Credentials" ref="B12:HN16" totalsRowShown="0" headerRowDxfId="1660" dataDxfId="1659">
  <autoFilter ref="B12:HN16" xr:uid="{00000000-0009-0000-0100-00000C000000}"/>
  <tableColumns count="221">
    <tableColumn id="220" xr3:uid="{84DC999D-7CC3-4753-8723-89229F4C48C0}" name="EuropassCredential.primaryLanguage.Reference" dataDxfId="1658"/>
    <tableColumn id="221" xr3:uid="{3F2C61A2-5BB4-4871-97BA-BB5BE4D7F36B}" name="EuropassCredential.primaryLanguage.Property" dataDxfId="1657">
      <calculatedColumnFormula>IFERROR(VLOOKUP(Credentials[[#This Row],[EuropassCredential.primaryLanguage.Reference]],References!$A$13:$E$41,5,FALSE),"")</calculatedColumnFormula>
    </tableColumn>
    <tableColumn id="1" xr3:uid="{00000000-0010-0000-0000-000001000000}" name="EuropassCredential.title.Property.content.en" dataDxfId="1656"/>
    <tableColumn id="2" xr3:uid="{00000000-0010-0000-0000-000002000000}" name="EuropassCredential.title.Property.content.bg" dataDxfId="1655">
      <calculatedColumnFormula>E$11</calculatedColumnFormula>
    </tableColumn>
    <tableColumn id="3" xr3:uid="{00000000-0010-0000-0000-000003000000}" name="EuropassCredential.title.Property.content.cs" dataDxfId="1654">
      <calculatedColumnFormula>F$11</calculatedColumnFormula>
    </tableColumn>
    <tableColumn id="4" xr3:uid="{00000000-0010-0000-0000-000004000000}" name="EuropassCredential.title.Property.content.da" dataDxfId="1653">
      <calculatedColumnFormula>G$11</calculatedColumnFormula>
    </tableColumn>
    <tableColumn id="5" xr3:uid="{00000000-0010-0000-0000-000005000000}" name="EuropassCredential.title.Property.content.de" dataDxfId="1652">
      <calculatedColumnFormula>H$11</calculatedColumnFormula>
    </tableColumn>
    <tableColumn id="6" xr3:uid="{00000000-0010-0000-0000-000006000000}" name="EuropassCredential.title.Property.content.el" dataDxfId="1651">
      <calculatedColumnFormula>I$11</calculatedColumnFormula>
    </tableColumn>
    <tableColumn id="7" xr3:uid="{00000000-0010-0000-0000-000007000000}" name="EuropassCredential.title.Property.content.es" dataDxfId="1650">
      <calculatedColumnFormula>J$11</calculatedColumnFormula>
    </tableColumn>
    <tableColumn id="8" xr3:uid="{00000000-0010-0000-0000-000008000000}" name="EuropassCredential.title.Property.content.et" dataDxfId="1649">
      <calculatedColumnFormula>K$11</calculatedColumnFormula>
    </tableColumn>
    <tableColumn id="9" xr3:uid="{00000000-0010-0000-0000-000009000000}" name="EuropassCredential.title.Property.content.fi" dataDxfId="1648">
      <calculatedColumnFormula>L$11</calculatedColumnFormula>
    </tableColumn>
    <tableColumn id="10" xr3:uid="{00000000-0010-0000-0000-00000A000000}" name="EuropassCredential.title.Property.content.fr" dataDxfId="1647">
      <calculatedColumnFormula>M$11</calculatedColumnFormula>
    </tableColumn>
    <tableColumn id="11" xr3:uid="{00000000-0010-0000-0000-00000B000000}" name="EuropassCredential.title.Property.content.ga" dataDxfId="1646">
      <calculatedColumnFormula>N$11</calculatedColumnFormula>
    </tableColumn>
    <tableColumn id="12" xr3:uid="{00000000-0010-0000-0000-00000C000000}" name="EuropassCredential.title.Property.content.hr" dataDxfId="1645">
      <calculatedColumnFormula>O$11</calculatedColumnFormula>
    </tableColumn>
    <tableColumn id="13" xr3:uid="{00000000-0010-0000-0000-00000D000000}" name="EuropassCredential.title.Property.content.hu" dataDxfId="1644">
      <calculatedColumnFormula>P$11</calculatedColumnFormula>
    </tableColumn>
    <tableColumn id="14" xr3:uid="{00000000-0010-0000-0000-00000E000000}" name="EuropassCredential.title.Property.content.is" dataDxfId="1643">
      <calculatedColumnFormula>Q$11</calculatedColumnFormula>
    </tableColumn>
    <tableColumn id="15" xr3:uid="{00000000-0010-0000-0000-00000F000000}" name="EuropassCredential.title.Property.content.it" dataDxfId="1642">
      <calculatedColumnFormula>R$11</calculatedColumnFormula>
    </tableColumn>
    <tableColumn id="16" xr3:uid="{00000000-0010-0000-0000-000010000000}" name="EuropassCredential.title.Property.content.lt" dataDxfId="1641">
      <calculatedColumnFormula>S$11</calculatedColumnFormula>
    </tableColumn>
    <tableColumn id="17" xr3:uid="{00000000-0010-0000-0000-000011000000}" name="EuropassCredential.title.Property.content.lv" dataDxfId="1640">
      <calculatedColumnFormula>T$11</calculatedColumnFormula>
    </tableColumn>
    <tableColumn id="70" xr3:uid="{243EFBEE-35C5-4A27-A0E9-842D1E8C06A8}" name="EuropassCredential.title.Property.content.mk" dataDxfId="1639"/>
    <tableColumn id="18" xr3:uid="{00000000-0010-0000-0000-000012000000}" name="EuropassCredential.title.Property.content.mt" dataDxfId="1638">
      <calculatedColumnFormula>V$11</calculatedColumnFormula>
    </tableColumn>
    <tableColumn id="19" xr3:uid="{00000000-0010-0000-0000-000013000000}" name="EuropassCredential.title.Property.content.nl" dataDxfId="1637">
      <calculatedColumnFormula>W$11</calculatedColumnFormula>
    </tableColumn>
    <tableColumn id="20" xr3:uid="{00000000-0010-0000-0000-000014000000}" name="EuropassCredential.title.Property.content.no" dataDxfId="1636">
      <calculatedColumnFormula>X$11</calculatedColumnFormula>
    </tableColumn>
    <tableColumn id="21" xr3:uid="{00000000-0010-0000-0000-000015000000}" name="EuropassCredential.title.Property.content.pl" dataDxfId="1635">
      <calculatedColumnFormula>Y$11</calculatedColumnFormula>
    </tableColumn>
    <tableColumn id="22" xr3:uid="{00000000-0010-0000-0000-000016000000}" name="EuropassCredential.title.Property.content.pt" dataDxfId="1634">
      <calculatedColumnFormula>Z$11</calculatedColumnFormula>
    </tableColumn>
    <tableColumn id="23" xr3:uid="{00000000-0010-0000-0000-000017000000}" name="EuropassCredential.title.Property.content.ro" dataDxfId="1633">
      <calculatedColumnFormula>AA$11</calculatedColumnFormula>
    </tableColumn>
    <tableColumn id="24" xr3:uid="{00000000-0010-0000-0000-000018000000}" name="EuropassCredential.title.Property.content.sk" dataDxfId="1632">
      <calculatedColumnFormula>AB$11</calculatedColumnFormula>
    </tableColumn>
    <tableColumn id="25" xr3:uid="{00000000-0010-0000-0000-000019000000}" name="EuropassCredential.title.Property.content.sl" dataDxfId="1631">
      <calculatedColumnFormula>AC$11</calculatedColumnFormula>
    </tableColumn>
    <tableColumn id="72" xr3:uid="{CAACFAC7-B55A-45F4-B318-B4754569EDF9}" name="EuropassCredential.title.Property.content.sr" dataDxfId="1630"/>
    <tableColumn id="71" xr3:uid="{34613B2C-4CD2-4054-986B-ECD8DCBEA107}" name="EuropassCredential.title.Property.content.sv" dataDxfId="1629"/>
    <tableColumn id="26" xr3:uid="{00000000-0010-0000-0000-00001A000000}" name="EuropassCredential.title.Property.content.tr" dataDxfId="1628">
      <calculatedColumnFormula>AF$11</calculatedColumnFormula>
    </tableColumn>
    <tableColumn id="27" xr3:uid="{00000000-0010-0000-0000-00001B000000}" name="EuropassCredential.description.Property.content.en" dataDxfId="1627"/>
    <tableColumn id="28" xr3:uid="{00000000-0010-0000-0000-00001C000000}" name="EuropassCredential.description.Property.content.bg" dataDxfId="1626">
      <calculatedColumnFormula>AH$11</calculatedColumnFormula>
    </tableColumn>
    <tableColumn id="29" xr3:uid="{00000000-0010-0000-0000-00001D000000}" name="EuropassCredential.description.Property.content.cs" dataDxfId="1625">
      <calculatedColumnFormula>AI$11</calculatedColumnFormula>
    </tableColumn>
    <tableColumn id="30" xr3:uid="{00000000-0010-0000-0000-00001E000000}" name="EuropassCredential.description.Property.content.da" dataDxfId="1624">
      <calculatedColumnFormula>AJ$11</calculatedColumnFormula>
    </tableColumn>
    <tableColumn id="31" xr3:uid="{00000000-0010-0000-0000-00001F000000}" name="EuropassCredential.description.Property.content.de" dataDxfId="1623">
      <calculatedColumnFormula>AK$11</calculatedColumnFormula>
    </tableColumn>
    <tableColumn id="32" xr3:uid="{00000000-0010-0000-0000-000020000000}" name="EuropassCredential.description.Property.content.el" dataDxfId="1622">
      <calculatedColumnFormula>AL$11</calculatedColumnFormula>
    </tableColumn>
    <tableColumn id="33" xr3:uid="{00000000-0010-0000-0000-000021000000}" name="EuropassCredential.description.Property.content.es" dataDxfId="1621">
      <calculatedColumnFormula>AM$11</calculatedColumnFormula>
    </tableColumn>
    <tableColumn id="34" xr3:uid="{00000000-0010-0000-0000-000022000000}" name="EuropassCredential.description.Property.content.et" dataDxfId="1620">
      <calculatedColumnFormula>AN$11</calculatedColumnFormula>
    </tableColumn>
    <tableColumn id="35" xr3:uid="{00000000-0010-0000-0000-000023000000}" name="EuropassCredential.description.Property.content.fi" dataDxfId="1619">
      <calculatedColumnFormula>AO$11</calculatedColumnFormula>
    </tableColumn>
    <tableColumn id="36" xr3:uid="{00000000-0010-0000-0000-000024000000}" name="EuropassCredential.description.Property.content.fr" dataDxfId="1618">
      <calculatedColumnFormula>AP$11</calculatedColumnFormula>
    </tableColumn>
    <tableColumn id="37" xr3:uid="{00000000-0010-0000-0000-000025000000}" name="EuropassCredential.description.Property.content.ga" dataDxfId="1617">
      <calculatedColumnFormula>AQ$11</calculatedColumnFormula>
    </tableColumn>
    <tableColumn id="38" xr3:uid="{00000000-0010-0000-0000-000026000000}" name="EuropassCredential.description.Property.content.hr" dataDxfId="1616">
      <calculatedColumnFormula>AR$11</calculatedColumnFormula>
    </tableColumn>
    <tableColumn id="39" xr3:uid="{00000000-0010-0000-0000-000027000000}" name="EuropassCredential.description.Property.content.hu" dataDxfId="1615">
      <calculatedColumnFormula>AS$11</calculatedColumnFormula>
    </tableColumn>
    <tableColumn id="40" xr3:uid="{00000000-0010-0000-0000-000028000000}" name="EuropassCredential.description.Property.content.is" dataDxfId="1614">
      <calculatedColumnFormula>AT$11</calculatedColumnFormula>
    </tableColumn>
    <tableColumn id="41" xr3:uid="{00000000-0010-0000-0000-000029000000}" name="EuropassCredential.description.Property.content.it" dataDxfId="1613">
      <calculatedColumnFormula>AU$11</calculatedColumnFormula>
    </tableColumn>
    <tableColumn id="42" xr3:uid="{00000000-0010-0000-0000-00002A000000}" name="EuropassCredential.description.Property.content.lt" dataDxfId="1612">
      <calculatedColumnFormula>AV$11</calculatedColumnFormula>
    </tableColumn>
    <tableColumn id="43" xr3:uid="{00000000-0010-0000-0000-00002B000000}" name="EuropassCredential.description.Property.content.lv" dataDxfId="1611">
      <calculatedColumnFormula>AW$11</calculatedColumnFormula>
    </tableColumn>
    <tableColumn id="73" xr3:uid="{82D73079-5E25-4489-A9F9-73878C5B7821}" name="EuropassCredential.description.Property.content.mk" dataDxfId="1610"/>
    <tableColumn id="44" xr3:uid="{00000000-0010-0000-0000-00002C000000}" name="EuropassCredential.description.Property.content.mt" dataDxfId="1609">
      <calculatedColumnFormula>AY$11</calculatedColumnFormula>
    </tableColumn>
    <tableColumn id="45" xr3:uid="{00000000-0010-0000-0000-00002D000000}" name="EuropassCredential.description.Property.content.nl" dataDxfId="1608">
      <calculatedColumnFormula>AZ$11</calculatedColumnFormula>
    </tableColumn>
    <tableColumn id="46" xr3:uid="{00000000-0010-0000-0000-00002E000000}" name="EuropassCredential.description.Property.content.no" dataDxfId="1607">
      <calculatedColumnFormula>BA$11</calculatedColumnFormula>
    </tableColumn>
    <tableColumn id="47" xr3:uid="{00000000-0010-0000-0000-00002F000000}" name="EuropassCredential.description.Property.content.pl" dataDxfId="1606">
      <calculatedColumnFormula>BB$11</calculatedColumnFormula>
    </tableColumn>
    <tableColumn id="48" xr3:uid="{00000000-0010-0000-0000-000030000000}" name="EuropassCredential.description.Property.content.pt" dataDxfId="1605">
      <calculatedColumnFormula>BC$11</calculatedColumnFormula>
    </tableColumn>
    <tableColumn id="49" xr3:uid="{00000000-0010-0000-0000-000031000000}" name="EuropassCredential.description.Property.content.ro" dataDxfId="1604">
      <calculatedColumnFormula>BD$11</calculatedColumnFormula>
    </tableColumn>
    <tableColumn id="50" xr3:uid="{00000000-0010-0000-0000-000032000000}" name="EuropassCredential.description.Property.content.sk" dataDxfId="1603">
      <calculatedColumnFormula>BE$11</calculatedColumnFormula>
    </tableColumn>
    <tableColumn id="51" xr3:uid="{00000000-0010-0000-0000-000033000000}" name="EuropassCredential.description.Property.content.sl" dataDxfId="1602">
      <calculatedColumnFormula>BF$11</calculatedColumnFormula>
    </tableColumn>
    <tableColumn id="75" xr3:uid="{4F730A0B-D068-485C-BD31-884F9805E085}" name="EuropassCredential.description.Property.content.sr" dataDxfId="1601"/>
    <tableColumn id="74" xr3:uid="{7BB8524D-B484-4F8B-B668-CD3EA7E98C6C}" name="EuropassCredential.description.Property.content.sv" dataDxfId="1600"/>
    <tableColumn id="52" xr3:uid="{00000000-0010-0000-0000-000034000000}" name="EuropassCredential.description.Property.content.tr" dataDxfId="1599">
      <calculatedColumnFormula>BI$11</calculatedColumnFormula>
    </tableColumn>
    <tableColumn id="53" xr3:uid="{00000000-0010-0000-0000-000035000000}" name="VerifiableCredential.issuanceDate.Property." dataDxfId="1598">
      <calculatedColumnFormula>BJ$11</calculatedColumnFormula>
    </tableColumn>
    <tableColumn id="54" xr3:uid="{00000000-0010-0000-0000-000036000000}" name="VerifiableCredential.expirationDate.Property." dataDxfId="1597">
      <calculatedColumnFormula>IF(ISBLANK(BK$11),"",BK$11)</calculatedColumnFormula>
    </tableColumn>
    <tableColumn id="55" xr3:uid="{00000000-0010-0000-0000-000037000000}" name="EuropassCredential.type.Property.content." dataDxfId="1596">
      <calculatedColumnFormula>IF(ISBLANK(BL$11),"",BL$11)</calculatedColumnFormula>
    </tableColumn>
    <tableColumn id="56" xr3:uid="{00000000-0010-0000-0000-000038000000}" name="EuropassCredential.type.Property.codeId." dataDxfId="1595">
      <calculatedColumnFormula array="1">MultiMatch(Credentials[[#This Row],[EuropassCredential.type.Property.content.]],Vocabularies[name],0)</calculatedColumnFormula>
    </tableColumn>
    <tableColumn id="58" xr3:uid="{00000000-0010-0000-0000-00003A000000}" name="EuropassCredential.credentialSubject.Reference.Person." dataDxfId="1594">
      <calculatedColumnFormula>Persons[[#This Row],[Person.fullName.Property.content.en]]</calculatedColumnFormula>
    </tableColumn>
    <tableColumn id="57" xr3:uid="{00000000-0010-0000-0000-000039000000}" name="EuropassCredential.credentialSubject.Association.Person." dataDxfId="1593">
      <calculatedColumnFormula array="1">MultiMatch(Credentials[[#This Row],[EuropassCredential.credentialSubject.Reference.Person.]],PersonNames,0)</calculatedColumnFormula>
    </tableColumn>
    <tableColumn id="59" xr3:uid="{00000000-0010-0000-0000-00003B000000}" name="EuropassCredential.issuer.Reference.Organisation." dataDxfId="1592">
      <calculatedColumnFormula>BP$11</calculatedColumnFormula>
    </tableColumn>
    <tableColumn id="60" xr3:uid="{00000000-0010-0000-0000-00003C000000}" name="EuropassCredential.issuer.Association.Organisation." dataDxfId="1591">
      <calculatedColumnFormula array="1">MultiMatch(Credentials[[#This Row],[EuropassCredential.issuer.Reference.Organisation.]],OrganisationNames,0)</calculatedColumnFormula>
    </tableColumn>
    <tableColumn id="61" xr3:uid="{00000000-0010-0000-0000-00003D000000}" name="EuropassCredential.contains.NestedProperty.contentUrl.1." dataDxfId="1590"/>
    <tableColumn id="69" xr3:uid="{3FC66FF1-CD54-4085-BDB9-D432093141FB}" name="EuropassCredential.display.background.contentUrl.NestedProperty." dataDxfId="1589">
      <calculatedColumnFormula>BS$11</calculatedColumnFormula>
    </tableColumn>
    <tableColumn id="62" xr3:uid="{5FADDE77-F46F-4DB4-BA1A-AEEA44BEB8A1}" name="EuropassCredential.display.Property.html." dataDxfId="1588">
      <calculatedColumnFormula>BT$11</calculatedColumnFormula>
    </tableColumn>
    <tableColumn id="68" xr3:uid="{457024B6-B387-4A8B-B101-A5A5913F328C}" name="EuropassCredential.display.labels.NestedProperty.1.en" dataDxfId="1587">
      <calculatedColumnFormula>BU$11</calculatedColumnFormula>
    </tableColumn>
    <tableColumn id="105" xr3:uid="{75321120-1732-4B3A-A040-E74CE2E96D0D}" name="EuropassCredential.display.labels.NestedProperty.1.bg" dataDxfId="1586"/>
    <tableColumn id="104" xr3:uid="{BFC9E4F4-3B42-4F03-AEEA-5BBA45503D24}" name="EuropassCredential.display.labels.NestedProperty.1.cs" dataDxfId="1585"/>
    <tableColumn id="103" xr3:uid="{68E6994D-909A-4829-B719-3551E7E57517}" name="EuropassCredential.display.labels.NestedProperty.1.da" dataDxfId="1584"/>
    <tableColumn id="102" xr3:uid="{8B774D44-2849-4AC2-8A0E-09BECCCDD953}" name="EuropassCredential.display.labels.NestedProperty.1.de" dataDxfId="1583"/>
    <tableColumn id="101" xr3:uid="{D33E4961-29E1-4D97-AF33-0D1C5983AB7E}" name="EuropassCredential.display.labels.NestedProperty.1.el" dataDxfId="1582"/>
    <tableColumn id="100" xr3:uid="{721D27DA-55B3-44CB-811E-DCB6A2E0FBAA}" name="EuropassCredential.display.labels.NestedProperty.1.es" dataDxfId="1581"/>
    <tableColumn id="99" xr3:uid="{8FC27236-7668-4196-BCFE-9338FD0BB6EE}" name="EuropassCredential.display.labels.NestedProperty.1.et" dataDxfId="1580"/>
    <tableColumn id="98" xr3:uid="{B5D60F88-10BA-48BC-95EF-BAA2A83F30A2}" name="EuropassCredential.display.labels.NestedProperty.1.fi" dataDxfId="1579"/>
    <tableColumn id="97" xr3:uid="{C57D566B-30E6-4D82-B7C4-46236153E0E4}" name="EuropassCredential.display.labels.NestedProperty.1.fr" dataDxfId="1578"/>
    <tableColumn id="96" xr3:uid="{FFF8B867-B5CA-4F47-9006-403865DF4D11}" name="EuropassCredential.display.labels.NestedProperty.1.ga" dataDxfId="1577"/>
    <tableColumn id="95" xr3:uid="{A55C4F73-0BDB-4445-B6E4-7B07CD7193D2}" name="EuropassCredential.display.labels.NestedProperty.1.hr" dataDxfId="1576"/>
    <tableColumn id="94" xr3:uid="{E5D0F04D-873F-4E66-B3C6-F769AFD9836E}" name="EuropassCredential.display.labels.NestedProperty.1.hu" dataDxfId="1575"/>
    <tableColumn id="93" xr3:uid="{041BDA70-C05F-4300-89CA-7572BEED9FDF}" name="EuropassCredential.display.labels.NestedProperty.1.is" dataDxfId="1574"/>
    <tableColumn id="92" xr3:uid="{43261644-B1CA-40F7-A19B-2CAC51963AD3}" name="EuropassCredential.display.labels.NestedProperty.1.it" dataDxfId="1573"/>
    <tableColumn id="91" xr3:uid="{42A763EC-5527-49E3-BF49-C1E74C032BA6}" name="EuropassCredential.display.labels.NestedProperty.1.lt" dataDxfId="1572"/>
    <tableColumn id="90" xr3:uid="{9BF6C26A-96F5-43BD-90FB-D30AC11F6F55}" name="EuropassCredential.display.labels.NestedProperty.1.lv" dataDxfId="1571"/>
    <tableColumn id="89" xr3:uid="{69567EB6-D239-4922-B343-E7D2D6B74CD9}" name="EuropassCredential.display.labels.NestedProperty.1.mk" dataDxfId="1570"/>
    <tableColumn id="88" xr3:uid="{6A1F5147-B4D5-47A2-B3F2-A850DA549091}" name="EuropassCredential.display.labels.NestedProperty.1.mt" dataDxfId="1569"/>
    <tableColumn id="87" xr3:uid="{0A7BBD98-07DC-4806-8C0B-F15337FD46A0}" name="EuropassCredential.display.labels.NestedProperty.1.nl" dataDxfId="1568"/>
    <tableColumn id="86" xr3:uid="{4E4E117D-1AE0-4506-8B28-95B4EB160E0A}" name="EuropassCredential.display.labels.NestedProperty.1.no" dataDxfId="1567"/>
    <tableColumn id="85" xr3:uid="{C2EFFA91-7FC2-4339-8C50-FE5B0CF3F78E}" name="EuropassCredential.display.labels.NestedProperty.1.pl" dataDxfId="1566"/>
    <tableColumn id="84" xr3:uid="{A8055E14-66BC-4505-BBC8-6D832561B6E7}" name="EuropassCredential.display.labels.NestedProperty.1.pt" dataDxfId="1565"/>
    <tableColumn id="83" xr3:uid="{17AFB256-3FA1-4BBF-BF75-219AA74CB80B}" name="EuropassCredential.display.labels.NestedProperty.1.ro" dataDxfId="1564"/>
    <tableColumn id="82" xr3:uid="{40EDBAFD-A4E9-4700-AEB6-7CBABB75092A}" name="EuropassCredential.display.labels.NestedProperty.1.sk" dataDxfId="1563"/>
    <tableColumn id="81" xr3:uid="{0A18D388-117A-49C3-9DCB-A39A763A80D9}" name="EuropassCredential.display.labels.NestedProperty.1.sl" dataDxfId="1562"/>
    <tableColumn id="80" xr3:uid="{7F26B24B-C593-4CE7-A763-C504CF68ADD3}" name="EuropassCredential.display.labels.NestedProperty.1.sr" dataDxfId="1561"/>
    <tableColumn id="79" xr3:uid="{D842F4C4-0A44-4154-A3EF-2E94AED1EE8A}" name="EuropassCredential.display.labels.NestedProperty.1.sv" dataDxfId="1560"/>
    <tableColumn id="67" xr3:uid="{DE64B05F-8ED1-4E8B-BEB9-CD8B1559C4BB}" name="EuropassCredential.display.labels.NestedProperty.1.tr" dataDxfId="1559">
      <calculatedColumnFormula>CW$11</calculatedColumnFormula>
    </tableColumn>
    <tableColumn id="159" xr3:uid="{851E7078-7881-4E47-874B-207C19E47593}" name="EuropassCredential.display.labels#1.key.NestedProperty." dataDxfId="1558">
      <calculatedColumnFormula>CX$11</calculatedColumnFormula>
    </tableColumn>
    <tableColumn id="158" xr3:uid="{1DFA8CBE-0C93-4C26-9A09-2F04F01DAB16}" name="EuropassCredential.display.labels.NestedProperty.2.en" dataDxfId="1557">
      <calculatedColumnFormula>CY$11</calculatedColumnFormula>
    </tableColumn>
    <tableColumn id="157" xr3:uid="{BE023277-BE33-4DC2-BA9C-5521F0599624}" name="EuropassCredential.display.labels.NestedProperty.2.bg" dataDxfId="1556"/>
    <tableColumn id="156" xr3:uid="{2E16C3A4-57CC-4DFF-AB81-A3E15FB7D9D9}" name="EuropassCredential.display.labels.NestedProperty.2.cs" dataDxfId="1555"/>
    <tableColumn id="155" xr3:uid="{C79E3680-3462-41B7-A0DD-ADB4F61F87A8}" name="EuropassCredential.display.labels.NestedProperty.2.da" dataDxfId="1554"/>
    <tableColumn id="154" xr3:uid="{F636A905-0E8A-41CC-9149-A5DC940B3691}" name="EuropassCredential.display.labels.NestedProperty.2.de" dataDxfId="1553"/>
    <tableColumn id="153" xr3:uid="{99247F29-9D7E-4309-A87E-7F12D08F6ED5}" name="EuropassCredential.display.labels.NestedProperty.2.el" dataDxfId="1552"/>
    <tableColumn id="152" xr3:uid="{8051C162-FAB5-4F23-A613-ED4D0248B3B4}" name="EuropassCredential.display.labels.NestedProperty.2.es" dataDxfId="1551"/>
    <tableColumn id="151" xr3:uid="{3B10632F-31E6-435D-9E6F-3DB37E7E41B1}" name="EuropassCredential.display.labels.NestedProperty.2.et" dataDxfId="1550"/>
    <tableColumn id="150" xr3:uid="{FD7643E5-A606-4C5F-BDC2-8E8BDB104024}" name="EuropassCredential.display.labels.NestedProperty.2.fi" dataDxfId="1549"/>
    <tableColumn id="149" xr3:uid="{94DC7BC3-A4EB-42D5-B03E-D4AAFAA833BF}" name="EuropassCredential.display.labels.NestedProperty.2.fr" dataDxfId="1548"/>
    <tableColumn id="148" xr3:uid="{E59006B0-A628-43AB-8DF6-A8C9E6FAB332}" name="EuropassCredential.display.labels.NestedProperty.2.ga" dataDxfId="1547"/>
    <tableColumn id="147" xr3:uid="{79250C58-A94B-40AA-9831-909207DCAD77}" name="EuropassCredential.display.labels.NestedProperty.2.hr" dataDxfId="1546"/>
    <tableColumn id="146" xr3:uid="{0E7C9D48-7A8B-41CF-AC52-8F9CED145FC5}" name="EuropassCredential.display.labels.NestedProperty.2.hu" dataDxfId="1545"/>
    <tableColumn id="145" xr3:uid="{76130E78-25E5-4B30-A729-6BBFEFA7A658}" name="EuropassCredential.display.labels.NestedProperty.2.is" dataDxfId="1544"/>
    <tableColumn id="144" xr3:uid="{5FD73AB0-1473-47B9-B718-6ADFF5F18DB0}" name="EuropassCredential.display.labels.NestedProperty.2.it" dataDxfId="1543"/>
    <tableColumn id="143" xr3:uid="{2CEC74E9-0CDF-45D6-90B4-DC0BE0FBF87A}" name="EuropassCredential.display.labels.NestedProperty.2.lt" dataDxfId="1542"/>
    <tableColumn id="142" xr3:uid="{4FBD6CEA-2FDD-4DD3-A6C7-CF417AF95864}" name="EuropassCredential.display.labels.NestedProperty.2.lv" dataDxfId="1541"/>
    <tableColumn id="141" xr3:uid="{AAE51868-5A00-4965-826A-9AEB19F46DD1}" name="EuropassCredential.display.labels.NestedProperty.2.mk" dataDxfId="1540"/>
    <tableColumn id="140" xr3:uid="{1711B115-564A-425F-9879-449D5147AA44}" name="EuropassCredential.display.labels.NestedProperty.2.mt" dataDxfId="1539"/>
    <tableColumn id="139" xr3:uid="{A95FA674-6874-4F94-A4D5-7BDBDF9011B4}" name="EuropassCredential.display.labels.NestedProperty.2.nl" dataDxfId="1538"/>
    <tableColumn id="138" xr3:uid="{BC94BDBA-692F-44A0-93ED-29D976E5DD2C}" name="EuropassCredential.display.labels.NestedProperty.2.no" dataDxfId="1537"/>
    <tableColumn id="137" xr3:uid="{E0E09D52-441A-4351-A846-BB55BE561506}" name="EuropassCredential.display.labels.NestedProperty.2.pl" dataDxfId="1536"/>
    <tableColumn id="136" xr3:uid="{91F0F108-4A5C-4A43-92F7-1F823515C6A3}" name="EuropassCredential.display.labels.NestedProperty.2.pt" dataDxfId="1535"/>
    <tableColumn id="135" xr3:uid="{DBDCD242-05E9-4317-839B-B97562E80626}" name="EuropassCredential.display.labels.NestedProperty.2.ro" dataDxfId="1534"/>
    <tableColumn id="134" xr3:uid="{44947529-4ECB-481B-9DC0-F856F30CC0B6}" name="EuropassCredential.display.labels.NestedProperty.2.sk" dataDxfId="1533"/>
    <tableColumn id="78" xr3:uid="{8536E720-8276-4231-8DE1-87C851A90FF2}" name="EuropassCredential.display.labels.NestedProperty.2.sl" dataDxfId="1532"/>
    <tableColumn id="77" xr3:uid="{0FBA4C6B-1D78-4082-B007-5AE585E2B5E3}" name="EuropassCredential.display.labels.NestedProperty.2.sr" dataDxfId="1531"/>
    <tableColumn id="76" xr3:uid="{90769078-D1E5-4279-BD8B-19B9D1169138}" name="EuropassCredential.display.labels.NestedProperty.2.sv" dataDxfId="1530"/>
    <tableColumn id="64" xr3:uid="{03060B53-F0FD-4550-916D-838686E961C1}" name="EuropassCredential.display.labels.NestedProperty.2.tr" dataDxfId="1529"/>
    <tableColumn id="66" xr3:uid="{12449653-4429-47DF-B624-AAF6F8A38218}" name="EuropassCredential.display.labels#2.key.NestedProperty." dataDxfId="1528">
      <calculatedColumnFormula>EB$11</calculatedColumnFormula>
    </tableColumn>
    <tableColumn id="65" xr3:uid="{D598128A-E727-4705-85E0-B077FA78E862}" name="EuropassCredential.display.labels.NestedProperty.3.en" dataDxfId="1527">
      <calculatedColumnFormula>EC$11</calculatedColumnFormula>
    </tableColumn>
    <tableColumn id="133" xr3:uid="{226A2F11-5755-47E0-A4CC-E3D34E0644F0}" name="EuropassCredential.display.labels.NestedProperty.3.bg" dataDxfId="1526"/>
    <tableColumn id="132" xr3:uid="{2422FB32-2566-49E0-9228-7F34B4738950}" name="EuropassCredential.display.labels.NestedProperty.3.cs" dataDxfId="1525"/>
    <tableColumn id="131" xr3:uid="{6D6D60E8-FA0F-43D1-A44A-3A747E8B27C1}" name="EuropassCredential.display.labels.NestedProperty.3.da" dataDxfId="1524"/>
    <tableColumn id="130" xr3:uid="{3BBFA37F-C110-467B-9922-900205732C52}" name="EuropassCredential.display.labels.NestedProperty.3.de" dataDxfId="1523"/>
    <tableColumn id="129" xr3:uid="{C1B35058-CF58-455A-88C7-3D22AD7EB62D}" name="EuropassCredential.display.labels.NestedProperty.3.el" dataDxfId="1522"/>
    <tableColumn id="128" xr3:uid="{9A75739E-A6D4-4F81-B757-18CE78C30E3C}" name="EuropassCredential.display.labels.NestedProperty.3.es" dataDxfId="1521"/>
    <tableColumn id="127" xr3:uid="{50D82293-ED7A-4E7B-A5D8-6BA916EC9A64}" name="EuropassCredential.display.labels.NestedProperty.3.et" dataDxfId="1520"/>
    <tableColumn id="126" xr3:uid="{B466CA24-74F4-46AB-BF11-8F8F5D895F94}" name="EuropassCredential.display.labels.NestedProperty.3.fi" dataDxfId="1519"/>
    <tableColumn id="125" xr3:uid="{6BE216BC-B7EA-4B6E-995D-6554FFC6205F}" name="EuropassCredential.display.labels.NestedProperty.3.fr" dataDxfId="1518"/>
    <tableColumn id="124" xr3:uid="{00C96B16-880B-458F-94B3-1F1DB9C2163A}" name="EuropassCredential.display.labels.NestedProperty.3.ga" dataDxfId="1517"/>
    <tableColumn id="123" xr3:uid="{DE897661-ABF4-4823-A7CF-37F1615DFB9C}" name="EuropassCredential.display.labels.NestedProperty.3.hr" dataDxfId="1516"/>
    <tableColumn id="122" xr3:uid="{6A2EC6CC-67ED-492A-A96B-5E0C0167FE9F}" name="EuropassCredential.display.labels.NestedProperty.3.hu" dataDxfId="1515"/>
    <tableColumn id="121" xr3:uid="{80F5C48C-D796-4166-88CE-E1E60F9312EF}" name="EuropassCredential.display.labels.NestedProperty.3.is" dataDxfId="1514"/>
    <tableColumn id="120" xr3:uid="{B53E2FD8-BC05-480F-8FF4-40F1B1DFE126}" name="EuropassCredential.display.labels.NestedProperty.3.it" dataDxfId="1513"/>
    <tableColumn id="119" xr3:uid="{CD1D8361-D10E-4E92-B2BF-4E49B7D3F527}" name="EuropassCredential.display.labels.NestedProperty.3.lt" dataDxfId="1512"/>
    <tableColumn id="118" xr3:uid="{DA7871D0-E135-48EA-8630-2CE99ABB514C}" name="EuropassCredential.display.labels.NestedProperty.3.lv" dataDxfId="1511"/>
    <tableColumn id="117" xr3:uid="{2A1FDE66-D465-488E-8DF8-FB57483E9140}" name="EuropassCredential.display.labels.NestedProperty.3.mk" dataDxfId="1510"/>
    <tableColumn id="116" xr3:uid="{888F0F88-AB02-4296-9F84-F4A57C96ABAB}" name="EuropassCredential.display.labels.NestedProperty.3.mt" dataDxfId="1509"/>
    <tableColumn id="115" xr3:uid="{66E3D8D2-0374-49B0-85DB-C6D29903F03C}" name="EuropassCredential.display.labels.NestedProperty.3.nl" dataDxfId="1508"/>
    <tableColumn id="114" xr3:uid="{450D59BF-1706-4628-8A05-973D33BD1180}" name="EuropassCredential.display.labels.NestedProperty.3.no" dataDxfId="1507"/>
    <tableColumn id="113" xr3:uid="{58EB5629-E1A1-4C60-913E-D325FFEFE567}" name="EuropassCredential.display.labels.NestedProperty.3.pl" dataDxfId="1506"/>
    <tableColumn id="112" xr3:uid="{32C796C1-693A-4676-98E7-CF39EA58A171}" name="EuropassCredential.display.labels.NestedProperty.3.pt" dataDxfId="1505"/>
    <tableColumn id="111" xr3:uid="{0A4500F1-B394-428C-919B-FFDAC01DD28F}" name="EuropassCredential.display.labels.NestedProperty.3.ro" dataDxfId="1504"/>
    <tableColumn id="110" xr3:uid="{D7BEA180-BF1B-4DA9-B96B-D9DB22FE74B2}" name="EuropassCredential.display.labels.NestedProperty.3.sk" dataDxfId="1503"/>
    <tableColumn id="109" xr3:uid="{118187C8-9403-40C9-A332-64285B3E7E44}" name="EuropassCredential.display.labels.NestedProperty.3.sl" dataDxfId="1502"/>
    <tableColumn id="108" xr3:uid="{A62EB2D9-9B3E-495D-884F-05ECD34B059F}" name="EuropassCredential.display.labels.NestedProperty.3.sr" dataDxfId="1501"/>
    <tableColumn id="107" xr3:uid="{7CAACE7F-074D-465C-9AF0-9B41774A8CB0}" name="EuropassCredential.display.labels.NestedProperty.3.sv" dataDxfId="1500"/>
    <tableColumn id="106" xr3:uid="{EBBE3EF7-D06A-4371-AD35-14A43DEF3CD9}" name="EuropassCredential.display.labels.NestedProperty.3.tr" dataDxfId="1499"/>
    <tableColumn id="189" xr3:uid="{A11B990D-4778-4CDB-AF05-116A58350DA1}" name="EuropassCredential.display.labels#3.key.NestedProperty." dataDxfId="1498">
      <calculatedColumnFormula>FF$11</calculatedColumnFormula>
    </tableColumn>
    <tableColumn id="188" xr3:uid="{5F8CFE2E-9CFB-4A19-B577-B61CEDB4CC5C}" name="EuropassCredential.display.labels.NestedProperty.4.en" dataDxfId="1497">
      <calculatedColumnFormula>FG$11</calculatedColumnFormula>
    </tableColumn>
    <tableColumn id="187" xr3:uid="{3A4F0808-8ACF-4829-9D40-2FBF85133D60}" name="EuropassCredential.display.labels.NestedProperty.4.bg" dataDxfId="1496"/>
    <tableColumn id="186" xr3:uid="{8D2C0C46-95A4-4CA3-9DC9-DFAD307F46BA}" name="EuropassCredential.display.labels.NestedProperty.4.cs" dataDxfId="1495"/>
    <tableColumn id="185" xr3:uid="{627923D8-FA26-441A-B968-7B845E7CCF84}" name="EuropassCredential.display.labels.NestedProperty.4.da" dataDxfId="1494"/>
    <tableColumn id="184" xr3:uid="{D85DAFA1-7002-4FA2-8303-BFE2C95E85D6}" name="EuropassCredential.display.labels.NestedProperty.4.de" dataDxfId="1493"/>
    <tableColumn id="183" xr3:uid="{B49B70CF-9E64-4E15-888A-8758B3799C60}" name="EuropassCredential.display.labels.NestedProperty.4.el" dataDxfId="1492"/>
    <tableColumn id="182" xr3:uid="{011EF66A-B94E-45AE-964E-39EC995F2578}" name="EuropassCredential.display.labels.NestedProperty.4.es" dataDxfId="1491"/>
    <tableColumn id="181" xr3:uid="{E9A93A29-6249-43C3-947C-8CBE8D71B98A}" name="EuropassCredential.display.labels.NestedProperty.4.et" dataDxfId="1490"/>
    <tableColumn id="180" xr3:uid="{548D9213-C887-4BF0-8978-28D8167A512F}" name="EuropassCredential.display.labels.NestedProperty.4.fi" dataDxfId="1489"/>
    <tableColumn id="179" xr3:uid="{4707F815-46B2-472C-8CC3-00BC348DC6B6}" name="EuropassCredential.display.labels.NestedProperty.4.fr" dataDxfId="1488"/>
    <tableColumn id="178" xr3:uid="{92BD3A0D-0C91-4161-8475-209C0943FBC7}" name="EuropassCredential.display.labels.NestedProperty.4.ga" dataDxfId="1487"/>
    <tableColumn id="177" xr3:uid="{AA352330-9EF3-4865-A1CA-79E8FDC82AC0}" name="EuropassCredential.display.labels.NestedProperty.4.hr" dataDxfId="1486"/>
    <tableColumn id="176" xr3:uid="{02AB1F62-A926-47C8-91AF-034FDBC74F25}" name="EuropassCredential.display.labels.NestedProperty.4.hu" dataDxfId="1485"/>
    <tableColumn id="175" xr3:uid="{4854F6AE-D515-4190-BF80-B1DCD94F7FC1}" name="EuropassCredential.display.labels.NestedProperty.4.is" dataDxfId="1484"/>
    <tableColumn id="174" xr3:uid="{24A2B77B-E79A-4B40-9FC3-02CBD3655260}" name="EuropassCredential.display.labels.NestedProperty.4.it" dataDxfId="1483"/>
    <tableColumn id="173" xr3:uid="{0969D30D-1973-4D9B-9B00-98C2585EAF96}" name="EuropassCredential.display.labels.NestedProperty.4.lt" dataDxfId="1482"/>
    <tableColumn id="172" xr3:uid="{BE6C1222-43EA-44BE-8BA3-07E9B9898251}" name="EuropassCredential.display.labels.NestedProperty.4.lv" dataDxfId="1481"/>
    <tableColumn id="171" xr3:uid="{1ACFAD44-6261-44E7-A906-ED1FD73DF486}" name="EuropassCredential.display.labels.NestedProperty.4.mk" dataDxfId="1480"/>
    <tableColumn id="170" xr3:uid="{C07ADC55-E0CE-446C-A725-394FF0584700}" name="EuropassCredential.display.labels.NestedProperty.4.mt" dataDxfId="1479"/>
    <tableColumn id="169" xr3:uid="{09BDBEEF-F3B8-431A-92BD-8FDEEE43183C}" name="EuropassCredential.display.labels.NestedProperty.4.nl" dataDxfId="1478"/>
    <tableColumn id="168" xr3:uid="{A5DE0A2C-003C-4BE5-946B-D65B71B47C09}" name="EuropassCredential.display.labels.NestedProperty.4.no" dataDxfId="1477"/>
    <tableColumn id="167" xr3:uid="{91EDEB5A-F647-422C-8CA8-E1C6829994B4}" name="EuropassCredential.display.labels.NestedProperty.4.pl" dataDxfId="1476"/>
    <tableColumn id="166" xr3:uid="{DFAB6CC8-E534-41E4-8C9E-01CD94714CD3}" name="EuropassCredential.display.labels.NestedProperty.4.pt" dataDxfId="1475"/>
    <tableColumn id="165" xr3:uid="{1A0F2AF6-69EA-42E7-8B22-9639D77124CC}" name="EuropassCredential.display.labels.NestedProperty.4.ro" dataDxfId="1474"/>
    <tableColumn id="164" xr3:uid="{2B68B47C-47CC-429D-8597-A380BF00212E}" name="EuropassCredential.display.labels.NestedProperty.4.sk" dataDxfId="1473"/>
    <tableColumn id="163" xr3:uid="{91F56EEB-B5A0-42BC-93FA-74B368563988}" name="EuropassCredential.display.labels.NestedProperty.4.sl" dataDxfId="1472"/>
    <tableColumn id="162" xr3:uid="{401A223E-0ED6-4120-BBFC-C732B6F63A1C}" name="EuropassCredential.display.labels.NestedProperty.4.sr" dataDxfId="1471"/>
    <tableColumn id="161" xr3:uid="{ECDF3FBA-8D5D-4DC5-B4FE-432883E46C9C}" name="EuropassCredential.display.labels.NestedProperty.4.sv" dataDxfId="1470"/>
    <tableColumn id="160" xr3:uid="{A68223B4-5B93-4F59-A0EE-547E1343B64F}" name="EuropassCredential.display.labels.NestedProperty.4.tr" dataDxfId="1469"/>
    <tableColumn id="219" xr3:uid="{1530928C-3E92-4E68-BA71-F6EF01E8B66C}" name="EuropassCredential.display.labels#4.key.NestedProperty." dataDxfId="1468">
      <calculatedColumnFormula>GJ$11</calculatedColumnFormula>
    </tableColumn>
    <tableColumn id="218" xr3:uid="{031A9223-A66D-4494-A8A8-C9376663D3E0}" name="EuropassCredential.display.labels.NestedProperty.5.en" dataDxfId="1467">
      <calculatedColumnFormula>GK$11</calculatedColumnFormula>
    </tableColumn>
    <tableColumn id="217" xr3:uid="{5A826F0E-C523-4C82-A1D9-4A845DA514AF}" name="EuropassCredential.display.labels.NestedProperty.5.bg" dataDxfId="1466"/>
    <tableColumn id="216" xr3:uid="{EAF7EF4C-3CA1-48A6-BDD7-1EF85924C2F1}" name="EuropassCredential.display.labels.NestedProperty.5.cs" dataDxfId="1465"/>
    <tableColumn id="215" xr3:uid="{45771E58-09F2-4127-916D-C17F8CA5B4B3}" name="EuropassCredential.display.labels.NestedProperty.5.da" dataDxfId="1464"/>
    <tableColumn id="214" xr3:uid="{F6B2BA10-B53F-4FB9-87EC-B34544E151D4}" name="EuropassCredential.display.labels.NestedProperty.5.de" dataDxfId="1463"/>
    <tableColumn id="213" xr3:uid="{56ACE5B5-DAA1-409B-A254-378A9590FE16}" name="EuropassCredential.display.labels.NestedProperty.5.el" dataDxfId="1462"/>
    <tableColumn id="212" xr3:uid="{BF034AB6-AED7-450E-A327-80CB57C08C61}" name="EuropassCredential.display.labels.NestedProperty.5.es" dataDxfId="1461"/>
    <tableColumn id="211" xr3:uid="{56476904-E65F-4099-8233-151642817AF7}" name="EuropassCredential.display.labels.NestedProperty.5.et" dataDxfId="1460"/>
    <tableColumn id="210" xr3:uid="{7C039C0E-4A7A-4638-85FB-8CF09DB7CD6B}" name="EuropassCredential.display.labels.NestedProperty.5.fi" dataDxfId="1459"/>
    <tableColumn id="209" xr3:uid="{FB967F57-3FDC-4D37-92BF-9561C7825BA6}" name="EuropassCredential.display.labels.NestedProperty.5.fr" dataDxfId="1458"/>
    <tableColumn id="208" xr3:uid="{57BF8836-7677-4F86-8E95-C80948C82090}" name="EuropassCredential.display.labels.NestedProperty.5.ga" dataDxfId="1457"/>
    <tableColumn id="207" xr3:uid="{3858F48F-4618-4977-A28E-F6DCE22D23BA}" name="EuropassCredential.display.labels.NestedProperty.5.hr" dataDxfId="1456"/>
    <tableColumn id="206" xr3:uid="{7EE542CE-BF97-4184-BFB3-4D5A6E3D04EE}" name="EuropassCredential.display.labels.NestedProperty.5.hu" dataDxfId="1455"/>
    <tableColumn id="205" xr3:uid="{35B68F4C-DC2B-4FCF-AF7F-5B236B840573}" name="EuropassCredential.display.labels.NestedProperty.5.is" dataDxfId="1454"/>
    <tableColumn id="204" xr3:uid="{449F411D-7787-4961-A75C-FD04787033C0}" name="EuropassCredential.display.labels.NestedProperty.5.it" dataDxfId="1453"/>
    <tableColumn id="203" xr3:uid="{A69E43B6-340C-49EB-A1C9-8677638E7290}" name="EuropassCredential.display.labels.NestedProperty.5.lt" dataDxfId="1452"/>
    <tableColumn id="202" xr3:uid="{8A60007D-B3ED-45C3-8543-0585F47C4E81}" name="EuropassCredential.display.labels.NestedProperty.5.lv" dataDxfId="1451"/>
    <tableColumn id="201" xr3:uid="{2BB29F7B-3E53-483C-8481-AE7E5755E56D}" name="EuropassCredential.display.labels.NestedProperty.5.mk" dataDxfId="1450"/>
    <tableColumn id="200" xr3:uid="{AA8EB67F-9707-48E8-A7D6-244B79735335}" name="EuropassCredential.display.labels.NestedProperty.5.mt" dataDxfId="1449"/>
    <tableColumn id="199" xr3:uid="{E27200E6-62C3-4CCC-8FB8-A9BAE15CEC48}" name="EuropassCredential.display.labels.NestedProperty.5.nl" dataDxfId="1448"/>
    <tableColumn id="198" xr3:uid="{BE0A6BA4-8548-4DB0-8092-0395A4379336}" name="EuropassCredential.display.labels.NestedProperty.5.no" dataDxfId="1447"/>
    <tableColumn id="197" xr3:uid="{F4751960-E8BD-4E3D-824C-8974E6395787}" name="EuropassCredential.display.labels.NestedProperty.5.pl" dataDxfId="1446"/>
    <tableColumn id="196" xr3:uid="{D567921F-E123-469D-8966-3A7A0B879211}" name="EuropassCredential.display.labels.NestedProperty.5.pt" dataDxfId="1445"/>
    <tableColumn id="195" xr3:uid="{246F34B8-DCC2-45D1-9A97-6F29504A909E}" name="EuropassCredential.display.labels.NestedProperty.5.ro" dataDxfId="1444"/>
    <tableColumn id="194" xr3:uid="{DED4A191-CC52-4938-A48A-038595683A6E}" name="EuropassCredential.display.labels.NestedProperty.5.sk" dataDxfId="1443"/>
    <tableColumn id="193" xr3:uid="{ED95BE90-B74A-4FA1-A12E-B37A7E6A917C}" name="EuropassCredential.display.labels.NestedProperty.5.sl" dataDxfId="1442"/>
    <tableColumn id="192" xr3:uid="{AF0DAAC3-E59B-4D95-BC96-C7E3EC94318D}" name="EuropassCredential.display.labels.NestedProperty.5.sr" dataDxfId="1441"/>
    <tableColumn id="191" xr3:uid="{59778467-7AD1-4F73-9EAC-984A6F01C27C}" name="EuropassCredential.display.labels.NestedProperty.5.sv" dataDxfId="1440"/>
    <tableColumn id="190" xr3:uid="{A9F202E9-0666-4BB2-8AB6-BDC60BFF4B56}" name="EuropassCredential.display.labels.NestedProperty.5.tr" dataDxfId="1439"/>
    <tableColumn id="63" xr3:uid="{00000000-0010-0000-0000-00003F000000}" name="EuropassCredential.display.labels#5.key.NestedProperty." dataDxfId="1438">
      <calculatedColumnFormula>HN$11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Persons" displayName="Persons" ref="B12:CA16" totalsRowShown="0" headerRowDxfId="1437" dataDxfId="1436">
  <autoFilter ref="B12:CA16" xr:uid="{00000000-0009-0000-0100-00000E000000}"/>
  <tableColumns count="78">
    <tableColumn id="1" xr3:uid="{00000000-0010-0000-0100-000001000000}" name="Person.fullName.Property.content.en" dataDxfId="1435">
      <calculatedColumnFormula>TRIM(CONCATENATE(Persons[[#This Row],[Person.givenNames.Property.content.en]]," ",Persons[[#This Row],[Person.familyName.Property.content.en]]))</calculatedColumnFormula>
    </tableColumn>
    <tableColumn id="27" xr3:uid="{00000000-0010-0000-0100-00001B000000}" name="Person.givenNames.Property.content.en" dataDxfId="1434"/>
    <tableColumn id="53" xr3:uid="{00000000-0010-0000-0100-000035000000}" name="Person.familyName.Property.content.en" dataDxfId="1433"/>
    <tableColumn id="60" xr3:uid="{00000000-0010-0000-0100-00003C000000}" name="Person.dateOfBirth.Property." dataDxfId="1432"/>
    <tableColumn id="59" xr3:uid="{0CB7348C-806C-4195-B4C1-CA4279A3FE3A}" name="Person.birthName.Property." dataDxfId="1431"/>
    <tableColumn id="63" xr3:uid="{FC62F2A9-BE29-40CD-82FD-7AC3B9D640AC}" name="Person.patronymicName.Property." dataDxfId="1430"/>
    <tableColumn id="52" xr3:uid="{00000000-0010-0000-0100-000034000000}" name="Column22" dataDxfId="1429"/>
    <tableColumn id="51" xr3:uid="{00000000-0010-0000-0100-000033000000}" name="Column1" dataDxfId="1428">
      <calculatedColumnFormula array="1">MultiMatch(Persons[[#This Row],[Column22]],Vocabularies[name],0)</calculatedColumnFormula>
    </tableColumn>
    <tableColumn id="61" xr3:uid="{00000000-0010-0000-0100-00003D000000}" name="Person.nationalId.content.NestedProperty." dataDxfId="1427"/>
    <tableColumn id="78" xr3:uid="{00000000-0010-0000-0100-00004E000000}" name="Person.nationalId.identifierSchemeAgencyName.NestedProperty." dataDxfId="1426">
      <calculatedColumnFormula>IF(ISBLANK(K$11),"",K$11)</calculatedColumnFormula>
    </tableColumn>
    <tableColumn id="62" xr3:uid="{00000000-0010-0000-0100-00003E000000}" name="Person.nationalId.spatialId.NestedProperty." dataDxfId="1425">
      <calculatedColumnFormula>IFERROR(VLOOKUP(Persons[[#This Row],[Person.nationalId.identifierSchemeAgencyName.NestedProperty.]],References!$A$47:$F$328,5),"")</calculatedColumnFormula>
    </tableColumn>
    <tableColumn id="79" xr3:uid="{00000000-0010-0000-0100-00004F000000}" name="Person.placeOfBirth.spatialCode.Reference." dataDxfId="1424">
      <calculatedColumnFormula>IF(ISBLANK(M$11),"",M$11)</calculatedColumnFormula>
    </tableColumn>
    <tableColumn id="80" xr3:uid="{00000000-0010-0000-0100-000050000000}" name="Person.placeOfBirth.spatialCode.NestedAssociation.code." dataDxfId="1423">
      <calculatedColumnFormula array="1">MultiMatch(Persons[[#This Row],[Person.placeOfBirth.spatialCode.Reference.]],Vocabularies[name],0)</calculatedColumnFormula>
    </tableColumn>
    <tableColumn id="50" xr3:uid="{00000000-0010-0000-0100-000032000000}" name="Person.citizenshipCountry.citizenshipCountry.MultiReference." dataDxfId="1422">
      <calculatedColumnFormula>IF(ISBLANK(O$11),"",O$11)</calculatedColumnFormula>
    </tableColumn>
    <tableColumn id="49" xr3:uid="{00000000-0010-0000-0100-000031000000}" name="Person.citizenshipCountry.citizenshipCountry.Association.Code." dataDxfId="1421">
      <calculatedColumnFormula array="1">MultiMatch(Persons[[#This Row],[Person.citizenshipCountry.citizenshipCountry.MultiReference.]],Vocabularies[name],0)</calculatedColumnFormula>
    </tableColumn>
    <tableColumn id="64" xr3:uid="{00000000-0010-0000-0100-000040000000}" name="Person.identifier#1.identifierSchemeId.NestedProperty." dataDxfId="1420">
      <calculatedColumnFormula>IF(ISBLANK(Q$11),"",Q$11)</calculatedColumnFormula>
    </tableColumn>
    <tableColumn id="65" xr3:uid="{00000000-0010-0000-0100-000041000000}" name="Person.identifier#1.content.NestedProperty." dataDxfId="1419"/>
    <tableColumn id="66" xr3:uid="{00000000-0010-0000-0100-000042000000}" name="Person.identifier#2.identifierSchemeId.NestedProperty." dataDxfId="1418">
      <calculatedColumnFormula>IF(ISBLANK(S$11),"",S$11)</calculatedColumnFormula>
    </tableColumn>
    <tableColumn id="67" xr3:uid="{00000000-0010-0000-0100-000043000000}" name="Person.identifier#2.content.NestedProperty." dataDxfId="1417"/>
    <tableColumn id="68" xr3:uid="{00000000-0010-0000-0100-000044000000}" name="Person.contactPoint#1.email.NestedProperty.id.1." dataDxfId="1416"/>
    <tableColumn id="69" xr3:uid="{00000000-0010-0000-0100-000045000000}" name="Person.contactPoint#1.walletAddress#1.id.NestedProperty." dataDxfId="1415"/>
    <tableColumn id="2" xr3:uid="{00000000-0010-0000-0100-000002000000}" name="Person.contactPoint#1.hasAddress#2.fullAddress.NestedProperty.content.en" dataDxfId="1414"/>
    <tableColumn id="3" xr3:uid="{00000000-0010-0000-0100-000003000000}" name="Person.contactPoint#1.hasAddress#2.fullAddress.NestedProperty.content.bg" dataDxfId="1413"/>
    <tableColumn id="4" xr3:uid="{00000000-0010-0000-0100-000004000000}" name="Person.contactPoint#1.hasAddress#2.fullAddress.NestedProperty.content.cs" dataDxfId="1412"/>
    <tableColumn id="5" xr3:uid="{00000000-0010-0000-0100-000005000000}" name="Person.contactPoint#1.hasAddress#2.fullAddress.NestedProperty.content.da" dataDxfId="1411"/>
    <tableColumn id="6" xr3:uid="{00000000-0010-0000-0100-000006000000}" name="Person.contactPoint#1.hasAddress#2.fullAddress.NestedProperty.content.de" dataDxfId="1410"/>
    <tableColumn id="7" xr3:uid="{00000000-0010-0000-0100-000007000000}" name="Person.contactPoint#1.hasAddress#2.fullAddress.NestedProperty.content.el" dataDxfId="1409"/>
    <tableColumn id="8" xr3:uid="{00000000-0010-0000-0100-000008000000}" name="Person.contactPoint#1.hasAddress#2.fullAddress.NestedProperty.content.es" dataDxfId="1408"/>
    <tableColumn id="9" xr3:uid="{00000000-0010-0000-0100-000009000000}" name="Person.contactPoint#1.hasAddress#2.fullAddress.NestedProperty.content.et" dataDxfId="1407"/>
    <tableColumn id="10" xr3:uid="{00000000-0010-0000-0100-00000A000000}" name="Person.contactPoint#1.hasAddress#2.fullAddress.NestedProperty.content.fi" dataDxfId="1406"/>
    <tableColumn id="11" xr3:uid="{00000000-0010-0000-0100-00000B000000}" name="Person.contactPoint#1.hasAddress#2.fullAddress.NestedProperty.content.fr" dataDxfId="1405"/>
    <tableColumn id="12" xr3:uid="{00000000-0010-0000-0100-00000C000000}" name="Person.contactPoint#1.hasAddress#2.fullAddress.NestedProperty.content.ga" dataDxfId="1404"/>
    <tableColumn id="13" xr3:uid="{00000000-0010-0000-0100-00000D000000}" name="Person.contactPoint#1.hasAddress#2.fullAddress.NestedProperty.content.hr" dataDxfId="1403"/>
    <tableColumn id="14" xr3:uid="{00000000-0010-0000-0100-00000E000000}" name="Person.contactPoint#1.hasAddress#2.fullAddress.NestedProperty.content.hu" dataDxfId="1402"/>
    <tableColumn id="15" xr3:uid="{00000000-0010-0000-0100-00000F000000}" name="Person.contactPoint#1.hasAddress#2.fullAddress.NestedProperty.content.is" dataDxfId="1401"/>
    <tableColumn id="16" xr3:uid="{00000000-0010-0000-0100-000010000000}" name="Person.contactPoint#1.hasAddress#2.fullAddress.NestedProperty.content.it" dataDxfId="1400"/>
    <tableColumn id="17" xr3:uid="{00000000-0010-0000-0100-000011000000}" name="Person.contactPoint#1.hasAddress#2.fullAddress.NestedProperty.content.lt" dataDxfId="1399"/>
    <tableColumn id="18" xr3:uid="{00000000-0010-0000-0100-000012000000}" name="Person.contactPoint#1.hasAddress#2.fullAddress.NestedProperty.content.lv" dataDxfId="1398"/>
    <tableColumn id="56" xr3:uid="{2BA02BAE-B45C-4779-A630-172865D3A12A}" name="Person.contactPoint#1.hasAddress#2.fullAddress.NestedProperty.content.mk" dataDxfId="1397"/>
    <tableColumn id="19" xr3:uid="{00000000-0010-0000-0100-000013000000}" name="Person.contactPoint#1.hasAddress#2.fullAddress.NestedProperty.content.mt" dataDxfId="1396"/>
    <tableColumn id="20" xr3:uid="{00000000-0010-0000-0100-000014000000}" name="Person.contactPoint#1.hasAddress#2.fullAddress.NestedProperty.content.nl" dataDxfId="1395"/>
    <tableColumn id="21" xr3:uid="{00000000-0010-0000-0100-000015000000}" name="Person.contactPoint#1.hasAddress#2.fullAddress.NestedProperty.content.no" dataDxfId="1394"/>
    <tableColumn id="22" xr3:uid="{00000000-0010-0000-0100-000016000000}" name="Person.contactPoint#1.hasAddress#2.fullAddress.NestedProperty.content.pl" dataDxfId="1393"/>
    <tableColumn id="23" xr3:uid="{00000000-0010-0000-0100-000017000000}" name="Person.contactPoint#1.hasAddress#2.fullAddress.NestedProperty.content.pt" dataDxfId="1392"/>
    <tableColumn id="24" xr3:uid="{00000000-0010-0000-0100-000018000000}" name="Person.contactPoint#1.hasAddress#2.fullAddress.NestedProperty.content.ro" dataDxfId="1391"/>
    <tableColumn id="25" xr3:uid="{00000000-0010-0000-0100-000019000000}" name="Person.contactPoint#1.hasAddress#2.fullAddress.NestedProperty.content.sk" dataDxfId="1390"/>
    <tableColumn id="26" xr3:uid="{00000000-0010-0000-0100-00001A000000}" name="Person.contactPoint#1.hasAddress#2.fullAddress.NestedProperty.content.sl" dataDxfId="1389"/>
    <tableColumn id="58" xr3:uid="{971E0A2E-443F-4A93-9857-EE746EC14A7F}" name="Person.contactPoint#1.hasAddress#2.fullAddress.NestedProperty.content.sr" dataDxfId="1388"/>
    <tableColumn id="57" xr3:uid="{E1957543-EE50-4FCE-BC46-E6E7CCF3B064}" name="Person.contactPoint#1.hasAddress#2.fullAddress.NestedProperty.content.sv" dataDxfId="1387"/>
    <tableColumn id="28" xr3:uid="{00000000-0010-0000-0100-00001C000000}" name="Person.contactPoint#1.hasAddress#2.fullAddress.NestedProperty.content.tr" dataDxfId="1386"/>
    <tableColumn id="55" xr3:uid="{00000000-0010-0000-0100-000037000000}" name="Person.contactPoint#1.postalAddress#1.countryCode.Reference." dataDxfId="1385">
      <calculatedColumnFormula>IF(ISBLANK(AZ$11),"",AZ$11)</calculatedColumnFormula>
    </tableColumn>
    <tableColumn id="54" xr3:uid="{00000000-0010-0000-0100-000036000000}" name="Person.contactPoint#1.postalAddress#1.countryCode.NestedAssociation." dataDxfId="1384">
      <calculatedColumnFormula array="1">MultiMatch(Persons[[#This Row],[Person.contactPoint'#1.postalAddress'#1.countryCode.Reference.]],Vocabularies[name],0)</calculatedColumnFormula>
    </tableColumn>
    <tableColumn id="70" xr3:uid="{00000000-0010-0000-0100-000046000000}" name="Person.achieved.MultiReference.LearningAchievement." dataDxfId="1383">
      <calculatedColumnFormula>IF(ISBLANK(BB$11),"",BB$11)</calculatedColumnFormula>
    </tableColumn>
    <tableColumn id="71" xr3:uid="{00000000-0010-0000-0100-000047000000}" name="Person.achieved.Association.LearningAchievement." dataDxfId="1382">
      <calculatedColumnFormula array="1">MultiMatch(Persons[[#This Row],[Person.achieved.MultiReference.LearningAchievement.]],AchievementNames,0)</calculatedColumnFormula>
    </tableColumn>
    <tableColumn id="72" xr3:uid="{00000000-0010-0000-0100-000048000000}" name="Person.performed.MultiReference.LearningActivity." dataDxfId="1381">
      <calculatedColumnFormula>IF(ISBLANK(BD$11),"",BD$11)</calculatedColumnFormula>
    </tableColumn>
    <tableColumn id="73" xr3:uid="{00000000-0010-0000-0100-000049000000}" name="Person.performed.Association.LearningActivity." dataDxfId="1380">
      <calculatedColumnFormula array="1">MultiMatch(Persons[[#This Row],[Person.performed.MultiReference.LearningActivity.]],ActivityNames,0)</calculatedColumnFormula>
    </tableColumn>
    <tableColumn id="74" xr3:uid="{00000000-0010-0000-0100-00004A000000}" name="Person.entitledTo.MultiReference.Entitlement." dataDxfId="1379">
      <calculatedColumnFormula>IF(ISBLANK(BF$11),"",BF$11)</calculatedColumnFormula>
    </tableColumn>
    <tableColumn id="75" xr3:uid="{00000000-0010-0000-0100-00004B000000}" name="Person.entitledTo.Association.Entitlement." dataDxfId="1378">
      <calculatedColumnFormula array="1">MultiMatch(Persons[[#This Row],[Person.entitledTo.MultiReference.Entitlement.]],EntitlementNames,0)</calculatedColumnFormula>
    </tableColumn>
    <tableColumn id="29" xr3:uid="{00000000-0010-0000-0100-00001D000000}" name="Person.13.GradesAssociation." dataDxfId="1377"/>
    <tableColumn id="30" xr3:uid="{00000000-0010-0000-0100-00001E000000}" name="Person.14.GradesAssociation." dataDxfId="1376"/>
    <tableColumn id="31" xr3:uid="{00000000-0010-0000-0100-00001F000000}" name="Person.15.GradesAssociation." dataDxfId="1375"/>
    <tableColumn id="32" xr3:uid="{00000000-0010-0000-0100-000020000000}" name="Person.16.GradesAssociation." dataDxfId="1374"/>
    <tableColumn id="33" xr3:uid="{00000000-0010-0000-0100-000021000000}" name="Person.17.GradesAssociation." dataDxfId="1373"/>
    <tableColumn id="34" xr3:uid="{00000000-0010-0000-0100-000022000000}" name="Person.18.GradesAssociation." dataDxfId="1372"/>
    <tableColumn id="35" xr3:uid="{00000000-0010-0000-0100-000023000000}" name="Person.19.GradesAssociation." dataDxfId="1371"/>
    <tableColumn id="36" xr3:uid="{00000000-0010-0000-0100-000024000000}" name="Person.20.GradesAssociation." dataDxfId="1370"/>
    <tableColumn id="37" xr3:uid="{00000000-0010-0000-0100-000025000000}" name="Person.21.GradesAssociation." dataDxfId="1369"/>
    <tableColumn id="38" xr3:uid="{00000000-0010-0000-0100-000026000000}" name="Person.22.GradesAssociation." dataDxfId="1368"/>
    <tableColumn id="39" xr3:uid="{00000000-0010-0000-0100-000027000000}" name="Person.23.GradesAssociation." dataDxfId="1367"/>
    <tableColumn id="40" xr3:uid="{00000000-0010-0000-0100-000028000000}" name="Person.24.GradesAssociation." dataDxfId="1366"/>
    <tableColumn id="41" xr3:uid="{00000000-0010-0000-0100-000029000000}" name="Person.25.GradesAssociation." dataDxfId="1365"/>
    <tableColumn id="42" xr3:uid="{00000000-0010-0000-0100-00002A000000}" name="Person.26.GradesAssociation." dataDxfId="1364"/>
    <tableColumn id="43" xr3:uid="{00000000-0010-0000-0100-00002B000000}" name="Person.27.GradesAssociation." dataDxfId="1363"/>
    <tableColumn id="44" xr3:uid="{00000000-0010-0000-0100-00002C000000}" name="Person.28.GradesAssociation." dataDxfId="1362"/>
    <tableColumn id="45" xr3:uid="{00000000-0010-0000-0100-00002D000000}" name="Person.29.GradesAssociation." dataDxfId="1361"/>
    <tableColumn id="46" xr3:uid="{00000000-0010-0000-0100-00002E000000}" name="Person.30.GradesAssociation." dataDxfId="1360"/>
    <tableColumn id="47" xr3:uid="{00000000-0010-0000-0100-00002F000000}" name="Person.31.GradesAssociation." dataDxfId="1359"/>
    <tableColumn id="48" xr3:uid="{00000000-0010-0000-0100-000030000000}" name="Person.32.GradesAssociation." dataDxfId="135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2000000}" name="Organisations" displayName="Organisations" ref="B12:EE13" totalsRowShown="0" headerRowDxfId="1357" dataDxfId="1356">
  <autoFilter ref="B12:EE13" xr:uid="{00000000-0009-0000-0100-00000F000000}"/>
  <tableColumns count="134">
    <tableColumn id="1" xr3:uid="{00000000-0010-0000-0200-000001000000}" name="Organisation.preferredName.Property.content.en" dataDxfId="1355"/>
    <tableColumn id="2" xr3:uid="{00000000-0010-0000-0200-000002000000}" name="Organisation.preferredName.Property.content.bg" dataDxfId="1354"/>
    <tableColumn id="3" xr3:uid="{00000000-0010-0000-0200-000003000000}" name="Organisation.preferredName.Property.content.cs" dataDxfId="1353"/>
    <tableColumn id="5" xr3:uid="{00000000-0010-0000-0200-000005000000}" name="Organisation.preferredName.Property.content.da" dataDxfId="1352"/>
    <tableColumn id="6" xr3:uid="{00000000-0010-0000-0200-000006000000}" name="Organisation.preferredName.Property.content.de" dataDxfId="1351"/>
    <tableColumn id="25" xr3:uid="{00000000-0010-0000-0200-000019000000}" name="Organisation.preferredName.Property.content.el" dataDxfId="1350"/>
    <tableColumn id="26" xr3:uid="{00000000-0010-0000-0200-00001A000000}" name="Organisation.preferredName.Property.content.es" dataDxfId="1349"/>
    <tableColumn id="27" xr3:uid="{00000000-0010-0000-0200-00001B000000}" name="Organisation.preferredName.Property.content.et" dataDxfId="1348"/>
    <tableColumn id="28" xr3:uid="{00000000-0010-0000-0200-00001C000000}" name="Organisation.preferredName.Property.content.fi" dataDxfId="1347"/>
    <tableColumn id="29" xr3:uid="{00000000-0010-0000-0200-00001D000000}" name="Organisation.preferredName.Property.content.fr" dataDxfId="1346"/>
    <tableColumn id="30" xr3:uid="{00000000-0010-0000-0200-00001E000000}" name="Organisation.preferredName.Property.content.ga" dataDxfId="1345"/>
    <tableColumn id="31" xr3:uid="{00000000-0010-0000-0200-00001F000000}" name="Organisation.preferredName.Property.content.hr" dataDxfId="1344"/>
    <tableColumn id="32" xr3:uid="{00000000-0010-0000-0200-000020000000}" name="Organisation.preferredName.Property.content.hu" dataDxfId="1343"/>
    <tableColumn id="33" xr3:uid="{00000000-0010-0000-0200-000021000000}" name="Organisation.preferredName.Property.content.is" dataDxfId="1342"/>
    <tableColumn id="34" xr3:uid="{00000000-0010-0000-0200-000022000000}" name="Organisation.preferredName.Property.content.it" dataDxfId="1341"/>
    <tableColumn id="35" xr3:uid="{00000000-0010-0000-0200-000023000000}" name="Organisation.preferredName.Property.content.lt" dataDxfId="1340"/>
    <tableColumn id="36" xr3:uid="{00000000-0010-0000-0200-000024000000}" name="Organisation.preferredName.Property.content.lv" dataDxfId="1339"/>
    <tableColumn id="10" xr3:uid="{BC46CD20-76A4-480F-85C2-CCBEAC7FEDA6}" name="Organisation.preferredName.Property.content.mk" dataDxfId="1338"/>
    <tableColumn id="37" xr3:uid="{00000000-0010-0000-0200-000025000000}" name="Organisation.preferredName.Property.content.mt" dataDxfId="1337"/>
    <tableColumn id="38" xr3:uid="{00000000-0010-0000-0200-000026000000}" name="Organisation.preferredName.Property.content.nl" dataDxfId="1336"/>
    <tableColumn id="39" xr3:uid="{00000000-0010-0000-0200-000027000000}" name="Organisation.preferredName.Property.content.no" dataDxfId="1335"/>
    <tableColumn id="40" xr3:uid="{00000000-0010-0000-0200-000028000000}" name="Organisation.preferredName.Property.content.pl" dataDxfId="1334"/>
    <tableColumn id="41" xr3:uid="{00000000-0010-0000-0200-000029000000}" name="Organisation.preferredName.Property.content.pt" dataDxfId="1333"/>
    <tableColumn id="42" xr3:uid="{00000000-0010-0000-0200-00002A000000}" name="Organisation.preferredName.Property.content.ro" dataDxfId="1332"/>
    <tableColumn id="43" xr3:uid="{00000000-0010-0000-0200-00002B000000}" name="Organisation.preferredName.Property.content.sk" dataDxfId="1331"/>
    <tableColumn id="44" xr3:uid="{00000000-0010-0000-0200-00002C000000}" name="Organisation.preferredName.Property.content.sl" dataDxfId="1330"/>
    <tableColumn id="74" xr3:uid="{C919566B-EE7C-450B-817D-3A5068063883}" name="Organisation.preferredName.Property.content.sr" dataDxfId="1329"/>
    <tableColumn id="73" xr3:uid="{FB711CDA-6653-4B3D-8B54-15C66845B22E}" name="Organisation.preferredName.Property.content.sv" dataDxfId="1328"/>
    <tableColumn id="45" xr3:uid="{00000000-0010-0000-0200-00002D000000}" name="Organisation.preferredName.Property.content.tr" dataDxfId="1327"/>
    <tableColumn id="4" xr3:uid="{00000000-0010-0000-0200-000004000000}" name="Organisation.alternativeName.Property.content.1.en" dataDxfId="1326"/>
    <tableColumn id="46" xr3:uid="{00000000-0010-0000-0200-00002E000000}" name="Organisation.alternativeName.Property.content.2.bg" dataDxfId="1325"/>
    <tableColumn id="47" xr3:uid="{00000000-0010-0000-0200-00002F000000}" name="Organisation.alternativeName.Property.content.3.cs" dataDxfId="1324"/>
    <tableColumn id="48" xr3:uid="{00000000-0010-0000-0200-000030000000}" name="Organisation.alternativeName.Property.content.4.da" dataDxfId="1323"/>
    <tableColumn id="49" xr3:uid="{00000000-0010-0000-0200-000031000000}" name="Organisation.alternativeName.Property.content.5.de" dataDxfId="1322"/>
    <tableColumn id="50" xr3:uid="{00000000-0010-0000-0200-000032000000}" name="Organisation.alternativeName.Property.content.6.el" dataDxfId="1321"/>
    <tableColumn id="51" xr3:uid="{00000000-0010-0000-0200-000033000000}" name="Organisation.alternativeName.Property.content.7.es" dataDxfId="1320"/>
    <tableColumn id="52" xr3:uid="{00000000-0010-0000-0200-000034000000}" name="Organisation.alternativeName.Property.content.8.et" dataDxfId="1319"/>
    <tableColumn id="53" xr3:uid="{00000000-0010-0000-0200-000035000000}" name="Organisation.alternativeName.Property.content.9.fi" dataDxfId="1318"/>
    <tableColumn id="54" xr3:uid="{00000000-0010-0000-0200-000036000000}" name="Organisation.alternativeName.Property.content.10.fr" dataDxfId="1317"/>
    <tableColumn id="55" xr3:uid="{00000000-0010-0000-0200-000037000000}" name="Organisation.alternativeName.Property.content.11.ga" dataDxfId="1316"/>
    <tableColumn id="56" xr3:uid="{00000000-0010-0000-0200-000038000000}" name="Organisation.alternativeName.Property.content.12.hr" dataDxfId="1315"/>
    <tableColumn id="57" xr3:uid="{00000000-0010-0000-0200-000039000000}" name="Organisation.alternativeName.Property.content.13.hu" dataDxfId="1314"/>
    <tableColumn id="58" xr3:uid="{00000000-0010-0000-0200-00003A000000}" name="Organisation.alternativeName.Property.content.14.is" dataDxfId="1313"/>
    <tableColumn id="59" xr3:uid="{00000000-0010-0000-0200-00003B000000}" name="Organisation.alternativeName.Property.content.15.it" dataDxfId="1312"/>
    <tableColumn id="60" xr3:uid="{00000000-0010-0000-0200-00003C000000}" name="Organisation.alternativeName.Property.content.16.lt" dataDxfId="1311"/>
    <tableColumn id="61" xr3:uid="{00000000-0010-0000-0200-00003D000000}" name="Organisation.alternativeName.Property.content.17.lv" dataDxfId="1310"/>
    <tableColumn id="75" xr3:uid="{A76A8D75-91C6-48AF-9F5F-10B0B2795EE3}" name="Organisation.alternativeName.Property.content.18.mk" dataDxfId="1309"/>
    <tableColumn id="62" xr3:uid="{00000000-0010-0000-0200-00003E000000}" name="Organisation.alternativeName.Property.content.19.mt" dataDxfId="1308"/>
    <tableColumn id="63" xr3:uid="{00000000-0010-0000-0200-00003F000000}" name="Organisation.alternativeName.Property.content.20.nl" dataDxfId="1307"/>
    <tableColumn id="64" xr3:uid="{00000000-0010-0000-0200-000040000000}" name="Organisation.alternativeName.Property.content.21.no" dataDxfId="1306"/>
    <tableColumn id="65" xr3:uid="{00000000-0010-0000-0200-000041000000}" name="Organisation.alternativeName.Property.content.22.pl" dataDxfId="1305"/>
    <tableColumn id="66" xr3:uid="{00000000-0010-0000-0200-000042000000}" name="Organisation.alternativeName.Property.content.23.pt" dataDxfId="1304"/>
    <tableColumn id="67" xr3:uid="{00000000-0010-0000-0200-000043000000}" name="Organisation.alternativeName.Property.content.24.ro" dataDxfId="1303"/>
    <tableColumn id="68" xr3:uid="{00000000-0010-0000-0200-000044000000}" name="Organisation.alternativeName.Property.content.25.sk" dataDxfId="1302"/>
    <tableColumn id="69" xr3:uid="{00000000-0010-0000-0200-000045000000}" name="Organisation.alternativeName.Property.content.26.sl" dataDxfId="1301"/>
    <tableColumn id="127" xr3:uid="{7E9724A6-03F8-40CD-95D7-E177122363B9}" name="Organisation.alternativeName.Property.content.27.sr" dataDxfId="1300"/>
    <tableColumn id="76" xr3:uid="{D8138989-B7EC-4C77-87FE-36475BE0FDF3}" name="Organisation.alternativeName.Property.content.28.sv" dataDxfId="1299"/>
    <tableColumn id="70" xr3:uid="{00000000-0010-0000-0200-000046000000}" name="Organisation.alternativeName.Property.content.29.tr" dataDxfId="1298"/>
    <tableColumn id="71" xr3:uid="{00000000-0010-0000-0200-000047000000}" name="Organisation.legalIdentifier#1.content.NestedProperty." dataDxfId="1297"/>
    <tableColumn id="7" xr3:uid="{00000000-0010-0000-0200-000007000000}" name="Organisation.logo.contentUrl.NestedProperty." dataDxfId="1296" dataCellStyle="Hyperlink"/>
    <tableColumn id="8" xr3:uid="{00000000-0010-0000-0200-000008000000}" name="Organisation.homepage#1.id.NestedProperty." dataDxfId="1295" dataCellStyle="Hyperlink"/>
    <tableColumn id="9" xr3:uid="{00000000-0010-0000-0200-000009000000}" name="Agent.hasLocation#1.geographicName.NestedProperty.content.en" dataDxfId="1294"/>
    <tableColumn id="102" xr3:uid="{00000000-0010-0000-0200-000066000000}" name="Agent.hasLocation#2.geographicName.NestedProperty.content.bg" dataDxfId="1293"/>
    <tableColumn id="103" xr3:uid="{00000000-0010-0000-0200-000067000000}" name="Agent.hasLocation#3.geographicName.NestedProperty.content.cs" dataDxfId="1292"/>
    <tableColumn id="104" xr3:uid="{00000000-0010-0000-0200-000068000000}" name="Agent.hasLocation#4.geographicName.NestedProperty.content.da" dataDxfId="1291"/>
    <tableColumn id="105" xr3:uid="{00000000-0010-0000-0200-000069000000}" name="Agent.hasLocation#5.geographicName.NestedProperty.content.de" dataDxfId="1290"/>
    <tableColumn id="106" xr3:uid="{00000000-0010-0000-0200-00006A000000}" name="Agent.hasLocation#6.geographicName.NestedProperty.content.el" dataDxfId="1289"/>
    <tableColumn id="107" xr3:uid="{00000000-0010-0000-0200-00006B000000}" name="Agent.hasLocation#7.geographicName.NestedProperty.content.es" dataDxfId="1288"/>
    <tableColumn id="108" xr3:uid="{00000000-0010-0000-0200-00006C000000}" name="Agent.hasLocation#8.geographicName.NestedProperty.content.et" dataDxfId="1287"/>
    <tableColumn id="109" xr3:uid="{00000000-0010-0000-0200-00006D000000}" name="Agent.hasLocation#9.geographicName.NestedProperty.content.fi" dataDxfId="1286"/>
    <tableColumn id="110" xr3:uid="{00000000-0010-0000-0200-00006E000000}" name="Agent.hasLocation#10.geographicName.NestedProperty.content.fr" dataDxfId="1285"/>
    <tableColumn id="111" xr3:uid="{00000000-0010-0000-0200-00006F000000}" name="Agent.hasLocation#11.geographicName.NestedProperty.content.ga" dataDxfId="1284"/>
    <tableColumn id="112" xr3:uid="{00000000-0010-0000-0200-000070000000}" name="Agent.hasLocation#12.geographicName.NestedProperty.content.hr" dataDxfId="1283"/>
    <tableColumn id="113" xr3:uid="{00000000-0010-0000-0200-000071000000}" name="Agent.hasLocation#13.geographicName.NestedProperty.content.hu" dataDxfId="1282"/>
    <tableColumn id="114" xr3:uid="{00000000-0010-0000-0200-000072000000}" name="Agent.hasLocation#14.geographicName.NestedProperty.content.is" dataDxfId="1281"/>
    <tableColumn id="115" xr3:uid="{00000000-0010-0000-0200-000073000000}" name="Agent.hasLocation#15.geographicName.NestedProperty.content.it" dataDxfId="1280"/>
    <tableColumn id="116" xr3:uid="{00000000-0010-0000-0200-000074000000}" name="Agent.hasLocation#16.geographicName.NestedProperty.content.lt" dataDxfId="1279"/>
    <tableColumn id="117" xr3:uid="{00000000-0010-0000-0200-000075000000}" name="Agent.hasLocation#17.geographicName.NestedProperty.content.lv" dataDxfId="1278"/>
    <tableColumn id="128" xr3:uid="{B455EF99-12EF-470C-88A8-285F2E6B5C96}" name="Agent.hasLocation#18.geographicName.NestedProperty.content.mk" dataDxfId="1277"/>
    <tableColumn id="118" xr3:uid="{00000000-0010-0000-0200-000076000000}" name="Agent.hasLocation#19.geographicName.NestedProperty.content.mt" dataDxfId="1276"/>
    <tableColumn id="119" xr3:uid="{00000000-0010-0000-0200-000077000000}" name="Agent.hasLocation#20.geographicName.NestedProperty.content.nl" dataDxfId="1275"/>
    <tableColumn id="120" xr3:uid="{00000000-0010-0000-0200-000078000000}" name="Agent.hasLocation#21.geographicName.NestedProperty.content.no" dataDxfId="1274"/>
    <tableColumn id="121" xr3:uid="{00000000-0010-0000-0200-000079000000}" name="Agent.hasLocation#22.geographicName.NestedProperty.content.pl" dataDxfId="1273"/>
    <tableColumn id="122" xr3:uid="{00000000-0010-0000-0200-00007A000000}" name="Agent.hasLocation#23.geographicName.NestedProperty.content.pt" dataDxfId="1272"/>
    <tableColumn id="123" xr3:uid="{00000000-0010-0000-0200-00007B000000}" name="Agent.hasLocation#24.geographicName.NestedProperty.content.ro" dataDxfId="1271"/>
    <tableColumn id="124" xr3:uid="{00000000-0010-0000-0200-00007C000000}" name="Agent.hasLocation#25.geographicName.NestedProperty.content.sk" dataDxfId="1270"/>
    <tableColumn id="125" xr3:uid="{00000000-0010-0000-0200-00007D000000}" name="Agent.hasLocation#26.geographicName.NestedProperty.content.sl" dataDxfId="1269"/>
    <tableColumn id="130" xr3:uid="{BC749051-77CD-4E15-8758-780362D04BE2}" name="Agent.hasLocation#27.geographicName.NestedProperty.content.sr" dataDxfId="1268"/>
    <tableColumn id="129" xr3:uid="{57218AB8-094B-459C-80F2-7DB07DE2BEA4}" name="Agent.hasLocation#28.geographicName.NestedProperty.content.sv" dataDxfId="1267"/>
    <tableColumn id="126" xr3:uid="{00000000-0010-0000-0200-00007E000000}" name="Agent.hasLocation#29.geographicName.NestedProperty.content.tr" dataDxfId="1266"/>
    <tableColumn id="12" xr3:uid="{00000000-0010-0000-0200-00000C000000}" name="Agent.hasLocation#1.hasAddress#1.fullAddress.NestedProperty.content.en" dataDxfId="1265"/>
    <tableColumn id="77" xr3:uid="{00000000-0010-0000-0200-00004D000000}" name="Agent.hasLocation#1.hasAddress#2.fullAddress.NestedProperty.content.bg" dataDxfId="1264"/>
    <tableColumn id="78" xr3:uid="{00000000-0010-0000-0200-00004E000000}" name="Agent.hasLocation#1.hasAddress#3.fullAddress.NestedProperty.content.cs" dataDxfId="1263"/>
    <tableColumn id="79" xr3:uid="{00000000-0010-0000-0200-00004F000000}" name="Agent.hasLocation#1.hasAddress#4.fullAddress.NestedProperty.content.da" dataDxfId="1262"/>
    <tableColumn id="80" xr3:uid="{00000000-0010-0000-0200-000050000000}" name="Agent.hasLocation#1.hasAddress#5.fullAddress.NestedProperty.content.de" dataDxfId="1261"/>
    <tableColumn id="81" xr3:uid="{00000000-0010-0000-0200-000051000000}" name="Agent.hasLocation#1.hasAddress#6.fullAddress.NestedProperty.content.el" dataDxfId="1260"/>
    <tableColumn id="82" xr3:uid="{00000000-0010-0000-0200-000052000000}" name="Agent.hasLocation#1.hasAddress#7.fullAddress.NestedProperty.content.es" dataDxfId="1259"/>
    <tableColumn id="83" xr3:uid="{00000000-0010-0000-0200-000053000000}" name="Agent.hasLocation#1.hasAddress#8.fullAddress.NestedProperty.content.et" dataDxfId="1258"/>
    <tableColumn id="84" xr3:uid="{00000000-0010-0000-0200-000054000000}" name="Agent.hasLocation#1.hasAddress#9.fullAddress.NestedProperty.content.fi" dataDxfId="1257"/>
    <tableColumn id="85" xr3:uid="{00000000-0010-0000-0200-000055000000}" name="Agent.hasLocation#1.hasAddress#10.fullAddress.NestedProperty.content.fr" dataDxfId="1256"/>
    <tableColumn id="86" xr3:uid="{00000000-0010-0000-0200-000056000000}" name="Agent.hasLocation#1.hasAddress#11.fullAddress.NestedProperty.content.ga" dataDxfId="1255"/>
    <tableColumn id="87" xr3:uid="{00000000-0010-0000-0200-000057000000}" name="Agent.hasLocation#1.hasAddress#12.fullAddress.NestedProperty.content.hr" dataDxfId="1254"/>
    <tableColumn id="88" xr3:uid="{00000000-0010-0000-0200-000058000000}" name="Agent.hasLocation#1.hasAddress#13.fullAddress.NestedProperty.content.hu" dataDxfId="1253"/>
    <tableColumn id="89" xr3:uid="{00000000-0010-0000-0200-000059000000}" name="Agent.hasLocation#1.hasAddress#14.fullAddress.NestedProperty.content.is" dataDxfId="1252"/>
    <tableColumn id="90" xr3:uid="{00000000-0010-0000-0200-00005A000000}" name="Agent.hasLocation#1.hasAddress#15.fullAddress.NestedProperty.content.it" dataDxfId="1251"/>
    <tableColumn id="91" xr3:uid="{00000000-0010-0000-0200-00005B000000}" name="Agent.hasLocation#1.hasAddress#16.fullAddress.NestedProperty.content.lt" dataDxfId="1250"/>
    <tableColumn id="92" xr3:uid="{00000000-0010-0000-0200-00005C000000}" name="Agent.hasLocation#1.hasAddress#17.fullAddress.NestedProperty.content.lv" dataDxfId="1249"/>
    <tableColumn id="131" xr3:uid="{ECEA33F0-9C41-40A8-86FC-F627791625C7}" name="Agent.hasLocation#1.hasAddress#18.fullAddress.NestedProperty.content.mk" dataDxfId="1248"/>
    <tableColumn id="93" xr3:uid="{00000000-0010-0000-0200-00005D000000}" name="Agent.hasLocation#1.hasAddress#19.fullAddress.NestedProperty.content.mt" dataDxfId="1247"/>
    <tableColumn id="94" xr3:uid="{00000000-0010-0000-0200-00005E000000}" name="Agent.hasLocation#1.hasAddress#20.fullAddress.NestedProperty.content.nl" dataDxfId="1246"/>
    <tableColumn id="95" xr3:uid="{00000000-0010-0000-0200-00005F000000}" name="Agent.hasLocation#1.hasAddress#21.fullAddress.NestedProperty.content.no" dataDxfId="1245"/>
    <tableColumn id="96" xr3:uid="{00000000-0010-0000-0200-000060000000}" name="Agent.hasLocation#1.hasAddress#22.fullAddress.NestedProperty.content.pl" dataDxfId="1244"/>
    <tableColumn id="97" xr3:uid="{00000000-0010-0000-0200-000061000000}" name="Agent.hasLocation#1.hasAddress#23.fullAddress.NestedProperty.content.pt" dataDxfId="1243"/>
    <tableColumn id="98" xr3:uid="{00000000-0010-0000-0200-000062000000}" name="Agent.hasLocation#1.hasAddress#24.fullAddress.NestedProperty.content.ro" dataDxfId="1242"/>
    <tableColumn id="99" xr3:uid="{00000000-0010-0000-0200-000063000000}" name="Agent.hasLocation#1.hasAddress#25.fullAddress.NestedProperty.content.sk" dataDxfId="1241"/>
    <tableColumn id="100" xr3:uid="{00000000-0010-0000-0200-000064000000}" name="Agent.hasLocation#1.hasAddress#26.fullAddress.NestedProperty.content.sl" dataDxfId="1240"/>
    <tableColumn id="133" xr3:uid="{A9A21031-0975-4AE7-B04E-EFBD4F56323B}" name="Agent.hasLocation#1.hasAddress#27.fullAddress.NestedProperty.content.sr" dataDxfId="1239"/>
    <tableColumn id="132" xr3:uid="{5A451984-E0B4-4C6D-9149-D39FFEBB7E53}" name="Agent.hasLocation#1.hasAddress#28.fullAddress.NestedProperty.content.sv" dataDxfId="1238"/>
    <tableColumn id="101" xr3:uid="{00000000-0010-0000-0200-000065000000}" name="Agent.hasLocation#1.hasAddress#29.fullAddress.NestedProperty.content.tr" dataDxfId="1237"/>
    <tableColumn id="13" xr3:uid="{00000000-0010-0000-0200-00000D000000}" name="Organisation.hasLocation#1.hasAddress#1.countryCode.Reference." dataDxfId="1236"/>
    <tableColumn id="72" xr3:uid="{00000000-0010-0000-0200-000048000000}" name="Organisation.hasLocation#1.hasAddress#1.countryCode.NestedAssociation.Code." dataDxfId="1235">
      <calculatedColumnFormula array="1">MultiMatch(Organisations[[#This Row],[Organisation.hasLocation'#1.hasAddress'#1.countryCode.Reference.]],Vocabularies[name],0)</calculatedColumnFormula>
    </tableColumn>
    <tableColumn id="134" xr3:uid="{7CB53C66-C257-4070-BE92-5DCD57730795}" name="Organisation.contactPoint#1.email.NestedProperty.id.1." dataDxfId="1234"/>
    <tableColumn id="14" xr3:uid="{00000000-0010-0000-0200-00000E000000}" name="Organisation.vatIdentifier#1.spatialId.NestedProperty." dataDxfId="1233"/>
    <tableColumn id="15" xr3:uid="{00000000-0010-0000-0200-00000F000000}" name="Organisation.vatIdentifier#1.content.NestedProperty." dataDxfId="1232"/>
    <tableColumn id="11" xr3:uid="{00000000-0010-0000-0200-00000B000000}" name="Organisation.taxIdentifier#1.spatialId.NestedProperty." dataDxfId="1231"/>
    <tableColumn id="16" xr3:uid="{00000000-0010-0000-0200-000010000000}" name="Organisation.taxIdentifier#1.content.NestedProperty." dataDxfId="1230"/>
    <tableColumn id="17" xr3:uid="{00000000-0010-0000-0200-000011000000}" name="Organisation.identifier#1.identifierSchemeId.NestedProperty." dataDxfId="1229">
      <calculatedColumnFormula>IF(ISBLANK(DX$11),"",DX$11)</calculatedColumnFormula>
    </tableColumn>
    <tableColumn id="18" xr3:uid="{00000000-0010-0000-0200-000012000000}" name="Organisation.identifier#1.content.NestedProperty." dataDxfId="1228"/>
    <tableColumn id="19" xr3:uid="{00000000-0010-0000-0200-000013000000}" name="Organisation.identifier#2.identifierSchemeId.NestedProperty." dataDxfId="1227">
      <calculatedColumnFormula>IF(ISBLANK(DZ$11),"",DZ$11)</calculatedColumnFormula>
    </tableColumn>
    <tableColumn id="20" xr3:uid="{00000000-0010-0000-0200-000014000000}" name="Organisation.identifier#2.content.NestedProperty." dataDxfId="1226"/>
    <tableColumn id="21" xr3:uid="{00000000-0010-0000-0200-000015000000}" name="Organisation.hasUnit.Reference.Organisation." dataDxfId="1225"/>
    <tableColumn id="22" xr3:uid="{00000000-0010-0000-0200-000016000000}" name="Organisation.hasUnit.Association.Organisation." dataDxfId="1224">
      <calculatedColumnFormula array="1">MultiMatch(Organisations[[#This Row],[Organisation.hasUnit.Reference.Organisation.]],OrganisationNames,0)</calculatedColumnFormula>
    </tableColumn>
    <tableColumn id="23" xr3:uid="{00000000-0010-0000-0200-000017000000}" name="Organisation.unitOf.Reference.Organisation." dataDxfId="1223"/>
    <tableColumn id="24" xr3:uid="{00000000-0010-0000-0200-000018000000}" name="Organisation.unitOf.Association.Organisation." dataDxfId="1222">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Achievements" displayName="Achievements" ref="B12:IL13" totalsRowShown="0" headerRowDxfId="1221" dataDxfId="1220">
  <autoFilter ref="B12:IL13" xr:uid="{00000000-0009-0000-0100-00000D000000}"/>
  <tableColumns count="245">
    <tableColumn id="1" xr3:uid="{00000000-0010-0000-0300-000001000000}" name="LearningAchievement.title.Property.content.en" dataDxfId="1219" totalsRowDxfId="1218"/>
    <tableColumn id="57" xr3:uid="{00000000-0010-0000-0300-000039000000}" name="LearningAchievement.title.Property.content.bg" dataDxfId="1217" totalsRowDxfId="1216"/>
    <tableColumn id="58" xr3:uid="{00000000-0010-0000-0300-00003A000000}" name="LearningAchievement.title.Property.content.cs" dataDxfId="1215" totalsRowDxfId="1214"/>
    <tableColumn id="59" xr3:uid="{00000000-0010-0000-0300-00003B000000}" name="LearningAchievement.title.Property.content.da" dataDxfId="1213" totalsRowDxfId="1212"/>
    <tableColumn id="60" xr3:uid="{00000000-0010-0000-0300-00003C000000}" name="LearningAchievement.title.Property.content.de" dataDxfId="1211" totalsRowDxfId="1210"/>
    <tableColumn id="61" xr3:uid="{00000000-0010-0000-0300-00003D000000}" name="LearningAchievement.title.Property.content.el" dataDxfId="1209" totalsRowDxfId="1208"/>
    <tableColumn id="62" xr3:uid="{00000000-0010-0000-0300-00003E000000}" name="LearningAchievement.title.Property.content.es" dataDxfId="1207" totalsRowDxfId="1206"/>
    <tableColumn id="63" xr3:uid="{00000000-0010-0000-0300-00003F000000}" name="LearningAchievement.title.Property.content.et" dataDxfId="1205" totalsRowDxfId="1204"/>
    <tableColumn id="64" xr3:uid="{00000000-0010-0000-0300-000040000000}" name="LearningAchievement.title.Property.content.fi" dataDxfId="1203" totalsRowDxfId="1202"/>
    <tableColumn id="65" xr3:uid="{00000000-0010-0000-0300-000041000000}" name="LearningAchievement.title.Property.content.fr" dataDxfId="1201" totalsRowDxfId="1200"/>
    <tableColumn id="66" xr3:uid="{00000000-0010-0000-0300-000042000000}" name="LearningAchievement.title.Property.content.ga" dataDxfId="1199" totalsRowDxfId="1198"/>
    <tableColumn id="67" xr3:uid="{00000000-0010-0000-0300-000043000000}" name="LearningAchievement.title.Property.content.hr" dataDxfId="1197" totalsRowDxfId="1196"/>
    <tableColumn id="68" xr3:uid="{00000000-0010-0000-0300-000044000000}" name="LearningAchievement.title.Property.content.hu" dataDxfId="1195" totalsRowDxfId="1194"/>
    <tableColumn id="69" xr3:uid="{00000000-0010-0000-0300-000045000000}" name="LearningAchievement.title.Property.content.is" dataDxfId="1193" totalsRowDxfId="1192"/>
    <tableColumn id="70" xr3:uid="{00000000-0010-0000-0300-000046000000}" name="LearningAchievement.title.Property.content.it" dataDxfId="1191" totalsRowDxfId="1190"/>
    <tableColumn id="71" xr3:uid="{00000000-0010-0000-0300-000047000000}" name="LearningAchievement.title.Property.content.lt" dataDxfId="1189" totalsRowDxfId="1188"/>
    <tableColumn id="72" xr3:uid="{00000000-0010-0000-0300-000048000000}" name="LearningAchievement.title.Property.content.lv" dataDxfId="1187" totalsRowDxfId="1186"/>
    <tableColumn id="24" xr3:uid="{37AACD2D-54CB-4539-BCBD-7ADAF39EA527}" name="LearningAchievement.title.Property.content.mk" dataDxfId="1185" totalsRowDxfId="1184"/>
    <tableColumn id="73" xr3:uid="{00000000-0010-0000-0300-000049000000}" name="LearningAchievement.title.Property.content.mt" dataDxfId="1183" totalsRowDxfId="1182"/>
    <tableColumn id="74" xr3:uid="{00000000-0010-0000-0300-00004A000000}" name="LearningAchievement.title.Property.content.nl" dataDxfId="1181" totalsRowDxfId="1180"/>
    <tableColumn id="75" xr3:uid="{00000000-0010-0000-0300-00004B000000}" name="LearningAchievement.title.Property.content.no" dataDxfId="1179" totalsRowDxfId="1178"/>
    <tableColumn id="76" xr3:uid="{00000000-0010-0000-0300-00004C000000}" name="LearningAchievement.title.Property.content.pl" dataDxfId="1177" totalsRowDxfId="1176"/>
    <tableColumn id="77" xr3:uid="{00000000-0010-0000-0300-00004D000000}" name="LearningAchievement.title.Property.content.pt" dataDxfId="1175" totalsRowDxfId="1174"/>
    <tableColumn id="78" xr3:uid="{00000000-0010-0000-0300-00004E000000}" name="LearningAchievement.title.Property.content.ro" dataDxfId="1173" totalsRowDxfId="1172"/>
    <tableColumn id="79" xr3:uid="{00000000-0010-0000-0300-00004F000000}" name="LearningAchievement.title.Property.content.sk" dataDxfId="1171" totalsRowDxfId="1170"/>
    <tableColumn id="80" xr3:uid="{00000000-0010-0000-0300-000050000000}" name="LearningAchievement.title.Property.content.sl" dataDxfId="1169" totalsRowDxfId="1168"/>
    <tableColumn id="28" xr3:uid="{9F90574A-B5AA-4F0D-9DF4-6C94B92EFCFD}" name="LearningAchievement.title.Property.content.sr" dataDxfId="1167" totalsRowDxfId="1166"/>
    <tableColumn id="27" xr3:uid="{A45B0C79-3586-468F-8C86-786F609DBE01}" name="LearningAchievement.title.Property.content.sv" dataDxfId="1165" totalsRowDxfId="1164"/>
    <tableColumn id="81" xr3:uid="{00000000-0010-0000-0300-000051000000}" name="LearningAchievement.title.Property.content.tr" dataDxfId="1163" totalsRowDxfId="1162"/>
    <tableColumn id="3" xr3:uid="{00000000-0010-0000-0300-000003000000}" name="LearningAchievement.identifier#1.identifierSchemeId.NestedProperty." dataDxfId="1161" totalsRowDxfId="1160">
      <calculatedColumnFormula>IF(ISBLANK(AE$11),"",AE$11)</calculatedColumnFormula>
    </tableColumn>
    <tableColumn id="2" xr3:uid="{00000000-0010-0000-0300-000002000000}" name="LearningAchievement.identifier#1.content.NestedProperty." dataDxfId="1159" totalsRowDxfId="1158"/>
    <tableColumn id="6" xr3:uid="{00000000-0010-0000-0300-000006000000}" name="LearningAchievement.wasAwardedBy.awardingDate.NestedProperty." dataDxfId="1157" totalsRowDxfId="1156">
      <calculatedColumnFormula>IF(ISBLANK(AG$11),"",AG$11)</calculatedColumnFormula>
    </tableColumn>
    <tableColumn id="7" xr3:uid="{00000000-0010-0000-0300-000007000000}" name="LearningAchievement.wasAwardedBy.awardingBody.MultiReference.Organisation." dataDxfId="1155" totalsRowDxfId="1154">
      <calculatedColumnFormula>IF(ISBLANK(AH$11),"",AH$11)</calculatedColumnFormula>
    </tableColumn>
    <tableColumn id="8" xr3:uid="{00000000-0010-0000-0300-000008000000}" name="LearningAchievement.wasAwardedBy.awardingBody.NestedAssociation.Organisation." dataDxfId="1153" totalsRowDxfId="1152">
      <calculatedColumnFormula array="1">MultiMatch(Achievements[[#This Row],[LearningAchievement.wasAwardedBy.awardingBody.MultiReference.Organisation.]],OrganisationNames,0)</calculatedColumnFormula>
    </tableColumn>
    <tableColumn id="9" xr3:uid="{00000000-0010-0000-0300-000009000000}" name="LearningAchievement.description.Property.content.en" dataDxfId="1151" totalsRowDxfId="1150"/>
    <tableColumn id="102" xr3:uid="{00000000-0010-0000-0300-000066000000}" name="LearningAchievement.description.Property.content.bg" dataDxfId="1149" totalsRowDxfId="1148"/>
    <tableColumn id="103" xr3:uid="{00000000-0010-0000-0300-000067000000}" name="LearningAchievement.description.Property.content.cs" dataDxfId="1147" totalsRowDxfId="1146"/>
    <tableColumn id="104" xr3:uid="{00000000-0010-0000-0300-000068000000}" name="LearningAchievement.description.Property.content.da" dataDxfId="1145" totalsRowDxfId="1144"/>
    <tableColumn id="105" xr3:uid="{00000000-0010-0000-0300-000069000000}" name="LearningAchievement.description.Property.content.de" dataDxfId="1143" totalsRowDxfId="1142"/>
    <tableColumn id="106" xr3:uid="{00000000-0010-0000-0300-00006A000000}" name="LearningAchievement.description.Property.content.el" dataDxfId="1141" totalsRowDxfId="1140"/>
    <tableColumn id="107" xr3:uid="{00000000-0010-0000-0300-00006B000000}" name="LearningAchievement.description.Property.content.es" dataDxfId="1139" totalsRowDxfId="1138"/>
    <tableColumn id="108" xr3:uid="{00000000-0010-0000-0300-00006C000000}" name="LearningAchievement.description.Property.content.et" dataDxfId="1137" totalsRowDxfId="1136"/>
    <tableColumn id="109" xr3:uid="{00000000-0010-0000-0300-00006D000000}" name="LearningAchievement.description.Property.content.fi" dataDxfId="1135" totalsRowDxfId="1134"/>
    <tableColumn id="110" xr3:uid="{00000000-0010-0000-0300-00006E000000}" name="LearningAchievement.description.Property.content.fr" dataDxfId="1133" totalsRowDxfId="1132"/>
    <tableColumn id="111" xr3:uid="{00000000-0010-0000-0300-00006F000000}" name="LearningAchievement.description.Property.content.ga" dataDxfId="1131" totalsRowDxfId="1130"/>
    <tableColumn id="112" xr3:uid="{00000000-0010-0000-0300-000070000000}" name="LearningAchievement.description.Property.content.hr" dataDxfId="1129" totalsRowDxfId="1128"/>
    <tableColumn id="113" xr3:uid="{00000000-0010-0000-0300-000071000000}" name="LearningAchievement.description.Property.content.hu" dataDxfId="1127" totalsRowDxfId="1126"/>
    <tableColumn id="114" xr3:uid="{00000000-0010-0000-0300-000072000000}" name="LearningAchievement.description.Property.content.is" dataDxfId="1125" totalsRowDxfId="1124"/>
    <tableColumn id="115" xr3:uid="{00000000-0010-0000-0300-000073000000}" name="LearningAchievement.description.Property.content.it" dataDxfId="1123" totalsRowDxfId="1122"/>
    <tableColumn id="116" xr3:uid="{00000000-0010-0000-0300-000074000000}" name="LearningAchievement.description.Property.content.lt" dataDxfId="1121" totalsRowDxfId="1120"/>
    <tableColumn id="117" xr3:uid="{00000000-0010-0000-0300-000075000000}" name="LearningAchievement.description.Property.content.lv" dataDxfId="1119" totalsRowDxfId="1118"/>
    <tableColumn id="31" xr3:uid="{4B466721-9DAF-4F8A-BA7D-A2317D83C129}" name="LearningAchievement.description.Property.content.mk" dataDxfId="1117" totalsRowDxfId="1116"/>
    <tableColumn id="118" xr3:uid="{00000000-0010-0000-0300-000076000000}" name="LearningAchievement.description.Property.content.mt" dataDxfId="1115" totalsRowDxfId="1114"/>
    <tableColumn id="119" xr3:uid="{00000000-0010-0000-0300-000077000000}" name="LearningAchievement.description.Property.content.nl" dataDxfId="1113" totalsRowDxfId="1112"/>
    <tableColumn id="120" xr3:uid="{00000000-0010-0000-0300-000078000000}" name="LearningAchievement.description.Property.content.no" dataDxfId="1111" totalsRowDxfId="1110"/>
    <tableColumn id="121" xr3:uid="{00000000-0010-0000-0300-000079000000}" name="LearningAchievement.description.Property.content.pl" dataDxfId="1109" totalsRowDxfId="1108"/>
    <tableColumn id="122" xr3:uid="{00000000-0010-0000-0300-00007A000000}" name="LearningAchievement.description.Property.content.pt" dataDxfId="1107" totalsRowDxfId="1106"/>
    <tableColumn id="123" xr3:uid="{00000000-0010-0000-0300-00007B000000}" name="LearningAchievement.description.Property.content.ro" dataDxfId="1105" totalsRowDxfId="1104"/>
    <tableColumn id="124" xr3:uid="{00000000-0010-0000-0300-00007C000000}" name="LearningAchievement.description.Property.content.sk" dataDxfId="1103" totalsRowDxfId="1102"/>
    <tableColumn id="125" xr3:uid="{00000000-0010-0000-0300-00007D000000}" name="LearningAchievement.description.Property.content.sl" dataDxfId="1101" totalsRowDxfId="1100"/>
    <tableColumn id="37" xr3:uid="{E61ABE4A-5E44-487A-BE27-11B89F141EAE}" name="LearningAchievement.description.Property.content.sk2" dataDxfId="1099" totalsRowDxfId="1098"/>
    <tableColumn id="32" xr3:uid="{6534C091-32B8-4B20-9294-DC82A32FB7AA}" name="LearningAchievement.description.Property.content.sv" dataDxfId="1097" totalsRowDxfId="1096"/>
    <tableColumn id="126" xr3:uid="{00000000-0010-0000-0300-00007E000000}" name="LearningAchievement.description.Property.content.tr" dataDxfId="1095" totalsRowDxfId="1094"/>
    <tableColumn id="10" xr3:uid="{00000000-0010-0000-0300-00000A000000}" name="LearningAchievement.wasDerivedFrom.Reference.Assessment." dataDxfId="1093" totalsRowDxfId="1092"/>
    <tableColumn id="11" xr3:uid="{00000000-0010-0000-0300-00000B000000}" name="LearningAchievement.wasDerivedFrom.Association.Assessment." dataDxfId="1091" totalsRowDxfId="1090">
      <calculatedColumnFormula>IF(ISBLANK(Achievements[[#This Row],[LearningAchievement.wasDerivedFrom.Reference.Assessment.]]),"",(MATCH(Achievements[[#This Row],[LearningAchievement.wasDerivedFrom.Reference.Assessment.]],AssessmentNames,0)+12))</calculatedColumnFormula>
    </tableColumn>
    <tableColumn id="12" xr3:uid="{00000000-0010-0000-0300-00000C000000}" name="LearningAchievement.wasInfluencedBy.MultiReference.LearningActivity." dataDxfId="1089" totalsRowDxfId="1088"/>
    <tableColumn id="13" xr3:uid="{00000000-0010-0000-0300-00000D000000}" name="LearningAchievement.wasInfluencedBy.Association.LearningActivity." dataDxfId="1087" totalsRowDxfId="1086">
      <calculatedColumnFormula array="1">MultiMatch(Achievements[[#This Row],[LearningAchievement.wasInfluencedBy.MultiReference.LearningActivity.]],ActivityNames,0)</calculatedColumnFormula>
    </tableColumn>
    <tableColumn id="41" xr3:uid="{00000000-0010-0000-0300-000029000000}" name="Column2" totalsRowDxfId="1085"/>
    <tableColumn id="5" xr3:uid="{00000000-0010-0000-0300-000005000000}" name="Column1" totalsRowDxfId="1084">
      <calculatedColumnFormula array="1">MultiMatch(Achievements[[#This Row],[Column2]],EntitlementNames,0)</calculatedColumnFormula>
    </tableColumn>
    <tableColumn id="14" xr3:uid="{00000000-0010-0000-0300-00000E000000}" name="LearningAchievement.hasPart.MutiReference.LearningAchievement." dataDxfId="1083" totalsRowDxfId="1082"/>
    <tableColumn id="15" xr3:uid="{00000000-0010-0000-0300-00000F000000}" name="LearningAchievement.hasPart.Association.LearningAchievement." dataDxfId="1081" totalsRowDxfId="1080">
      <calculatedColumnFormula array="1">MultiMatch(Achievements[[#This Row],[LearningAchievement.hasPart.MutiReference.LearningAchievement.]],AchievementNames,0)</calculatedColumnFormula>
    </tableColumn>
    <tableColumn id="4" xr3:uid="{00000000-0010-0000-0300-000004000000}" name="LearningAchievement.specifiedBy.isPartialQualification.NestedProperty." dataDxfId="1079" totalsRowDxfId="1078"/>
    <tableColumn id="47" xr3:uid="{00000000-0010-0000-0300-00002F000000}" name="LearningAchievement.specifiedBy.eqfLevel.Reference." dataDxfId="1077" totalsRowDxfId="1076">
      <calculatedColumnFormula>IF(ISBLANK(BV$11),"",BV$11)</calculatedColumnFormula>
    </tableColumn>
    <tableColumn id="48" xr3:uid="{00000000-0010-0000-0300-000030000000}" name="LearningAchievement.specifiedBy.eqfLevel.NestedAssociation.Code." dataDxfId="1075" totalsRowDxfId="1074">
      <calculatedColumnFormula array="1">MultiMatch(Achievements[[#This Row],[LearningAchievement.specifiedBy.eqfLevel.Reference.]],Vocabularies[name],0)</calculatedColumnFormula>
    </tableColumn>
    <tableColumn id="50" xr3:uid="{00000000-0010-0000-0300-000032000000}" name="LearningAchievement.specifiedBy.nqfLevel.Reference." dataDxfId="1073" totalsRowDxfId="1072">
      <calculatedColumnFormula>IF(ISBLANK(BX$11),"",BX$11)</calculatedColumnFormula>
    </tableColumn>
    <tableColumn id="193" xr3:uid="{00000000-0010-0000-0300-0000C1000000}" name="LearningAchievement.specifiedBy.nqfLevel.NestedAssociation.Code." dataDxfId="1071" totalsRowDxfId="1070">
      <calculatedColumnFormula array="1">MultiMatch(Achievements[[#This Row],[LearningAchievement.specifiedBy.nqfLevel.Reference.]],Vocabularies[name],0)</calculatedColumnFormula>
    </tableColumn>
    <tableColumn id="51" xr3:uid="{00000000-0010-0000-0300-000033000000}" name="LearningAchievement.specifiedBy.nqfLevel#1.content.NestedProperty." dataDxfId="1069" totalsRowDxfId="1068">
      <calculatedColumnFormula>IF(ISBLANK(BZ$11),"",BZ$11)</calculatedColumnFormula>
    </tableColumn>
    <tableColumn id="272" xr3:uid="{00000000-0010-0000-0300-000010010000}" name="LearningAchievement.specifiedBy.nqfLevel.Reference.Code." totalsRowDxfId="1067">
      <calculatedColumnFormula array="1">MultiMatch(Achievements[[#This Row],[LearningAchievement.specifiedBy.nqfLevel'#1.content.NestedProperty.]],Vocabularies[name],0)</calculatedColumnFormula>
    </tableColumn>
    <tableColumn id="16" xr3:uid="{00000000-0010-0000-0300-000010000000}" name="LearningAchievement.specifiedBy.title.NestedProperty.content.en" dataDxfId="1066" totalsRowDxfId="1065">
      <calculatedColumnFormula>IF(ISBLANK(Achievements[[#This Row],[LearningAchievement.title.Property.content.en]]),"",Achievements[[#This Row],[LearningAchievement.title.Property.content.en]])</calculatedColumnFormula>
    </tableColumn>
    <tableColumn id="197" xr3:uid="{00000000-0010-0000-0300-0000C5000000}" name="LearningAchievement.specifiedBy.title.NestedProperty.content.bg" dataDxfId="1064" totalsRowDxfId="1063">
      <calculatedColumnFormula>IF(ISBLANK(Achievements[[#This Row],[LearningAchievement.title.Property.content.bg]]),"",Achievements[[#This Row],[LearningAchievement.title.Property.content.bg]])</calculatedColumnFormula>
    </tableColumn>
    <tableColumn id="198" xr3:uid="{00000000-0010-0000-0300-0000C6000000}" name="LearningAchievement.specifiedBy.title.NestedProperty.content.cs" dataDxfId="1062" totalsRowDxfId="1061">
      <calculatedColumnFormula>IF(ISBLANK(Achievements[[#This Row],[LearningAchievement.title.Property.content.bg]]),"",Achievements[[#This Row],[LearningAchievement.title.Property.content.bg]])</calculatedColumnFormula>
    </tableColumn>
    <tableColumn id="199" xr3:uid="{00000000-0010-0000-0300-0000C7000000}" name="LearningAchievement.specifiedBy.title.NestedProperty.content.da" dataDxfId="1060" totalsRowDxfId="1059">
      <calculatedColumnFormula>IF(ISBLANK(Achievements[[#This Row],[LearningAchievement.title.Property.content.cs]]),"",Achievements[[#This Row],[LearningAchievement.title.Property.content.cs]])</calculatedColumnFormula>
    </tableColumn>
    <tableColumn id="200" xr3:uid="{00000000-0010-0000-0300-0000C8000000}" name="LearningAchievement.specifiedBy.title.NestedProperty.content.de" dataDxfId="1058" totalsRowDxfId="1057">
      <calculatedColumnFormula>IF(ISBLANK(Achievements[[#This Row],[LearningAchievement.title.Property.content.cs]]),"",Achievements[[#This Row],[LearningAchievement.title.Property.content.cs]])</calculatedColumnFormula>
    </tableColumn>
    <tableColumn id="201" xr3:uid="{00000000-0010-0000-0300-0000C9000000}" name="LearningAchievement.specifiedBy.title.NestedProperty.content.el" dataDxfId="1056" totalsRowDxfId="1055">
      <calculatedColumnFormula>IF(ISBLANK(Achievements[[#This Row],[LearningAchievement.title.Property.content.da]]),"",Achievements[[#This Row],[LearningAchievement.title.Property.content.da]])</calculatedColumnFormula>
    </tableColumn>
    <tableColumn id="202" xr3:uid="{00000000-0010-0000-0300-0000CA000000}" name="LearningAchievement.specifiedBy.title.NestedProperty.content.es" dataDxfId="1054" totalsRowDxfId="1053">
      <calculatedColumnFormula>IF(ISBLANK(Achievements[[#This Row],[LearningAchievement.title.Property.content.da]]),"",Achievements[[#This Row],[LearningAchievement.title.Property.content.da]])</calculatedColumnFormula>
    </tableColumn>
    <tableColumn id="203" xr3:uid="{00000000-0010-0000-0300-0000CB000000}" name="LearningAchievement.specifiedBy.title.NestedProperty.content.et" dataDxfId="1052" totalsRowDxfId="1051">
      <calculatedColumnFormula>IF(ISBLANK(Achievements[[#This Row],[LearningAchievement.title.Property.content.de]]),"",Achievements[[#This Row],[LearningAchievement.title.Property.content.de]])</calculatedColumnFormula>
    </tableColumn>
    <tableColumn id="204" xr3:uid="{00000000-0010-0000-0300-0000CC000000}" name="LearningAchievement.specifiedBy.title.NestedProperty.content.fi" dataDxfId="1050" totalsRowDxfId="1049">
      <calculatedColumnFormula>IF(ISBLANK(Achievements[[#This Row],[LearningAchievement.title.Property.content.de]]),"",Achievements[[#This Row],[LearningAchievement.title.Property.content.de]])</calculatedColumnFormula>
    </tableColumn>
    <tableColumn id="205" xr3:uid="{00000000-0010-0000-0300-0000CD000000}" name="LearningAchievement.specifiedBy.title.NestedProperty.content.fr" dataDxfId="1048" totalsRowDxfId="1047">
      <calculatedColumnFormula>IF(ISBLANK(Achievements[[#This Row],[LearningAchievement.title.Property.content.el]]),"",Achievements[[#This Row],[LearningAchievement.title.Property.content.el]])</calculatedColumnFormula>
    </tableColumn>
    <tableColumn id="206" xr3:uid="{00000000-0010-0000-0300-0000CE000000}" name="LearningAchievement.specifiedBy.title.NestedProperty.content.ga" dataDxfId="1046" totalsRowDxfId="1045">
      <calculatedColumnFormula>IF(ISBLANK(Achievements[[#This Row],[LearningAchievement.title.Property.content.el]]),"",Achievements[[#This Row],[LearningAchievement.title.Property.content.el]])</calculatedColumnFormula>
    </tableColumn>
    <tableColumn id="207" xr3:uid="{00000000-0010-0000-0300-0000CF000000}" name="LearningAchievement.specifiedBy.title.NestedProperty.content.hr" dataDxfId="1044" totalsRowDxfId="1043">
      <calculatedColumnFormula>IF(ISBLANK(Achievements[[#This Row],[LearningAchievement.title.Property.content.es]]),"",Achievements[[#This Row],[LearningAchievement.title.Property.content.es]])</calculatedColumnFormula>
    </tableColumn>
    <tableColumn id="208" xr3:uid="{00000000-0010-0000-0300-0000D0000000}" name="LearningAchievement.specifiedBy.title.NestedProperty.content.hu" dataDxfId="1042" totalsRowDxfId="1041">
      <calculatedColumnFormula>IF(ISBLANK(Achievements[[#This Row],[LearningAchievement.title.Property.content.es]]),"",Achievements[[#This Row],[LearningAchievement.title.Property.content.es]])</calculatedColumnFormula>
    </tableColumn>
    <tableColumn id="209" xr3:uid="{00000000-0010-0000-0300-0000D1000000}" name="LearningAchievement.specifiedBy.title.NestedProperty.content.is" dataDxfId="1040" totalsRowDxfId="1039">
      <calculatedColumnFormula>IF(ISBLANK(Achievements[[#This Row],[LearningAchievement.title.Property.content.et]]),"",Achievements[[#This Row],[LearningAchievement.title.Property.content.et]])</calculatedColumnFormula>
    </tableColumn>
    <tableColumn id="210" xr3:uid="{00000000-0010-0000-0300-0000D2000000}" name="LearningAchievement.specifiedBy.title.NestedProperty.content.it" dataDxfId="1038" totalsRowDxfId="1037">
      <calculatedColumnFormula>IF(ISBLANK(Achievements[[#This Row],[LearningAchievement.title.Property.content.et]]),"",Achievements[[#This Row],[LearningAchievement.title.Property.content.et]])</calculatedColumnFormula>
    </tableColumn>
    <tableColumn id="211" xr3:uid="{00000000-0010-0000-0300-0000D3000000}" name="LearningAchievement.specifiedBy.title.NestedProperty.content.lt" dataDxfId="1036" totalsRowDxfId="1035">
      <calculatedColumnFormula>IF(ISBLANK(Achievements[[#This Row],[LearningAchievement.title.Property.content.fi]]),"",Achievements[[#This Row],[LearningAchievement.title.Property.content.fi]])</calculatedColumnFormula>
    </tableColumn>
    <tableColumn id="212" xr3:uid="{00000000-0010-0000-0300-0000D4000000}" name="LearningAchievement.specifiedBy.title.NestedProperty.content.lv" dataDxfId="1034" totalsRowDxfId="1033">
      <calculatedColumnFormula>IF(ISBLANK(Achievements[[#This Row],[LearningAchievement.title.Property.content.fi]]),"",Achievements[[#This Row],[LearningAchievement.title.Property.content.fi]])</calculatedColumnFormula>
    </tableColumn>
    <tableColumn id="38" xr3:uid="{14661501-6B8B-4016-9CA5-0112F9FB04D6}" name="LearningAchievement.specifiedBy.title.NestedProperty.content.mk" dataDxfId="1032" totalsRowDxfId="1031"/>
    <tableColumn id="213" xr3:uid="{00000000-0010-0000-0300-0000D5000000}" name="LearningAchievement.specifiedBy.title.NestedProperty.content.mt" dataDxfId="1030" totalsRowDxfId="1029">
      <calculatedColumnFormula>IF(ISBLANK(Achievements[[#This Row],[LearningAchievement.title.Property.content.fr]]),"",Achievements[[#This Row],[LearningAchievement.title.Property.content.fr]])</calculatedColumnFormula>
    </tableColumn>
    <tableColumn id="214" xr3:uid="{00000000-0010-0000-0300-0000D6000000}" name="LearningAchievement.specifiedBy.title.NestedProperty.content.nl" dataDxfId="1028" totalsRowDxfId="1027">
      <calculatedColumnFormula>IF(ISBLANK(Achievements[[#This Row],[LearningAchievement.title.Property.content.fr]]),"",Achievements[[#This Row],[LearningAchievement.title.Property.content.fr]])</calculatedColumnFormula>
    </tableColumn>
    <tableColumn id="215" xr3:uid="{00000000-0010-0000-0300-0000D7000000}" name="LearningAchievement.specifiedBy.title.NestedProperty.content.no" dataDxfId="1026" totalsRowDxfId="1025">
      <calculatedColumnFormula>IF(ISBLANK(Achievements[[#This Row],[LearningAchievement.title.Property.content.ga]]),"",Achievements[[#This Row],[LearningAchievement.title.Property.content.ga]])</calculatedColumnFormula>
    </tableColumn>
    <tableColumn id="216" xr3:uid="{00000000-0010-0000-0300-0000D8000000}" name="LearningAchievement.specifiedBy.title.NestedProperty.content.pl" dataDxfId="1024" totalsRowDxfId="1023">
      <calculatedColumnFormula>IF(ISBLANK(Achievements[[#This Row],[LearningAchievement.title.Property.content.ga]]),"",Achievements[[#This Row],[LearningAchievement.title.Property.content.ga]])</calculatedColumnFormula>
    </tableColumn>
    <tableColumn id="217" xr3:uid="{00000000-0010-0000-0300-0000D9000000}" name="LearningAchievement.specifiedBy.title.NestedProperty.content.pt" dataDxfId="1022" totalsRowDxfId="1021">
      <calculatedColumnFormula>IF(ISBLANK(Achievements[[#This Row],[LearningAchievement.title.Property.content.hr]]),"",Achievements[[#This Row],[LearningAchievement.title.Property.content.hr]])</calculatedColumnFormula>
    </tableColumn>
    <tableColumn id="218" xr3:uid="{00000000-0010-0000-0300-0000DA000000}" name="LearningAchievement.specifiedBy.title.NestedProperty.content.ro" dataDxfId="1020" totalsRowDxfId="1019">
      <calculatedColumnFormula>IF(ISBLANK(Achievements[[#This Row],[LearningAchievement.title.Property.content.hr]]),"",Achievements[[#This Row],[LearningAchievement.title.Property.content.hr]])</calculatedColumnFormula>
    </tableColumn>
    <tableColumn id="219" xr3:uid="{00000000-0010-0000-0300-0000DB000000}" name="LearningAchievement.specifiedBy.title.NestedProperty.content.sk" dataDxfId="1018" totalsRowDxfId="1017">
      <calculatedColumnFormula>IF(ISBLANK(Achievements[[#This Row],[LearningAchievement.title.Property.content.hu]]),"",Achievements[[#This Row],[LearningAchievement.title.Property.content.hu]])</calculatedColumnFormula>
    </tableColumn>
    <tableColumn id="220" xr3:uid="{00000000-0010-0000-0300-0000DC000000}" name="LearningAchievement.specifiedBy.title.NestedProperty.content.sl" dataDxfId="1016" totalsRowDxfId="1015">
      <calculatedColumnFormula>IF(ISBLANK(Achievements[[#This Row],[LearningAchievement.title.Property.content.hu]]),"",Achievements[[#This Row],[LearningAchievement.title.Property.content.hu]])</calculatedColumnFormula>
    </tableColumn>
    <tableColumn id="42" xr3:uid="{A4D0D2CC-BDEF-4C15-B932-E08B52BC07B1}" name="LearningAchievement.specifiedBy.title.NestedProperty.content.sr" dataDxfId="1014" totalsRowDxfId="1013"/>
    <tableColumn id="39" xr3:uid="{F3BD7002-7646-49B8-9C64-6A48353AC4BF}" name="LearningAchievement.specifiedBy.title.NestedProperty.content.sv" dataDxfId="1012" totalsRowDxfId="1011"/>
    <tableColumn id="221" xr3:uid="{00000000-0010-0000-0300-0000DD000000}" name="LearningAchievement.specifiedBy.title.NestedProperty.content.tr" dataDxfId="1010" totalsRowDxfId="1009">
      <calculatedColumnFormula>IF(ISBLANK(Achievements[[#This Row],[LearningAchievement.title.Property.content.is]]),"",Achievements[[#This Row],[LearningAchievement.title.Property.content.is]])</calculatedColumnFormula>
    </tableColumn>
    <tableColumn id="196" xr3:uid="{00000000-0010-0000-0300-0000C4000000}" name="LearningAchievement.specifiedBy.description.NestedProperty.content.en" dataDxfId="1008" totalsRowDxfId="1007"/>
    <tableColumn id="222" xr3:uid="{00000000-0010-0000-0300-0000DE000000}" name="LearningAchievement.specifiedBy.description.NestedProperty.content.bg" dataDxfId="1006" totalsRowDxfId="1005"/>
    <tableColumn id="223" xr3:uid="{00000000-0010-0000-0300-0000DF000000}" name="LearningAchievement.specifiedBy.description.NestedProperty.content.cs" dataDxfId="1004" totalsRowDxfId="1003"/>
    <tableColumn id="224" xr3:uid="{00000000-0010-0000-0300-0000E0000000}" name="LearningAchievement.specifiedBy.description.NestedProperty.content.da" dataDxfId="1002" totalsRowDxfId="1001"/>
    <tableColumn id="225" xr3:uid="{00000000-0010-0000-0300-0000E1000000}" name="LearningAchievement.specifiedBy.description.NestedProperty.content.de" dataDxfId="1000" totalsRowDxfId="999"/>
    <tableColumn id="251" xr3:uid="{00000000-0010-0000-0300-0000FB000000}" name="LearningAchievement.specifiedBy.description.NestedProperty.content.el" dataDxfId="998" totalsRowDxfId="997"/>
    <tableColumn id="252" xr3:uid="{00000000-0010-0000-0300-0000FC000000}" name="LearningAchievement.specifiedBy.description.NestedProperty.content.es" dataDxfId="996" totalsRowDxfId="995"/>
    <tableColumn id="253" xr3:uid="{00000000-0010-0000-0300-0000FD000000}" name="LearningAchievement.specifiedBy.description.NestedProperty.content.et" dataDxfId="994" totalsRowDxfId="993"/>
    <tableColumn id="254" xr3:uid="{00000000-0010-0000-0300-0000FE000000}" name="LearningAchievement.specifiedBy.description.NestedProperty.content.fi" dataDxfId="992" totalsRowDxfId="991"/>
    <tableColumn id="255" xr3:uid="{00000000-0010-0000-0300-0000FF000000}" name="LearningAchievement.specifiedBy.description.NestedProperty.content.fr" dataDxfId="990" totalsRowDxfId="989"/>
    <tableColumn id="256" xr3:uid="{00000000-0010-0000-0300-000000010000}" name="LearningAchievement.specifiedBy.description.NestedProperty.content.ga" dataDxfId="988" totalsRowDxfId="987"/>
    <tableColumn id="257" xr3:uid="{00000000-0010-0000-0300-000001010000}" name="LearningAchievement.specifiedBy.description.NestedProperty.content.hr" dataDxfId="986" totalsRowDxfId="985"/>
    <tableColumn id="258" xr3:uid="{00000000-0010-0000-0300-000002010000}" name="LearningAchievement.specifiedBy.description.NestedProperty.content.hu" dataDxfId="984" totalsRowDxfId="983"/>
    <tableColumn id="259" xr3:uid="{00000000-0010-0000-0300-000003010000}" name="LearningAchievement.specifiedBy.description.NestedProperty.content.is" dataDxfId="982" totalsRowDxfId="981"/>
    <tableColumn id="260" xr3:uid="{00000000-0010-0000-0300-000004010000}" name="LearningAchievement.specifiedBy.description.NestedProperty.content.it" dataDxfId="980" totalsRowDxfId="979"/>
    <tableColumn id="261" xr3:uid="{00000000-0010-0000-0300-000005010000}" name="LearningAchievement.specifiedBy.description.NestedProperty.content.lt" dataDxfId="978" totalsRowDxfId="977"/>
    <tableColumn id="262" xr3:uid="{00000000-0010-0000-0300-000006010000}" name="LearningAchievement.specifiedBy.description.NestedProperty.content.lv" dataDxfId="976" totalsRowDxfId="975"/>
    <tableColumn id="45" xr3:uid="{CE8EEA1E-1E4C-4358-B4FB-A02AA06B5EE6}" name="LearningAchievement.specifiedBy.description.NestedProperty.content.mk" dataDxfId="974" totalsRowDxfId="973"/>
    <tableColumn id="263" xr3:uid="{00000000-0010-0000-0300-000007010000}" name="LearningAchievement.specifiedBy.description.NestedProperty.content.mt" dataDxfId="972" totalsRowDxfId="971"/>
    <tableColumn id="264" xr3:uid="{00000000-0010-0000-0300-000008010000}" name="LearningAchievement.specifiedBy.description.NestedProperty.content.nl" dataDxfId="970" totalsRowDxfId="969"/>
    <tableColumn id="265" xr3:uid="{00000000-0010-0000-0300-000009010000}" name="LearningAchievement.specifiedBy.description.NestedProperty.content.no" dataDxfId="968" totalsRowDxfId="967"/>
    <tableColumn id="266" xr3:uid="{00000000-0010-0000-0300-00000A010000}" name="LearningAchievement.specifiedBy.description.NestedProperty.content.pl" dataDxfId="966" totalsRowDxfId="965"/>
    <tableColumn id="267" xr3:uid="{00000000-0010-0000-0300-00000B010000}" name="LearningAchievement.specifiedBy.description.NestedProperty.content.pt" dataDxfId="964" totalsRowDxfId="963"/>
    <tableColumn id="268" xr3:uid="{00000000-0010-0000-0300-00000C010000}" name="LearningAchievement.specifiedBy.description.NestedProperty.content.ro" dataDxfId="962" totalsRowDxfId="961"/>
    <tableColumn id="269" xr3:uid="{00000000-0010-0000-0300-00000D010000}" name="LearningAchievement.specifiedBy.description.NestedProperty.content.sk" dataDxfId="960" totalsRowDxfId="959"/>
    <tableColumn id="270" xr3:uid="{00000000-0010-0000-0300-00000E010000}" name="LearningAchievement.specifiedBy.description.NestedProperty.content.sl" dataDxfId="958" totalsRowDxfId="957"/>
    <tableColumn id="52" xr3:uid="{96E883A5-1939-48E4-8DC2-6795E731B0C5}" name="LearningAchievement.specifiedBy.description.NestedProperty.content.sr" dataDxfId="956" totalsRowDxfId="955"/>
    <tableColumn id="49" xr3:uid="{D43B2DCC-990B-447A-930B-63735AB6A1C6}" name="LearningAchievement.specifiedBy.description.NestedProperty.content.sv" dataDxfId="954" totalsRowDxfId="953"/>
    <tableColumn id="23" xr3:uid="{00000000-0010-0000-0300-000017000000}" name="LearningAchievement.specifiedBy.description.NestedProperty.content.sv2" dataDxfId="952" totalsRowDxfId="951"/>
    <tableColumn id="271" xr3:uid="{00000000-0010-0000-0300-00000F010000}" name="LearningAchievement.specifiedBy.identifier#1.identifierSchemeId.NestedProperty" dataDxfId="950" totalsRowDxfId="949">
      <calculatedColumnFormula>IF(ISBLANK(EH$11),"",EH$11)</calculatedColumnFormula>
    </tableColumn>
    <tableColumn id="273" xr3:uid="{00000000-0010-0000-0300-000011010000}" name="LearningAchievement.specifiedBy.identifier.content.NestedProperty" dataDxfId="948" totalsRowDxfId="947"/>
    <tableColumn id="195" xr3:uid="{00000000-0010-0000-0300-0000C3000000}" name="LearningAchievement.specifiedBy.homePage#1.id.NestedProperty." dataDxfId="946" totalsRowDxfId="945"/>
    <tableColumn id="17" xr3:uid="{00000000-0010-0000-0300-000011000000}" name="LearningAchievement.specifiedBy.learningOutcome.MultiReference.LearningOutcome." dataDxfId="944" totalsRowDxfId="943"/>
    <tableColumn id="139" xr3:uid="{00000000-0010-0000-0300-00008B000000}" name="LearningAchievement.specifiedBy.learningOutcome.NestedAssociation.LearningOutcome." dataDxfId="942" totalsRowDxfId="941">
      <calculatedColumnFormula array="1">MultiMatch(Achievements[[#This Row],[LearningAchievement.specifiedBy.learningOutcome.MultiReference.LearningOutcome.]],LearningOutcomeNames,0)</calculatedColumnFormula>
    </tableColumn>
    <tableColumn id="18" xr3:uid="{00000000-0010-0000-0300-000012000000}" name="LearningAchievement.specifiedBy.volumeOfLearning.NestedProperty." dataDxfId="940" totalsRowDxfId="939"/>
    <tableColumn id="19" xr3:uid="{00000000-0010-0000-0300-000013000000}" name="LearningAchievement.specifiedBy.maximumDuration.NestedProperty." dataDxfId="938" totalsRowDxfId="937"/>
    <tableColumn id="20" xr3:uid="{00000000-0010-0000-0300-000014000000}" name="LearningAchievement.specifiedBy.ectsCreditPoints.content.NestedProperty." dataDxfId="936" totalsRowDxfId="935"/>
    <tableColumn id="88" xr3:uid="{6A64D3FB-FFC7-4385-835E-C4AED1576935}" name="LearningAchievement.specifiedBy.CreditPoints#1.content.NestedProperty." dataDxfId="934" totalsRowDxfId="933"/>
    <tableColumn id="83" xr3:uid="{00000000-0010-0000-0300-000053000000}" name="LearningAchievement.specifiedBy.iscedFCode.reference." dataDxfId="932" totalsRowDxfId="931">
      <calculatedColumnFormula>IF(ISBLANK(EQ$11),"",EQ$11)</calculatedColumnFormula>
    </tableColumn>
    <tableColumn id="21" xr3:uid="{00000000-0010-0000-0300-000015000000}" name="LearningAchievement.specifiedBy.iscedFCode.NestedAssociation.Code." dataDxfId="930" totalsRowDxfId="929">
      <calculatedColumnFormula array="1">MultiMatch(Achievements[[#This Row],[LearningAchievement.specifiedBy.iscedFCode.reference.]],Vocabularies[name],0)</calculatedColumnFormula>
    </tableColumn>
    <tableColumn id="25" xr3:uid="{00000000-0010-0000-0300-000019000000}" name="LearningAchievement.specifiedBy.mode.MultiReference." dataDxfId="928" totalsRowDxfId="927">
      <calculatedColumnFormula>IF(ISBLANK(ES$11),"",ES$11)</calculatedColumnFormula>
    </tableColumn>
    <tableColumn id="26" xr3:uid="{00000000-0010-0000-0300-00001A000000}" name="LearningAchievement.specifiedBy.mode.NestedAssociation.Code." dataDxfId="926" totalsRowDxfId="925">
      <calculatedColumnFormula array="1">MultiMatch(Achievements[[#This Row],[LearningAchievement.specifiedBy.mode.MultiReference.]],Vocabularies[name],0)</calculatedColumnFormula>
    </tableColumn>
    <tableColumn id="29" xr3:uid="{00000000-0010-0000-0300-00001D000000}" name="LearningAchievement.specifiedBy.language.MultiReference." dataDxfId="924" totalsRowDxfId="923">
      <calculatedColumnFormula>IF(ISBLANK(EU$11),"",EU$11)</calculatedColumnFormula>
    </tableColumn>
    <tableColumn id="30" xr3:uid="{00000000-0010-0000-0300-00001E000000}" name="LearningAchievement.specifiedBy.language.NestedAssociation.Code." dataDxfId="922" totalsRowDxfId="921">
      <calculatedColumnFormula array="1">MultiMatch(Achievements[[#This Row],[LearningAchievement.specifiedBy.language.MultiReference.]],Vocabularies[name],0)</calculatedColumnFormula>
    </tableColumn>
    <tableColumn id="33" xr3:uid="{00000000-0010-0000-0300-000021000000}" name="LearningAchievement.specifiedBy.learningSetting.Reference." dataDxfId="920" totalsRowDxfId="919"/>
    <tableColumn id="34" xr3:uid="{00000000-0010-0000-0300-000022000000}" name="LearningAchievement.specifiedBy.learningSetting.NestedAssociation.Code." dataDxfId="918" totalsRowDxfId="917">
      <calculatedColumnFormula array="1">MultiMatch(Achievements[[#This Row],[LearningAchievement.specifiedBy.learningSetting.Reference.]],Vocabularies[name],0)</calculatedColumnFormula>
    </tableColumn>
    <tableColumn id="35" xr3:uid="{00000000-0010-0000-0300-000023000000}" name="LearningAchievement.specifiedBy.learningOpportunityType.Reference." dataDxfId="916" totalsRowDxfId="915"/>
    <tableColumn id="36" xr3:uid="{00000000-0010-0000-0300-000024000000}" name="LearningAchievement.specifiedBy.learningOpportunityType.NestedAssociation.Code." dataDxfId="914" totalsRowDxfId="913">
      <calculatedColumnFormula array="1">MultiMatch(Achievements[[#This Row],[LearningAchievement.specifiedBy.learningOpportunityType.Reference.]],LearningOpportunityTypeNames,0+1401)</calculatedColumnFormula>
    </tableColumn>
    <tableColumn id="40" xr3:uid="{00000000-0010-0000-0300-000028000000}" name="LearningAchievement.specifiedBy.entryRequirementNote.NestedProperty.en" dataDxfId="912" totalsRowDxfId="911"/>
    <tableColumn id="226" xr3:uid="{00000000-0010-0000-0300-0000E2000000}" name="LearningAchievement.specifiedBy.entryRequirementNote.NestedProperty.bg" dataDxfId="910" totalsRowDxfId="909"/>
    <tableColumn id="227" xr3:uid="{00000000-0010-0000-0300-0000E3000000}" name="LearningAchievement.specifiedBy.entryRequirementNote.NestedProperty.cs" dataDxfId="908" totalsRowDxfId="907"/>
    <tableColumn id="228" xr3:uid="{00000000-0010-0000-0300-0000E4000000}" name="LearningAchievement.specifiedBy.entryRequirementNote.NestedProperty.da" dataDxfId="906" totalsRowDxfId="905"/>
    <tableColumn id="229" xr3:uid="{00000000-0010-0000-0300-0000E5000000}" name="LearningAchievement.specifiedBy.entryRequirementNote.NestedProperty.de" dataDxfId="904" totalsRowDxfId="903"/>
    <tableColumn id="230" xr3:uid="{00000000-0010-0000-0300-0000E6000000}" name="LearningAchievement.specifiedBy.entryRequirementNote.NestedProperty.el" dataDxfId="902" totalsRowDxfId="901"/>
    <tableColumn id="231" xr3:uid="{00000000-0010-0000-0300-0000E7000000}" name="LearningAchievement.specifiedBy.entryRequirementNote.NestedProperty.es" dataDxfId="900" totalsRowDxfId="899"/>
    <tableColumn id="232" xr3:uid="{00000000-0010-0000-0300-0000E8000000}" name="LearningAchievement.specifiedBy.entryRequirementNote.NestedProperty.et" dataDxfId="898" totalsRowDxfId="897"/>
    <tableColumn id="233" xr3:uid="{00000000-0010-0000-0300-0000E9000000}" name="LearningAchievement.specifiedBy.entryRequirementNote.NestedProperty.fi" dataDxfId="896" totalsRowDxfId="895"/>
    <tableColumn id="234" xr3:uid="{00000000-0010-0000-0300-0000EA000000}" name="LearningAchievement.specifiedBy.entryRequirementNote.NestedProperty.fr" dataDxfId="894" totalsRowDxfId="893"/>
    <tableColumn id="235" xr3:uid="{00000000-0010-0000-0300-0000EB000000}" name="LearningAchievement.specifiedBy.entryRequirementNote.NestedProperty.ga" dataDxfId="892" totalsRowDxfId="891"/>
    <tableColumn id="236" xr3:uid="{00000000-0010-0000-0300-0000EC000000}" name="LearningAchievement.specifiedBy.entryRequirementNote.NestedProperty.hr" dataDxfId="890" totalsRowDxfId="889"/>
    <tableColumn id="237" xr3:uid="{00000000-0010-0000-0300-0000ED000000}" name="LearningAchievement.specifiedBy.entryRequirementNote.NestedProperty.hu" dataDxfId="888" totalsRowDxfId="887"/>
    <tableColumn id="238" xr3:uid="{00000000-0010-0000-0300-0000EE000000}" name="LearningAchievement.specifiedBy.entryRequirementNote.NestedProperty.is" dataDxfId="886" totalsRowDxfId="885"/>
    <tableColumn id="239" xr3:uid="{00000000-0010-0000-0300-0000EF000000}" name="LearningAchievement.specifiedBy.entryRequirementNote.NestedProperty.it" dataDxfId="884" totalsRowDxfId="883"/>
    <tableColumn id="240" xr3:uid="{00000000-0010-0000-0300-0000F0000000}" name="LearningAchievement.specifiedBy.entryRequirementNote.NestedProperty.lt" dataDxfId="882" totalsRowDxfId="881"/>
    <tableColumn id="241" xr3:uid="{00000000-0010-0000-0300-0000F1000000}" name="LearningAchievement.specifiedBy.entryRequirementNote.NestedProperty.lv" dataDxfId="880" totalsRowDxfId="879"/>
    <tableColumn id="53" xr3:uid="{573EBF61-D985-4480-9B36-C2FDE02FFA11}" name="LearningAchievement.specifiedBy.entryRequirementNote.NestedProperty.mk" dataDxfId="878" totalsRowDxfId="877"/>
    <tableColumn id="242" xr3:uid="{00000000-0010-0000-0300-0000F2000000}" name="LearningAchievement.specifiedBy.entryRequirementNote.NestedProperty.mt" dataDxfId="876" totalsRowDxfId="875"/>
    <tableColumn id="243" xr3:uid="{00000000-0010-0000-0300-0000F3000000}" name="LearningAchievement.specifiedBy.entryRequirementNote.NestedProperty.nl" dataDxfId="874" totalsRowDxfId="873"/>
    <tableColumn id="244" xr3:uid="{00000000-0010-0000-0300-0000F4000000}" name="LearningAchievement.specifiedBy.entryRequirementNote.NestedProperty.no" dataDxfId="872" totalsRowDxfId="871"/>
    <tableColumn id="245" xr3:uid="{00000000-0010-0000-0300-0000F5000000}" name="LearningAchievement.specifiedBy.entryRequirementNote.NestedProperty.pl" dataDxfId="870" totalsRowDxfId="869"/>
    <tableColumn id="246" xr3:uid="{00000000-0010-0000-0300-0000F6000000}" name="LearningAchievement.specifiedBy.entryRequirementNote.NestedProperty.pt" dataDxfId="868" totalsRowDxfId="867"/>
    <tableColumn id="247" xr3:uid="{00000000-0010-0000-0300-0000F7000000}" name="LearningAchievement.specifiedBy.entryRequirementNote.NestedProperty.ro" dataDxfId="866" totalsRowDxfId="865"/>
    <tableColumn id="248" xr3:uid="{00000000-0010-0000-0300-0000F8000000}" name="LearningAchievement.specifiedBy.entryRequirementNote.NestedProperty.sk" dataDxfId="864" totalsRowDxfId="863"/>
    <tableColumn id="249" xr3:uid="{00000000-0010-0000-0300-0000F9000000}" name="LearningAchievement.specifiedBy.entryRequirementNote.NestedProperty.sl" dataDxfId="862" totalsRowDxfId="861"/>
    <tableColumn id="55" xr3:uid="{3046B265-502D-4C93-A89E-3310FB1B434D}" name="LearningAchievement.specifiedBy.entryRequirementNote.NestedProperty.sr" dataDxfId="860" totalsRowDxfId="859"/>
    <tableColumn id="54" xr3:uid="{6D72AD17-BD06-4D2C-9239-D18C236FBCC3}" name="LearningAchievement.specifiedBy.entryRequirementNote.NestedProperty.sv" dataDxfId="858" totalsRowDxfId="857"/>
    <tableColumn id="250" xr3:uid="{00000000-0010-0000-0300-0000FA000000}" name="LearningAchievement.specifiedBy.entryRequirementNote.NestedProperty.tr" dataDxfId="856" totalsRowDxfId="855"/>
    <tableColumn id="194" xr3:uid="{00000000-0010-0000-0300-0000C2000000}" name="LearningAchievement.specifiedBy.entryRequirementNote.NestedProperty.en2" dataDxfId="854" totalsRowDxfId="853"/>
    <tableColumn id="43" xr3:uid="{00000000-0010-0000-0300-00002B000000}" name="LearningAchievement.specifiedBy.additionalNote.NestedProperty.topic.1.en" dataDxfId="852" totalsRowDxfId="851">
      <calculatedColumnFormula>IF(ISBLANK(GE$11),"",GE$11)</calculatedColumnFormula>
    </tableColumn>
    <tableColumn id="44" xr3:uid="{00000000-0010-0000-0300-00002C000000}" name="LearningAchievement.specifiedBy.additionalNote.NestedProperty.content.1.en" dataDxfId="850" totalsRowDxfId="849">
      <calculatedColumnFormula>IF(ISBLANK(GF$11),"",GF$11)</calculatedColumnFormula>
    </tableColumn>
    <tableColumn id="92" xr3:uid="{00000000-0010-0000-0300-00005C000000}" name="LearningAchievement.specifiedBy.additionalNote.NestedProperty.content.1.bg" dataDxfId="848" totalsRowDxfId="847">
      <calculatedColumnFormula>IF(ISBLANK(GG$11),"",GG$11)</calculatedColumnFormula>
    </tableColumn>
    <tableColumn id="93" xr3:uid="{00000000-0010-0000-0300-00005D000000}" name="LearningAchievement.specifiedBy.additionalNote.NestedProperty.content.1.cs" dataDxfId="846" totalsRowDxfId="845">
      <calculatedColumnFormula>IF(ISBLANK(GH$11),"",GH$11)</calculatedColumnFormula>
    </tableColumn>
    <tableColumn id="94" xr3:uid="{00000000-0010-0000-0300-00005E000000}" name="LearningAchievement.specifiedBy.additionalNote.NestedProperty.content.1.da" dataDxfId="844" totalsRowDxfId="843">
      <calculatedColumnFormula>IF(ISBLANK(GI$11),"",GI$11)</calculatedColumnFormula>
    </tableColumn>
    <tableColumn id="95" xr3:uid="{00000000-0010-0000-0300-00005F000000}" name="LearningAchievement.specifiedBy.additionalNote.NestedProperty.content.1.de" dataDxfId="842" totalsRowDxfId="841">
      <calculatedColumnFormula>IF(ISBLANK(GJ$11),"",GJ$11)</calculatedColumnFormula>
    </tableColumn>
    <tableColumn id="96" xr3:uid="{00000000-0010-0000-0300-000060000000}" name="LearningAchievement.specifiedBy.additionalNote.NestedProperty.content.1.el" dataDxfId="840" totalsRowDxfId="839">
      <calculatedColumnFormula>IF(ISBLANK(GK$11),"",GK$11)</calculatedColumnFormula>
    </tableColumn>
    <tableColumn id="97" xr3:uid="{00000000-0010-0000-0300-000061000000}" name="LearningAchievement.specifiedBy.additionalNote.NestedProperty.content.1.es" dataDxfId="838" totalsRowDxfId="837">
      <calculatedColumnFormula>IF(ISBLANK(GL$11),"",GL$11)</calculatedColumnFormula>
    </tableColumn>
    <tableColumn id="98" xr3:uid="{00000000-0010-0000-0300-000062000000}" name="LearningAchievement.specifiedBy.additionalNote.NestedProperty.content.1.et" dataDxfId="836" totalsRowDxfId="835">
      <calculatedColumnFormula>IF(ISBLANK(GM$11),"",GM$11)</calculatedColumnFormula>
    </tableColumn>
    <tableColumn id="99" xr3:uid="{00000000-0010-0000-0300-000063000000}" name="LearningAchievement.specifiedBy.additionalNote.NestedProperty.content.1.fi" dataDxfId="834" totalsRowDxfId="833">
      <calculatedColumnFormula>IF(ISBLANK(GN$11),"",GN$11)</calculatedColumnFormula>
    </tableColumn>
    <tableColumn id="100" xr3:uid="{00000000-0010-0000-0300-000064000000}" name="LearningAchievement.specifiedBy.additionalNote.NestedProperty.content.1.fr" dataDxfId="832" totalsRowDxfId="831">
      <calculatedColumnFormula>IF(ISBLANK(GO$11),"",GO$11)</calculatedColumnFormula>
    </tableColumn>
    <tableColumn id="101" xr3:uid="{00000000-0010-0000-0300-000065000000}" name="LearningAchievement.specifiedBy.additionalNote.NestedProperty.content.1.ga" dataDxfId="830" totalsRowDxfId="829">
      <calculatedColumnFormula>IF(ISBLANK(GP$11),"",GP$11)</calculatedColumnFormula>
    </tableColumn>
    <tableColumn id="127" xr3:uid="{00000000-0010-0000-0300-00007F000000}" name="LearningAchievement.specifiedBy.additionalNote.NestedProperty.content.1.hr" dataDxfId="828" totalsRowDxfId="827">
      <calculatedColumnFormula>IF(ISBLANK(GQ$11),"",GQ$11)</calculatedColumnFormula>
    </tableColumn>
    <tableColumn id="128" xr3:uid="{00000000-0010-0000-0300-000080000000}" name="LearningAchievement.specifiedBy.additionalNote.NestedProperty.content.1.hu" dataDxfId="826" totalsRowDxfId="825">
      <calculatedColumnFormula>IF(ISBLANK(GR$11),"",GR$11)</calculatedColumnFormula>
    </tableColumn>
    <tableColumn id="129" xr3:uid="{00000000-0010-0000-0300-000081000000}" name="LearningAchievement.specifiedBy.additionalNote.NestedProperty.content.1.is" dataDxfId="824" totalsRowDxfId="823">
      <calculatedColumnFormula>IF(ISBLANK(GS$11),"",GS$11)</calculatedColumnFormula>
    </tableColumn>
    <tableColumn id="130" xr3:uid="{00000000-0010-0000-0300-000082000000}" name="LearningAchievement.specifiedBy.additionalNote.NestedProperty.content.1.it" dataDxfId="822" totalsRowDxfId="821">
      <calculatedColumnFormula>IF(ISBLANK(GT$11),"",GT$11)</calculatedColumnFormula>
    </tableColumn>
    <tableColumn id="131" xr3:uid="{00000000-0010-0000-0300-000083000000}" name="LearningAchievement.specifiedBy.additionalNote.NestedProperty.content.1.lt" dataDxfId="820" totalsRowDxfId="819">
      <calculatedColumnFormula>IF(ISBLANK(GU$11),"",GU$11)</calculatedColumnFormula>
    </tableColumn>
    <tableColumn id="132" xr3:uid="{00000000-0010-0000-0300-000084000000}" name="LearningAchievement.specifiedBy.additionalNote.NestedProperty.content.1.lv" dataDxfId="818" totalsRowDxfId="817">
      <calculatedColumnFormula>IF(ISBLANK(GV$11),"",GV$11)</calculatedColumnFormula>
    </tableColumn>
    <tableColumn id="56" xr3:uid="{39342EE6-D257-471A-BDEC-C3488C3C97CC}" name="LearningAchievement.specifiedBy.additionalNote.NestedProperty.content.1.mk" dataDxfId="816" totalsRowDxfId="815"/>
    <tableColumn id="133" xr3:uid="{00000000-0010-0000-0300-000085000000}" name="LearningAchievement.specifiedBy.additionalNote.NestedProperty.content.1.mt" dataDxfId="814" totalsRowDxfId="813">
      <calculatedColumnFormula>IF(ISBLANK(GX$11),"",GX$11)</calculatedColumnFormula>
    </tableColumn>
    <tableColumn id="134" xr3:uid="{00000000-0010-0000-0300-000086000000}" name="LearningAchievement.specifiedBy.additionalNote.NestedProperty.content.1.nl" dataDxfId="812" totalsRowDxfId="811">
      <calculatedColumnFormula>IF(ISBLANK(GY$11),"",GY$11)</calculatedColumnFormula>
    </tableColumn>
    <tableColumn id="135" xr3:uid="{00000000-0010-0000-0300-000087000000}" name="LearningAchievement.specifiedBy.additionalNote.NestedProperty.content.1.no" dataDxfId="810" totalsRowDxfId="809">
      <calculatedColumnFormula>IF(ISBLANK(GZ$11),"",GZ$11)</calculatedColumnFormula>
    </tableColumn>
    <tableColumn id="136" xr3:uid="{00000000-0010-0000-0300-000088000000}" name="LearningAchievement.specifiedBy.additionalNote.NestedProperty.content.1.pl" dataDxfId="808" totalsRowDxfId="807">
      <calculatedColumnFormula>IF(ISBLANK(HA$11),"",HA$11)</calculatedColumnFormula>
    </tableColumn>
    <tableColumn id="137" xr3:uid="{00000000-0010-0000-0300-000089000000}" name="LearningAchievement.specifiedBy.additionalNote.NestedProperty.content.1.pt" dataDxfId="806" totalsRowDxfId="805">
      <calculatedColumnFormula>IF(ISBLANK(HB$11),"",HB$11)</calculatedColumnFormula>
    </tableColumn>
    <tableColumn id="138" xr3:uid="{00000000-0010-0000-0300-00008A000000}" name="LearningAchievement.specifiedBy.additionalNote.NestedProperty.content.1.ro" dataDxfId="804" totalsRowDxfId="803">
      <calculatedColumnFormula>IF(ISBLANK(HC$11),"",HC$11)</calculatedColumnFormula>
    </tableColumn>
    <tableColumn id="140" xr3:uid="{00000000-0010-0000-0300-00008C000000}" name="LearningAchievement.specifiedBy.additionalNote.NestedProperty.content.1.sk" dataDxfId="802" totalsRowDxfId="801">
      <calculatedColumnFormula>IF(ISBLANK(HD$11),"",HD$11)</calculatedColumnFormula>
    </tableColumn>
    <tableColumn id="141" xr3:uid="{00000000-0010-0000-0300-00008D000000}" name="LearningAchievement.specifiedBy.additionalNote.NestedProperty.content.1.sl" dataDxfId="800" totalsRowDxfId="799">
      <calculatedColumnFormula>IF(ISBLANK(HE$11),"",HE$11)</calculatedColumnFormula>
    </tableColumn>
    <tableColumn id="84" xr3:uid="{EC81E5BE-BD12-41F5-85B2-2AD1963BDD7E}" name="LearningAchievement.specifiedBy.additionalNote.NestedProperty.content.1.sr" dataDxfId="798" totalsRowDxfId="797"/>
    <tableColumn id="82" xr3:uid="{8505F49A-BA0F-476F-B482-44EE87D53401}" name="LearningAchievement.specifiedBy.additionalNote.NestedProperty.content.1.sv" dataDxfId="796" totalsRowDxfId="795"/>
    <tableColumn id="142" xr3:uid="{00000000-0010-0000-0300-00008E000000}" name="LearningAchievement.specifiedBy.additionalNote.NestedProperty.content.1.tr" dataDxfId="794" totalsRowDxfId="793">
      <calculatedColumnFormula>IF(ISBLANK(HH$11),"",HH$11)</calculatedColumnFormula>
    </tableColumn>
    <tableColumn id="22" xr3:uid="{00000000-0010-0000-0300-000016000000}" name="LearningAchievement.specifiedBy.additionalNote.NestedProperty.topic.2." dataDxfId="792" totalsRowDxfId="791">
      <calculatedColumnFormula>IF(ISBLANK(HI$11),"",HI$11)</calculatedColumnFormula>
    </tableColumn>
    <tableColumn id="46" xr3:uid="{00000000-0010-0000-0300-00002E000000}" name="LearningAchievement.specifiedBy.additionalNote.NestedProperty.content.2.en" dataDxfId="790" totalsRowDxfId="789">
      <calculatedColumnFormula>IF(ISBLANK(HJ$11),"",HJ$11)</calculatedColumnFormula>
    </tableColumn>
    <tableColumn id="168" xr3:uid="{00000000-0010-0000-0300-0000A8000000}" name="LearningAchievement.specifiedBy.additionalNote.NestedProperty.content.2.bg" dataDxfId="788" totalsRowDxfId="787">
      <calculatedColumnFormula>IF(ISBLANK(HK$11),"",HK$11)</calculatedColumnFormula>
    </tableColumn>
    <tableColumn id="169" xr3:uid="{00000000-0010-0000-0300-0000A9000000}" name="LearningAchievement.specifiedBy.additionalNote.NestedProperty.content.2.cs" dataDxfId="786" totalsRowDxfId="785">
      <calculatedColumnFormula>IF(ISBLANK(HL$11),"",HL$11)</calculatedColumnFormula>
    </tableColumn>
    <tableColumn id="170" xr3:uid="{00000000-0010-0000-0300-0000AA000000}" name="LearningAchievement.specifiedBy.additionalNote.NestedProperty.content.2.da" dataDxfId="784" totalsRowDxfId="783">
      <calculatedColumnFormula>IF(ISBLANK(HM$11),"",HM$11)</calculatedColumnFormula>
    </tableColumn>
    <tableColumn id="171" xr3:uid="{00000000-0010-0000-0300-0000AB000000}" name="LearningAchievement.specifiedBy.additionalNote.NestedProperty.content.2.de" dataDxfId="782" totalsRowDxfId="781">
      <calculatedColumnFormula>IF(ISBLANK(HN$11),"",HN$11)</calculatedColumnFormula>
    </tableColumn>
    <tableColumn id="172" xr3:uid="{00000000-0010-0000-0300-0000AC000000}" name="LearningAchievement.specifiedBy.additionalNote.NestedProperty.content.2.el" dataDxfId="780" totalsRowDxfId="779">
      <calculatedColumnFormula>IF(ISBLANK(HO$11),"",HO$11)</calculatedColumnFormula>
    </tableColumn>
    <tableColumn id="173" xr3:uid="{00000000-0010-0000-0300-0000AD000000}" name="LearningAchievement.specifiedBy.additionalNote.NestedProperty.content.2.es" dataDxfId="778" totalsRowDxfId="777">
      <calculatedColumnFormula>IF(ISBLANK(HP$11),"",HP$11)</calculatedColumnFormula>
    </tableColumn>
    <tableColumn id="174" xr3:uid="{00000000-0010-0000-0300-0000AE000000}" name="LearningAchievement.specifiedBy.additionalNote.NestedProperty.content.2.et" dataDxfId="776" totalsRowDxfId="775">
      <calculatedColumnFormula>IF(ISBLANK(HQ$11),"",HQ$11)</calculatedColumnFormula>
    </tableColumn>
    <tableColumn id="175" xr3:uid="{00000000-0010-0000-0300-0000AF000000}" name="LearningAchievement.specifiedBy.additionalNote.NestedProperty.content.2.fi" dataDxfId="774" totalsRowDxfId="773">
      <calculatedColumnFormula>IF(ISBLANK(HR$11),"",HR$11)</calculatedColumnFormula>
    </tableColumn>
    <tableColumn id="176" xr3:uid="{00000000-0010-0000-0300-0000B0000000}" name="LearningAchievement.specifiedBy.additionalNote.NestedProperty.content.2.fr" dataDxfId="772" totalsRowDxfId="771">
      <calculatedColumnFormula>IF(ISBLANK(HS$11),"",HS$11)</calculatedColumnFormula>
    </tableColumn>
    <tableColumn id="177" xr3:uid="{00000000-0010-0000-0300-0000B1000000}" name="LearningAchievement.specifiedBy.additionalNote.NestedProperty.content.2.ga" dataDxfId="770" totalsRowDxfId="769">
      <calculatedColumnFormula>IF(ISBLANK(HT$11),"",HT$11)</calculatedColumnFormula>
    </tableColumn>
    <tableColumn id="178" xr3:uid="{00000000-0010-0000-0300-0000B2000000}" name="LearningAchievement.specifiedBy.additionalNote.NestedProperty.content.2.hr" dataDxfId="768" totalsRowDxfId="767">
      <calculatedColumnFormula>IF(ISBLANK(HU$11),"",HU$11)</calculatedColumnFormula>
    </tableColumn>
    <tableColumn id="179" xr3:uid="{00000000-0010-0000-0300-0000B3000000}" name="LearningAchievement.specifiedBy.additionalNote.NestedProperty.content.2.hu" dataDxfId="766" totalsRowDxfId="765">
      <calculatedColumnFormula>IF(ISBLANK(HV$11),"",HV$11)</calculatedColumnFormula>
    </tableColumn>
    <tableColumn id="180" xr3:uid="{00000000-0010-0000-0300-0000B4000000}" name="LearningAchievement.specifiedBy.additionalNote.NestedProperty.content.2.is" dataDxfId="764" totalsRowDxfId="763">
      <calculatedColumnFormula>IF(ISBLANK(HW$11),"",HW$11)</calculatedColumnFormula>
    </tableColumn>
    <tableColumn id="181" xr3:uid="{00000000-0010-0000-0300-0000B5000000}" name="LearningAchievement.specifiedBy.additionalNote.NestedProperty.content.2.it" dataDxfId="762" totalsRowDxfId="761">
      <calculatedColumnFormula>IF(ISBLANK(HX$11),"",HX$11)</calculatedColumnFormula>
    </tableColumn>
    <tableColumn id="182" xr3:uid="{00000000-0010-0000-0300-0000B6000000}" name="LearningAchievement.specifiedBy.additionalNote.NestedProperty.content.2.lt" dataDxfId="760" totalsRowDxfId="759">
      <calculatedColumnFormula>IF(ISBLANK(HY$11),"",HY$11)</calculatedColumnFormula>
    </tableColumn>
    <tableColumn id="183" xr3:uid="{00000000-0010-0000-0300-0000B7000000}" name="LearningAchievement.specifiedBy.additionalNote.NestedProperty.content.2.lv" dataDxfId="758" totalsRowDxfId="757">
      <calculatedColumnFormula>IF(ISBLANK(HZ$11),"",HZ$11)</calculatedColumnFormula>
    </tableColumn>
    <tableColumn id="87" xr3:uid="{B5EA226D-280A-4F5B-BCFC-93DF29CD27EE}" name="LearningAchievement.specifiedBy.additionalNote.NestedProperty.content.2.mk" dataDxfId="756" totalsRowDxfId="755">
      <calculatedColumnFormula>IF(ISBLANK(IA$11),"",IA$11)</calculatedColumnFormula>
    </tableColumn>
    <tableColumn id="184" xr3:uid="{00000000-0010-0000-0300-0000B8000000}" name="LearningAchievement.specifiedBy.additionalNote.NestedProperty.content.2.mt" dataDxfId="754" totalsRowDxfId="753">
      <calculatedColumnFormula>IF(ISBLANK(IB$11),"",IB$11)</calculatedColumnFormula>
    </tableColumn>
    <tableColumn id="185" xr3:uid="{00000000-0010-0000-0300-0000B9000000}" name="LearningAchievement.specifiedBy.additionalNote.NestedProperty.content.2.nl" dataDxfId="752" totalsRowDxfId="751">
      <calculatedColumnFormula>IF(ISBLANK(IC$11),"",IC$11)</calculatedColumnFormula>
    </tableColumn>
    <tableColumn id="186" xr3:uid="{00000000-0010-0000-0300-0000BA000000}" name="LearningAchievement.specifiedBy.additionalNote.NestedProperty.content.2.no" dataDxfId="750" totalsRowDxfId="749">
      <calculatedColumnFormula>IF(ISBLANK(ID$11),"",ID$11)</calculatedColumnFormula>
    </tableColumn>
    <tableColumn id="187" xr3:uid="{00000000-0010-0000-0300-0000BB000000}" name="LearningAchievement.specifiedBy.additionalNote.NestedProperty.content.2.pl" dataDxfId="748" totalsRowDxfId="747">
      <calculatedColumnFormula>IF(ISBLANK(IE$11),"",IE$11)</calculatedColumnFormula>
    </tableColumn>
    <tableColumn id="188" xr3:uid="{00000000-0010-0000-0300-0000BC000000}" name="LearningAchievement.specifiedBy.additionalNote.NestedProperty.content.2.pt" dataDxfId="746" totalsRowDxfId="745">
      <calculatedColumnFormula>IF(ISBLANK(IF$11),"",IF$11)</calculatedColumnFormula>
    </tableColumn>
    <tableColumn id="189" xr3:uid="{00000000-0010-0000-0300-0000BD000000}" name="LearningAchievement.specifiedBy.additionalNote.NestedProperty.content.2.ro" dataDxfId="744" totalsRowDxfId="743">
      <calculatedColumnFormula>IF(ISBLANK(IG$11),"",IG$11)</calculatedColumnFormula>
    </tableColumn>
    <tableColumn id="190" xr3:uid="{00000000-0010-0000-0300-0000BE000000}" name="LearningAchievement.specifiedBy.additionalNote.NestedProperty.content.2.sk" dataDxfId="742" totalsRowDxfId="741">
      <calculatedColumnFormula>IF(ISBLANK(IH$11),"",IH$11)</calculatedColumnFormula>
    </tableColumn>
    <tableColumn id="191" xr3:uid="{00000000-0010-0000-0300-0000BF000000}" name="LearningAchievement.specifiedBy.additionalNote.NestedProperty.content.2.sl" dataDxfId="740" totalsRowDxfId="739">
      <calculatedColumnFormula>IF(ISBLANK(II$11),"",II$11)</calculatedColumnFormula>
    </tableColumn>
    <tableColumn id="86" xr3:uid="{F624593F-8B68-4660-B9B3-77F6E9C25145}" name="LearningAchievement.specifiedBy.additionalNote.NestedProperty.content.2.sr" dataDxfId="738" totalsRowDxfId="737">
      <calculatedColumnFormula>IF(ISBLANK(IJ$11),"",IJ$11)</calculatedColumnFormula>
    </tableColumn>
    <tableColumn id="85" xr3:uid="{7FCAD25B-D875-453E-B8D1-96DC5C7D3446}" name="LearningAchievement.specifiedBy.additionalNote.NestedProperty.content.2.sv" dataDxfId="736" totalsRowDxfId="735">
      <calculatedColumnFormula>IF(ISBLANK(IK$11),"",IK$11)</calculatedColumnFormula>
    </tableColumn>
    <tableColumn id="192" xr3:uid="{00000000-0010-0000-0300-0000C0000000}" name="LearningAchievement.specifiedBy.additionalNote.NestedProperty.content.2.tr" dataDxfId="734" totalsRowDxfId="733">
      <calculatedColumnFormula>IF(ISBLANK(IL$11),"",IL$11)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4000000}" name="LearningOutcomes" displayName="LearningOutcomes" ref="B12:CB16" totalsRowShown="0" dataDxfId="732">
  <autoFilter ref="B12:CB16" xr:uid="{00000000-0009-0000-0100-000013000000}"/>
  <tableColumns count="79">
    <tableColumn id="1" xr3:uid="{00000000-0010-0000-0400-000001000000}" name="LearningOutcome.name.Property.content.en" dataDxfId="731"/>
    <tableColumn id="12" xr3:uid="{00000000-0010-0000-0400-00000C000000}" name="LearningOutcome.name.Property.content.bg" dataDxfId="730"/>
    <tableColumn id="13" xr3:uid="{00000000-0010-0000-0400-00000D000000}" name="LearningOutcome.name.Property.content.cs" dataDxfId="729"/>
    <tableColumn id="14" xr3:uid="{00000000-0010-0000-0400-00000E000000}" name="LearningOutcome.name.Property.content.da" dataDxfId="728"/>
    <tableColumn id="15" xr3:uid="{00000000-0010-0000-0400-00000F000000}" name="LearningOutcome.name.Property.content.de" dataDxfId="727"/>
    <tableColumn id="16" xr3:uid="{00000000-0010-0000-0400-000010000000}" name="LearningOutcome.name.Property.content.el" dataDxfId="726"/>
    <tableColumn id="17" xr3:uid="{00000000-0010-0000-0400-000011000000}" name="LearningOutcome.name.Property.content.es" dataDxfId="725"/>
    <tableColumn id="18" xr3:uid="{00000000-0010-0000-0400-000012000000}" name="LearningOutcome.name.Property.content.et" dataDxfId="724"/>
    <tableColumn id="19" xr3:uid="{00000000-0010-0000-0400-000013000000}" name="LearningOutcome.name.Property.content.fi" dataDxfId="723"/>
    <tableColumn id="20" xr3:uid="{00000000-0010-0000-0400-000014000000}" name="LearningOutcome.name.Property.content.fr" dataDxfId="722"/>
    <tableColumn id="21" xr3:uid="{00000000-0010-0000-0400-000015000000}" name="LearningOutcome.name.Property.content.ga" dataDxfId="721"/>
    <tableColumn id="22" xr3:uid="{00000000-0010-0000-0400-000016000000}" name="LearningOutcome.name.Property.content.hr" dataDxfId="720"/>
    <tableColumn id="23" xr3:uid="{00000000-0010-0000-0400-000017000000}" name="LearningOutcome.name.Property.content.hu" dataDxfId="719"/>
    <tableColumn id="24" xr3:uid="{00000000-0010-0000-0400-000018000000}" name="LearningOutcome.name.Property.content.is" dataDxfId="718"/>
    <tableColumn id="25" xr3:uid="{00000000-0010-0000-0400-000019000000}" name="LearningOutcome.name.Property.content.it" dataDxfId="717"/>
    <tableColumn id="26" xr3:uid="{00000000-0010-0000-0400-00001A000000}" name="LearningOutcome.name.Property.content.lt" dataDxfId="716"/>
    <tableColumn id="27" xr3:uid="{00000000-0010-0000-0400-00001B000000}" name="LearningOutcome.name.Property.content.lv" dataDxfId="715"/>
    <tableColumn id="62" xr3:uid="{9C254BD5-307F-4897-AAE3-865D2BD6045A}" name="LearningOutcome.name.Property.content.mk" dataDxfId="714"/>
    <tableColumn id="28" xr3:uid="{00000000-0010-0000-0400-00001C000000}" name="LearningOutcome.name.Property.content.mt" dataDxfId="713"/>
    <tableColumn id="29" xr3:uid="{00000000-0010-0000-0400-00001D000000}" name="LearningOutcome.name.Property.content.nl" dataDxfId="712"/>
    <tableColumn id="30" xr3:uid="{00000000-0010-0000-0400-00001E000000}" name="LearningOutcome.name.Property.content.no" dataDxfId="711"/>
    <tableColumn id="31" xr3:uid="{00000000-0010-0000-0400-00001F000000}" name="LearningOutcome.name.Property.content.pl" dataDxfId="710"/>
    <tableColumn id="32" xr3:uid="{00000000-0010-0000-0400-000020000000}" name="LearningOutcome.name.Property.content.pt" dataDxfId="709"/>
    <tableColumn id="33" xr3:uid="{00000000-0010-0000-0400-000021000000}" name="LearningOutcome.name.Property.content.ro" dataDxfId="708"/>
    <tableColumn id="34" xr3:uid="{00000000-0010-0000-0400-000022000000}" name="LearningOutcome.name.Property.content.sk" dataDxfId="707"/>
    <tableColumn id="35" xr3:uid="{00000000-0010-0000-0400-000023000000}" name="LearningOutcome.name.Property.content.sl" dataDxfId="706"/>
    <tableColumn id="64" xr3:uid="{378AF6C3-7532-47F1-9F03-BB620899B09B}" name="LearningOutcome.name.Property.content.sr" dataDxfId="705"/>
    <tableColumn id="63" xr3:uid="{38CE50C9-31F9-4D4F-999A-E8BBB2B5E526}" name="LearningOutcome.name.Property.content.sv" dataDxfId="704"/>
    <tableColumn id="36" xr3:uid="{00000000-0010-0000-0400-000024000000}" name="LearningOutcome.name.Property.content.tr" dataDxfId="703"/>
    <tableColumn id="4" xr3:uid="{00000000-0010-0000-0400-000004000000}" name="LearningOutcome.identifier#1.identifierSchemeId.NestedProperty." dataDxfId="702"/>
    <tableColumn id="3" xr3:uid="{00000000-0010-0000-0400-000003000000}" name="LearningOutcome.identifier#1.content.NestedProperty." dataDxfId="701"/>
    <tableColumn id="2" xr3:uid="{00000000-0010-0000-0400-000002000000}" name="LearningOutcome.description.Property.content.en" dataDxfId="700"/>
    <tableColumn id="37" xr3:uid="{00000000-0010-0000-0400-000025000000}" name="LearningOutcome.description.Property.content.bg" dataDxfId="699"/>
    <tableColumn id="38" xr3:uid="{00000000-0010-0000-0400-000026000000}" name="LearningOutcome.description.Property.content.cs" dataDxfId="698"/>
    <tableColumn id="39" xr3:uid="{00000000-0010-0000-0400-000027000000}" name="LearningOutcome.description.Property.content.da" dataDxfId="697"/>
    <tableColumn id="40" xr3:uid="{00000000-0010-0000-0400-000028000000}" name="LearningOutcome.description.Property.content.de" dataDxfId="696"/>
    <tableColumn id="41" xr3:uid="{00000000-0010-0000-0400-000029000000}" name="LearningOutcome.description.Property.content.el" dataDxfId="695"/>
    <tableColumn id="42" xr3:uid="{00000000-0010-0000-0400-00002A000000}" name="LearningOutcome.description.Property.content.es" dataDxfId="694"/>
    <tableColumn id="43" xr3:uid="{00000000-0010-0000-0400-00002B000000}" name="LearningOutcome.description.Property.content.et" dataDxfId="693"/>
    <tableColumn id="44" xr3:uid="{00000000-0010-0000-0400-00002C000000}" name="LearningOutcome.description.Property.content.fi" dataDxfId="692"/>
    <tableColumn id="45" xr3:uid="{00000000-0010-0000-0400-00002D000000}" name="LearningOutcome.description.Property.content.fr" dataDxfId="691"/>
    <tableColumn id="46" xr3:uid="{00000000-0010-0000-0400-00002E000000}" name="LearningOutcome.description.Property.content.ga" dataDxfId="690"/>
    <tableColumn id="47" xr3:uid="{00000000-0010-0000-0400-00002F000000}" name="LearningOutcome.description.Property.content.hr" dataDxfId="689"/>
    <tableColumn id="48" xr3:uid="{00000000-0010-0000-0400-000030000000}" name="LearningOutcome.description.Property.content.hu" dataDxfId="688"/>
    <tableColumn id="49" xr3:uid="{00000000-0010-0000-0400-000031000000}" name="LearningOutcome.description.Property.content.is" dataDxfId="687"/>
    <tableColumn id="50" xr3:uid="{00000000-0010-0000-0400-000032000000}" name="LearningOutcome.description.Property.content.it" dataDxfId="686"/>
    <tableColumn id="51" xr3:uid="{00000000-0010-0000-0400-000033000000}" name="LearningOutcome.description.Property.content.lt" dataDxfId="685"/>
    <tableColumn id="52" xr3:uid="{00000000-0010-0000-0400-000034000000}" name="LearningOutcome.description.Property.content.lv" dataDxfId="684"/>
    <tableColumn id="65" xr3:uid="{4BB1ECB1-D8BF-4B9D-B5D1-D1F6E9742BF8}" name="LearningOutcome.description.Property.content.mk" dataDxfId="683"/>
    <tableColumn id="53" xr3:uid="{00000000-0010-0000-0400-000035000000}" name="LearningOutcome.description.Property.content.mt" dataDxfId="682"/>
    <tableColumn id="54" xr3:uid="{00000000-0010-0000-0400-000036000000}" name="LearningOutcome.description.Property.content.nl" dataDxfId="681"/>
    <tableColumn id="55" xr3:uid="{00000000-0010-0000-0400-000037000000}" name="LearningOutcome.description.Property.content.no" dataDxfId="680"/>
    <tableColumn id="56" xr3:uid="{00000000-0010-0000-0400-000038000000}" name="LearningOutcome.description.Property.content.pl" dataDxfId="679"/>
    <tableColumn id="57" xr3:uid="{00000000-0010-0000-0400-000039000000}" name="LearningOutcome.description.Property.content.pt" dataDxfId="678"/>
    <tableColumn id="58" xr3:uid="{00000000-0010-0000-0400-00003A000000}" name="LearningOutcome.description.Property.content.ro" dataDxfId="677"/>
    <tableColumn id="59" xr3:uid="{00000000-0010-0000-0400-00003B000000}" name="LearningOutcome.description.Property.content.sk" dataDxfId="676"/>
    <tableColumn id="60" xr3:uid="{00000000-0010-0000-0400-00003C000000}" name="LearningOutcome.description.Property.content.sl" dataDxfId="675"/>
    <tableColumn id="67" xr3:uid="{F3523D4D-FDED-463D-A2E5-9EDEA05FD278}" name="LearningOutcome.description.Property.content.sr" dataDxfId="674"/>
    <tableColumn id="66" xr3:uid="{AB68388E-4D96-4819-BBE2-A5A555ADF44A}" name="LearningOutcome.description.Property.content.sv" dataDxfId="673"/>
    <tableColumn id="61" xr3:uid="{00000000-0010-0000-0400-00003D000000}" name="LearningOutcome.description.Property.content.tr" dataDxfId="672"/>
    <tableColumn id="5" xr3:uid="{00000000-0010-0000-0400-000005000000}" name="LearningOutcome.learningOutcomeType.Reference." dataDxfId="671"/>
    <tableColumn id="6" xr3:uid="{00000000-0010-0000-0400-000006000000}" name="LearningOutcome.learningOutcomeType.Association.code.en" dataDxfId="670">
      <calculatedColumnFormula array="1">MultiMatch(LearningOutcomes[[#This Row],[LearningOutcome.learningOutcomeType.Reference.]],Vocabularies[name],0)</calculatedColumnFormula>
    </tableColumn>
    <tableColumn id="7" xr3:uid="{00000000-0010-0000-0400-000007000000}" name="LearningOutcome.reusabilityLevel.Reference." dataDxfId="669"/>
    <tableColumn id="8" xr3:uid="{00000000-0010-0000-0400-000008000000}" name="LearningOutcome.reusabilityLevel.Association.content.en" dataDxfId="668">
      <calculatedColumnFormula array="1">MultiMatch(LearningOutcomes[[#This Row],[LearningOutcome.reusabilityLevel.Reference.]],Vocabularies[name],0)</calculatedColumnFormula>
    </tableColumn>
    <tableColumn id="74" xr3:uid="{A70A5D4C-D226-47DC-A893-CC0E1DBD36A4}" name="LearningOutcome.relatedESCOSkill#1.targetFrameworkURI.NestedProperty." dataDxfId="667" dataCellStyle="Hyperlink">
      <calculatedColumnFormula>IF(ISBLANK(BO13),"",BN$11)</calculatedColumnFormula>
    </tableColumn>
    <tableColumn id="75" xr3:uid="{4D4AAFF6-4725-43D0-B48E-8D31220011DA}" name="LearningOutcome.relatedESCOSkill#1.URI.NestedProperty." dataDxfId="666"/>
    <tableColumn id="79" xr3:uid="{F284BFDC-F1F3-4DED-B73E-B6B6AC8A5BFC}" name="LearningOutcome.relatedESCOSkill#2.targetFrameworkURI.NestedProperty." dataDxfId="665" dataCellStyle="Hyperlink">
      <calculatedColumnFormula>IF(ISBLANK(BQ13),"",BN$11)</calculatedColumnFormula>
    </tableColumn>
    <tableColumn id="76" xr3:uid="{CB875FF2-7DBF-4A17-9384-CD620F1ABEA5}" name="LearningOutcome.relatedESCOSkill#2.URI.NestedProperty." dataDxfId="664"/>
    <tableColumn id="80" xr3:uid="{31AF4F55-FC87-4D57-8522-F9ED5F1E8575}" name="LearningOutcome.relatedESCOSkill#3.targetFrameworkURI.NestedProperty." dataDxfId="663" dataCellStyle="Hyperlink">
      <calculatedColumnFormula>IF(ISBLANK(BS13),"",BN$11)</calculatedColumnFormula>
    </tableColumn>
    <tableColumn id="77" xr3:uid="{6C34CA3F-0F43-410E-B55E-6F5319F4F524}" name="LearningOutcome.relatedESCOSkill#3.URI.NestedProperty." dataDxfId="662"/>
    <tableColumn id="69" xr3:uid="{C9F1ABC5-110E-4D35-B476-8B5F742D301E}" name="LearningOutcome.relatedSkill#1.targetResource.NestedProperty." dataDxfId="661" dataCellStyle="Hyperlink">
      <calculatedColumnFormula>IF(ISBLANK(BU13),"",BT$11)</calculatedColumnFormula>
    </tableColumn>
    <tableColumn id="68" xr3:uid="{1D45F457-DC7D-4759-BA76-88E4138518AC}" name="LearningOutcome.relatedSkill#1.targetName.NestedProperty." dataDxfId="660"/>
    <tableColumn id="70" xr3:uid="{6B2EC9BA-3406-4062-B975-520D4D0A1AC8}" name="LearningOutcome.relatedSkill#1.URI.NestedProperty." dataDxfId="659"/>
    <tableColumn id="81" xr3:uid="{8638F50E-E451-4569-9F5A-BE74A6A34932}" name="LearningOutcome.relatedSkill#2.targetResource.NestedProperty." dataDxfId="658" dataCellStyle="Hyperlink">
      <calculatedColumnFormula>IF(ISBLANK(BX13),"",BT$11)</calculatedColumnFormula>
    </tableColumn>
    <tableColumn id="71" xr3:uid="{8059E9DF-9CCF-4214-980C-4B32997DEB4B}" name="LearningOutcome.relatedSkill#2.targetName.NestedProperty." dataDxfId="657" dataCellStyle="Hyperlink"/>
    <tableColumn id="72" xr3:uid="{4C31F354-CAF8-4231-B2C1-FB4216CB1EC6}" name="LearningOutcome.relatedSkill#2.URI.NestedProperty." dataDxfId="656"/>
    <tableColumn id="82" xr3:uid="{7892FE95-30EB-44DA-B92F-E899C3530B57}" name="LearningOutcome.relatedSkill#3.targetResource.NestedProperty." dataDxfId="655" dataCellStyle="Hyperlink">
      <calculatedColumnFormula>IF(ISBLANK(CA13),"",BT$11)</calculatedColumnFormula>
    </tableColumn>
    <tableColumn id="78" xr3:uid="{DB6530F9-2925-451F-8933-2C3F1EA20EE2}" name="LearningOutcome.relatedSkill#3.targetName.NestedProperty." dataDxfId="654"/>
    <tableColumn id="73" xr3:uid="{0D04C4C6-AEB4-4950-B73D-DFDBAE05635D}" name="LearningOutcome.relatedSkill#3.URI.NestedProperty." dataDxfId="65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Activities" displayName="Activities" ref="B12:IW16" totalsRowShown="0" headerRowDxfId="651" dataDxfId="650">
  <autoFilter ref="B12:IW16" xr:uid="{00000000-0009-0000-0100-000010000000}"/>
  <tableColumns count="256">
    <tableColumn id="1" xr3:uid="{00000000-0010-0000-0500-000001000000}" name="LearningActivity.title.Property.content.en" dataDxfId="649"/>
    <tableColumn id="29" xr3:uid="{00000000-0010-0000-0500-00001D000000}" name="LearningActivity.title.Property.content.bg" dataDxfId="648"/>
    <tableColumn id="30" xr3:uid="{00000000-0010-0000-0500-00001E000000}" name="LearningActivity.title.Property.content.cs" dataDxfId="647"/>
    <tableColumn id="31" xr3:uid="{00000000-0010-0000-0500-00001F000000}" name="LearningActivity.title.Property.content.da" dataDxfId="646"/>
    <tableColumn id="32" xr3:uid="{00000000-0010-0000-0500-000020000000}" name="LearningActivity.title.Property.content.de" dataDxfId="645"/>
    <tableColumn id="33" xr3:uid="{00000000-0010-0000-0500-000021000000}" name="LearningActivity.title.Property.content.el" dataDxfId="644"/>
    <tableColumn id="34" xr3:uid="{00000000-0010-0000-0500-000022000000}" name="LearningActivity.title.Property.content.es" dataDxfId="643"/>
    <tableColumn id="35" xr3:uid="{00000000-0010-0000-0500-000023000000}" name="LearningActivity.title.Property.content.et" dataDxfId="642"/>
    <tableColumn id="36" xr3:uid="{00000000-0010-0000-0500-000024000000}" name="LearningActivity.title.Property.content.fi" dataDxfId="641"/>
    <tableColumn id="37" xr3:uid="{00000000-0010-0000-0500-000025000000}" name="LearningActivity.title.Property.content.fr" dataDxfId="640"/>
    <tableColumn id="38" xr3:uid="{00000000-0010-0000-0500-000026000000}" name="LearningActivity.title.Property.content.ga" dataDxfId="639"/>
    <tableColumn id="39" xr3:uid="{00000000-0010-0000-0500-000027000000}" name="LearningActivity.title.Property.content.hr" dataDxfId="638"/>
    <tableColumn id="40" xr3:uid="{00000000-0010-0000-0500-000028000000}" name="LearningActivity.title.Property.content.hu" dataDxfId="637"/>
    <tableColumn id="41" xr3:uid="{00000000-0010-0000-0500-000029000000}" name="LearningActivity.title.Property.content.is" dataDxfId="636"/>
    <tableColumn id="42" xr3:uid="{00000000-0010-0000-0500-00002A000000}" name="LearningActivity.title.Property.content.it" dataDxfId="635"/>
    <tableColumn id="43" xr3:uid="{00000000-0010-0000-0500-00002B000000}" name="LearningActivity.title.Property.content.lt" dataDxfId="634"/>
    <tableColumn id="44" xr3:uid="{00000000-0010-0000-0500-00002C000000}" name="LearningActivity.title.Property.content.lv" dataDxfId="633"/>
    <tableColumn id="113" xr3:uid="{83B4887A-5C05-441F-85D7-A5FD9994CCFC}" name="LearningActivity.title.Property.content.mk" dataDxfId="632"/>
    <tableColumn id="45" xr3:uid="{00000000-0010-0000-0500-00002D000000}" name="LearningActivity.title.Property.content.mt" dataDxfId="631"/>
    <tableColumn id="46" xr3:uid="{00000000-0010-0000-0500-00002E000000}" name="LearningActivity.title.Property.content.nl" dataDxfId="630"/>
    <tableColumn id="47" xr3:uid="{00000000-0010-0000-0500-00002F000000}" name="LearningActivity.title.Property.content.no" dataDxfId="629"/>
    <tableColumn id="48" xr3:uid="{00000000-0010-0000-0500-000030000000}" name="LearningActivity.title.Property.content.pl" dataDxfId="628"/>
    <tableColumn id="49" xr3:uid="{00000000-0010-0000-0500-000031000000}" name="LearningActivity.title.Property.content.pt" dataDxfId="627"/>
    <tableColumn id="50" xr3:uid="{00000000-0010-0000-0500-000032000000}" name="LearningActivity.title.Property.content.ro" dataDxfId="626"/>
    <tableColumn id="51" xr3:uid="{00000000-0010-0000-0500-000033000000}" name="LearningActivity.title.Property.content.sk" dataDxfId="625"/>
    <tableColumn id="52" xr3:uid="{00000000-0010-0000-0500-000034000000}" name="LearningActivity.title.Property.content.sl" dataDxfId="624"/>
    <tableColumn id="115" xr3:uid="{6DBE9113-D473-4BE8-BC10-8624BBB0AD00}" name="LearningActivity.title.Property.content.sr" dataDxfId="623"/>
    <tableColumn id="114" xr3:uid="{CCDEC1AA-A603-4035-B053-79C37799CE5B}" name="LearningActivity.title.Property.content.sv" dataDxfId="622"/>
    <tableColumn id="53" xr3:uid="{00000000-0010-0000-0500-000035000000}" name="LearningActivity.title.Property.content.tr" dataDxfId="621"/>
    <tableColumn id="9" xr3:uid="{00000000-0010-0000-0500-000009000000}" name="LearningActivity.identifier#1.identifierSchemeId.NestedProperty." dataDxfId="620">
      <calculatedColumnFormula>IF(ISBLANK(AE$11),"",AE$11)</calculatedColumnFormula>
    </tableColumn>
    <tableColumn id="8" xr3:uid="{00000000-0010-0000-0500-000008000000}" name="LearningActivity.identifier#1.content.NestedProperty." dataDxfId="619"/>
    <tableColumn id="2" xr3:uid="{00000000-0010-0000-0500-000002000000}" name="LearningActivity.Description.Property.content.en" dataDxfId="618"/>
    <tableColumn id="54" xr3:uid="{00000000-0010-0000-0500-000036000000}" name="LearningActivity.Description.Property.content.bg" dataDxfId="617"/>
    <tableColumn id="55" xr3:uid="{00000000-0010-0000-0500-000037000000}" name="LearningActivity.Description.Property.content.cs" dataDxfId="616"/>
    <tableColumn id="56" xr3:uid="{00000000-0010-0000-0500-000038000000}" name="LearningActivity.Description.Property.content.da" dataDxfId="615"/>
    <tableColumn id="57" xr3:uid="{00000000-0010-0000-0500-000039000000}" name="LearningActivity.Description.Property.content.de" dataDxfId="614"/>
    <tableColumn id="58" xr3:uid="{00000000-0010-0000-0500-00003A000000}" name="LearningActivity.Description.Property.content.el" dataDxfId="613"/>
    <tableColumn id="59" xr3:uid="{00000000-0010-0000-0500-00003B000000}" name="LearningActivity.Description.Property.content.es" dataDxfId="612"/>
    <tableColumn id="60" xr3:uid="{00000000-0010-0000-0500-00003C000000}" name="LearningActivity.Description.Property.content.et" dataDxfId="611"/>
    <tableColumn id="61" xr3:uid="{00000000-0010-0000-0500-00003D000000}" name="LearningActivity.Description.Property.content.fi" dataDxfId="610"/>
    <tableColumn id="62" xr3:uid="{00000000-0010-0000-0500-00003E000000}" name="LearningActivity.Description.Property.content.fr" dataDxfId="609"/>
    <tableColumn id="63" xr3:uid="{00000000-0010-0000-0500-00003F000000}" name="LearningActivity.Description.Property.content.ga" dataDxfId="608"/>
    <tableColumn id="64" xr3:uid="{00000000-0010-0000-0500-000040000000}" name="LearningActivity.Description.Property.content.hr" dataDxfId="607"/>
    <tableColumn id="65" xr3:uid="{00000000-0010-0000-0500-000041000000}" name="LearningActivity.Description.Property.content.hu" dataDxfId="606"/>
    <tableColumn id="66" xr3:uid="{00000000-0010-0000-0500-000042000000}" name="LearningActivity.Description.Property.content.is" dataDxfId="605"/>
    <tableColumn id="67" xr3:uid="{00000000-0010-0000-0500-000043000000}" name="LearningActivity.Description.Property.content.it" dataDxfId="604"/>
    <tableColumn id="68" xr3:uid="{00000000-0010-0000-0500-000044000000}" name="LearningActivity.Description.Property.content.lt" dataDxfId="603"/>
    <tableColumn id="69" xr3:uid="{00000000-0010-0000-0500-000045000000}" name="LearningActivity.Description.Property.content.lv" dataDxfId="602"/>
    <tableColumn id="116" xr3:uid="{40143018-E9F8-43DE-970B-2E394D353056}" name="LearningActivity.Description.Property.content.mk" dataDxfId="601"/>
    <tableColumn id="70" xr3:uid="{00000000-0010-0000-0500-000046000000}" name="LearningActivity.Description.Property.content.mt" dataDxfId="600"/>
    <tableColumn id="71" xr3:uid="{00000000-0010-0000-0500-000047000000}" name="LearningActivity.Description.Property.content.nl" dataDxfId="599"/>
    <tableColumn id="72" xr3:uid="{00000000-0010-0000-0500-000048000000}" name="LearningActivity.Description.Property.content.no" dataDxfId="598"/>
    <tableColumn id="73" xr3:uid="{00000000-0010-0000-0500-000049000000}" name="LearningActivity.Description.Property.content.pl" dataDxfId="597"/>
    <tableColumn id="74" xr3:uid="{00000000-0010-0000-0500-00004A000000}" name="LearningActivity.Description.Property.content.pt" dataDxfId="596"/>
    <tableColumn id="75" xr3:uid="{00000000-0010-0000-0500-00004B000000}" name="LearningActivity.Description.Property.content.ro" dataDxfId="595"/>
    <tableColumn id="76" xr3:uid="{00000000-0010-0000-0500-00004C000000}" name="LearningActivity.Description.Property.content.sk" dataDxfId="594"/>
    <tableColumn id="77" xr3:uid="{00000000-0010-0000-0500-00004D000000}" name="LearningActivity.Description.Property.content.sl" dataDxfId="593"/>
    <tableColumn id="118" xr3:uid="{819F9D8A-E54B-4748-A666-CE8E011BF281}" name="LearningActivity.Description.Property.content.sr" dataDxfId="592"/>
    <tableColumn id="117" xr3:uid="{6A64C0CD-7A39-45FF-A2E6-B41B51135B50}" name="LearningActivity.Description.Property.content.sv" dataDxfId="591"/>
    <tableColumn id="78" xr3:uid="{00000000-0010-0000-0500-00004E000000}" name="LearningActivity.Description.Property.content.tr" dataDxfId="590"/>
    <tableColumn id="3" xr3:uid="{00000000-0010-0000-0500-000003000000}" name="LearningActivity.startedAtTime.Property." dataDxfId="589"/>
    <tableColumn id="4" xr3:uid="{00000000-0010-0000-0500-000004000000}" name="LearningActivity.endedAtTime.Property." dataDxfId="588"/>
    <tableColumn id="5" xr3:uid="{00000000-0010-0000-0500-000005000000}" name="LearningActivity.workload.Property." dataDxfId="587"/>
    <tableColumn id="6" xr3:uid="{00000000-0010-0000-0500-000006000000}" name="LearningActivity.Directedby.Reference.Organisation." dataDxfId="586">
      <calculatedColumnFormula>IF(ISBLANK(BM$11),"",BM$11)</calculatedColumnFormula>
    </tableColumn>
    <tableColumn id="7" xr3:uid="{00000000-0010-0000-0500-000007000000}" name="LearningActivity.directedBy.Association.Organisation." dataDxfId="585">
      <calculatedColumnFormula array="1">MultiMatch(Activities[[#This Row],[LearningActivity.Directedby.Reference.Organisation.]],OrganisationNames,0)</calculatedColumnFormula>
    </tableColumn>
    <tableColumn id="132" xr3:uid="{00000000-0010-0000-0500-000084000000}" name="LearningActivity.location#1.spatialCode#1.geographicName.NestedProperty.content.en" dataDxfId="584">
      <calculatedColumnFormula>IF(ISBLANK(BO$11),"",BO$11)</calculatedColumnFormula>
    </tableColumn>
    <tableColumn id="131" xr3:uid="{00000000-0010-0000-0500-000083000000}" name="LearningActivity.location#1.spatialCode#1.geographicName.NestedProperty.content.bg" dataDxfId="583">
      <calculatedColumnFormula>IF(ISBLANK(BP$11),"",BP$11)</calculatedColumnFormula>
    </tableColumn>
    <tableColumn id="130" xr3:uid="{00000000-0010-0000-0500-000082000000}" name="LearningActivity.location#1.spatialCode#1.geographicName.NestedProperty.content.cs" dataDxfId="582">
      <calculatedColumnFormula>IF(ISBLANK(BQ$11),"",BQ$11)</calculatedColumnFormula>
    </tableColumn>
    <tableColumn id="129" xr3:uid="{00000000-0010-0000-0500-000081000000}" name="LearningActivity.location#1.spatialCode#1.geographicName.NestedProperty.content.da" dataDxfId="581">
      <calculatedColumnFormula>IF(ISBLANK(BR$11),"",BR$11)</calculatedColumnFormula>
    </tableColumn>
    <tableColumn id="10" xr3:uid="{00000000-0010-0000-0500-00000A000000}" name="LearningActivity.location#1.spatialCode#1.geographicName.NestedProperty.content.de" dataDxfId="580">
      <calculatedColumnFormula>IF(ISBLANK(BS$11),"",BS$11)</calculatedColumnFormula>
    </tableColumn>
    <tableColumn id="11" xr3:uid="{00000000-0010-0000-0500-00000B000000}" name="LearningActivity.location#1.spatialCode#1.geographicName.NestedProperty.content.el" dataDxfId="579">
      <calculatedColumnFormula>IF(ISBLANK(BT$11),"",BT$11)</calculatedColumnFormula>
    </tableColumn>
    <tableColumn id="12" xr3:uid="{00000000-0010-0000-0500-00000C000000}" name="LearningActivity.location#1.spatialCode#1.geographicName.NestedProperty.content.es" dataDxfId="578">
      <calculatedColumnFormula>IF(ISBLANK(BU$11),"",BU$11)</calculatedColumnFormula>
    </tableColumn>
    <tableColumn id="13" xr3:uid="{00000000-0010-0000-0500-00000D000000}" name="LearningActivity.location#1.spatialCode#1.geographicName.NestedProperty.content.et" dataDxfId="577">
      <calculatedColumnFormula>IF(ISBLANK(BV$11),"",BV$11)</calculatedColumnFormula>
    </tableColumn>
    <tableColumn id="14" xr3:uid="{00000000-0010-0000-0500-00000E000000}" name="LearningActivity.location#1.spatialCode#1.geographicName.NestedProperty.content.fi" dataDxfId="576">
      <calculatedColumnFormula>IF(ISBLANK(BW$11),"",BW$11)</calculatedColumnFormula>
    </tableColumn>
    <tableColumn id="79" xr3:uid="{00000000-0010-0000-0500-00004F000000}" name="LearningActivity.location#1.spatialCode#1.geographicName.NestedProperty.content.fr" dataDxfId="575">
      <calculatedColumnFormula>IF(ISBLANK(BX$11),"",BX$11)</calculatedColumnFormula>
    </tableColumn>
    <tableColumn id="80" xr3:uid="{00000000-0010-0000-0500-000050000000}" name="LearningActivity.location#1.spatialCode#1.geographicName.NestedProperty.content.ga" dataDxfId="574">
      <calculatedColumnFormula>IF(ISBLANK(BY$11),"",BY$11)</calculatedColumnFormula>
    </tableColumn>
    <tableColumn id="81" xr3:uid="{00000000-0010-0000-0500-000051000000}" name="LearningActivity.location#1.spatialCode#1.geographicName.NestedProperty.content.hr" dataDxfId="573">
      <calculatedColumnFormula>IF(ISBLANK(BZ$11),"",BZ$11)</calculatedColumnFormula>
    </tableColumn>
    <tableColumn id="82" xr3:uid="{00000000-0010-0000-0500-000052000000}" name="LearningActivity.location#1.spatialCode#1.geographicName.NestedProperty.content.hu" dataDxfId="572">
      <calculatedColumnFormula>IF(ISBLANK(CA$11),"",CA$11)</calculatedColumnFormula>
    </tableColumn>
    <tableColumn id="83" xr3:uid="{00000000-0010-0000-0500-000053000000}" name="LearningActivity.location#1.spatialCode#1.geographicName.NestedProperty.content.is" dataDxfId="571">
      <calculatedColumnFormula>IF(ISBLANK(CB$11),"",CB$11)</calculatedColumnFormula>
    </tableColumn>
    <tableColumn id="84" xr3:uid="{00000000-0010-0000-0500-000054000000}" name="LearningActivity.location#1.spatialCode#1.geographicName.NestedProperty.content.it" dataDxfId="570">
      <calculatedColumnFormula>IF(ISBLANK(CC$11),"",CC$11)</calculatedColumnFormula>
    </tableColumn>
    <tableColumn id="85" xr3:uid="{00000000-0010-0000-0500-000055000000}" name="LearningActivity.location#1.spatialCode#1.geographicName.NestedProperty.content.lt" dataDxfId="569">
      <calculatedColumnFormula>IF(ISBLANK(CD$11),"",CD$11)</calculatedColumnFormula>
    </tableColumn>
    <tableColumn id="86" xr3:uid="{00000000-0010-0000-0500-000056000000}" name="LearningActivity.location#1.spatialCode#1.geographicName.NestedProperty.content.lv" dataDxfId="568">
      <calculatedColumnFormula>IF(ISBLANK(CE$11),"",CE$11)</calculatedColumnFormula>
    </tableColumn>
    <tableColumn id="119" xr3:uid="{B3C95FC6-233C-4434-B33E-9118D8813A7C}" name="LearningActivity.location#1.spatialCode#1.geographicName.NestedProperty.content.mk" dataDxfId="567"/>
    <tableColumn id="87" xr3:uid="{00000000-0010-0000-0500-000057000000}" name="LearningActivity.location#1.spatialCode#1.geographicName.NestedProperty.content.mt" dataDxfId="566">
      <calculatedColumnFormula>IF(ISBLANK(CG$11),"",CG$11)</calculatedColumnFormula>
    </tableColumn>
    <tableColumn id="88" xr3:uid="{00000000-0010-0000-0500-000058000000}" name="LearningActivity.location#1.spatialCode#1.geographicName.NestedProperty.content.nl" dataDxfId="565">
      <calculatedColumnFormula>IF(ISBLANK(CH$11),"",CH$11)</calculatedColumnFormula>
    </tableColumn>
    <tableColumn id="89" xr3:uid="{00000000-0010-0000-0500-000059000000}" name="LearningActivity.location#1.spatialCode#1.geographicName.NestedProperty.content.no" dataDxfId="564">
      <calculatedColumnFormula>IF(ISBLANK(CI$11),"",CI$11)</calculatedColumnFormula>
    </tableColumn>
    <tableColumn id="90" xr3:uid="{00000000-0010-0000-0500-00005A000000}" name="LearningActivity.location#1.spatialCode#1.geographicName.NestedProperty.content.pl" dataDxfId="563">
      <calculatedColumnFormula>IF(ISBLANK(CJ$11),"",CJ$11)</calculatedColumnFormula>
    </tableColumn>
    <tableColumn id="91" xr3:uid="{00000000-0010-0000-0500-00005B000000}" name="LearningActivity.location#1.spatialCode#1.geographicName.NestedProperty.content.pt" dataDxfId="562">
      <calculatedColumnFormula>IF(ISBLANK(CK$11),"",CK$11)</calculatedColumnFormula>
    </tableColumn>
    <tableColumn id="92" xr3:uid="{00000000-0010-0000-0500-00005C000000}" name="LearningActivity.location#1.spatialCode#1.geographicName.NestedProperty.content.ro" dataDxfId="561">
      <calculatedColumnFormula>IF(ISBLANK(CL$11),"",CL$11)</calculatedColumnFormula>
    </tableColumn>
    <tableColumn id="93" xr3:uid="{00000000-0010-0000-0500-00005D000000}" name="LearningActivity.location#1.spatialCode#1.geographicName.NestedProperty.content.sk" dataDxfId="560">
      <calculatedColumnFormula>IF(ISBLANK(CM$11),"",CM$11)</calculatedColumnFormula>
    </tableColumn>
    <tableColumn id="94" xr3:uid="{00000000-0010-0000-0500-00005E000000}" name="LearningActivity.location#1.spatialCode#1.geographicName.NestedProperty.content.sl" dataDxfId="559">
      <calculatedColumnFormula>IF(ISBLANK(CN$11),"",CN$11)</calculatedColumnFormula>
    </tableColumn>
    <tableColumn id="121" xr3:uid="{3BA6EC8D-437E-4F47-90F0-4DFDDEE8D133}" name="LearningActivity.location#1.spatialCode#1.geographicName.NestedProperty.content.sr" dataDxfId="558"/>
    <tableColumn id="120" xr3:uid="{7EB93170-150E-4FAF-96A6-16FF7BC8609A}" name="LearningActivity.location#1.spatialCode#1.geographicName.NestedProperty.content.sv" dataDxfId="557"/>
    <tableColumn id="95" xr3:uid="{00000000-0010-0000-0500-00005F000000}" name="LearningActivity.location#1.spatialCode#1.geographicName.NestedProperty.content.tr" dataDxfId="556">
      <calculatedColumnFormula>IF(ISBLANK(CQ$11),"",CQ$11)</calculatedColumnFormula>
    </tableColumn>
    <tableColumn id="96" xr3:uid="{00000000-0010-0000-0500-000060000000}" name="LearningActivity.location#1.spatialCode#1.fullAddress.NestedProperty.content.en" dataDxfId="555">
      <calculatedColumnFormula>IF(ISBLANK(CR$11),"",CR$11)</calculatedColumnFormula>
    </tableColumn>
    <tableColumn id="97" xr3:uid="{00000000-0010-0000-0500-000061000000}" name="LearningActivity.location#1.spatialCode#1.fullAddress.NestedProperty.content.bg" dataDxfId="554">
      <calculatedColumnFormula>IF(ISBLANK(CS$11),"",CS$11)</calculatedColumnFormula>
    </tableColumn>
    <tableColumn id="98" xr3:uid="{00000000-0010-0000-0500-000062000000}" name="LearningActivity.location#1.spatialCode#1.fullAddress.NestedProperty.content.cs" dataDxfId="553">
      <calculatedColumnFormula>IF(ISBLANK(CT$11),"",CT$11)</calculatedColumnFormula>
    </tableColumn>
    <tableColumn id="99" xr3:uid="{00000000-0010-0000-0500-000063000000}" name="LearningActivity.location#1.spatialCode#1.fullAddress.NestedProperty.content.da" dataDxfId="552">
      <calculatedColumnFormula>IF(ISBLANK(CU$11),"",CU$11)</calculatedColumnFormula>
    </tableColumn>
    <tableColumn id="100" xr3:uid="{00000000-0010-0000-0500-000064000000}" name="LearningActivity.location#1.spatialCode#1.fullAddress.NestedProperty.content.de" dataDxfId="551">
      <calculatedColumnFormula>IF(ISBLANK(CV$11),"",CV$11)</calculatedColumnFormula>
    </tableColumn>
    <tableColumn id="101" xr3:uid="{00000000-0010-0000-0500-000065000000}" name="LearningActivity.location#1.spatialCode#1.fullAddress.NestedProperty.content.el" dataDxfId="550">
      <calculatedColumnFormula>IF(ISBLANK(CW$11),"",CW$11)</calculatedColumnFormula>
    </tableColumn>
    <tableColumn id="102" xr3:uid="{00000000-0010-0000-0500-000066000000}" name="LearningActivity.location#1.spatialCode#1.fullAddress.NestedProperty.content.es" dataDxfId="549">
      <calculatedColumnFormula>IF(ISBLANK(CX$11),"",CX$11)</calculatedColumnFormula>
    </tableColumn>
    <tableColumn id="103" xr3:uid="{00000000-0010-0000-0500-000067000000}" name="LearningActivity.location#1.spatialCode#1.fullAddress.NestedProperty.content.et" dataDxfId="548">
      <calculatedColumnFormula>IF(ISBLANK(CY$11),"",CY$11)</calculatedColumnFormula>
    </tableColumn>
    <tableColumn id="15" xr3:uid="{00000000-0010-0000-0500-00000F000000}" name="LearningActivity.location#1.spatialCode#1.fullAddress.NestedProperty.content.fi" dataDxfId="547">
      <calculatedColumnFormula>IF(ISBLANK(CZ$11),"",CZ$11)</calculatedColumnFormula>
    </tableColumn>
    <tableColumn id="16" xr3:uid="{00000000-0010-0000-0500-000010000000}" name="LearningActivity.location#1.spatialCode#1.fullAddress.NestedProperty.content.fr" dataDxfId="546">
      <calculatedColumnFormula>IF(ISBLANK(DA$11),"",DA$11)</calculatedColumnFormula>
    </tableColumn>
    <tableColumn id="17" xr3:uid="{00000000-0010-0000-0500-000011000000}" name="LearningActivity.location#1.spatialCode#1.fullAddress.NestedProperty.content.ga" dataDxfId="545">
      <calculatedColumnFormula>IF(ISBLANK(DB$11),"",DB$11)</calculatedColumnFormula>
    </tableColumn>
    <tableColumn id="18" xr3:uid="{00000000-0010-0000-0500-000012000000}" name="LearningActivity.location#1.spatialCode#1.fullAddress.NestedProperty.content.hr" dataDxfId="544">
      <calculatedColumnFormula>IF(ISBLANK(DC$11),"",DC$11)</calculatedColumnFormula>
    </tableColumn>
    <tableColumn id="19" xr3:uid="{00000000-0010-0000-0500-000013000000}" name="LearningActivity.location#1.spatialCode#1.fullAddress.NestedProperty.content.hu" dataDxfId="543">
      <calculatedColumnFormula>IF(ISBLANK(DD$11),"",DD$11)</calculatedColumnFormula>
    </tableColumn>
    <tableColumn id="20" xr3:uid="{00000000-0010-0000-0500-000014000000}" name="LearningActivity.location#1.spatialCode#1.fullAddress.NestedProperty.content.is" dataDxfId="542">
      <calculatedColumnFormula>IF(ISBLANK(DE$11),"",DE$11)</calculatedColumnFormula>
    </tableColumn>
    <tableColumn id="21" xr3:uid="{00000000-0010-0000-0500-000015000000}" name="LearningActivity.location#1.spatialCode#1.fullAddress.NestedProperty.content.it" dataDxfId="541">
      <calculatedColumnFormula>IF(ISBLANK(DF$11),"",DF$11)</calculatedColumnFormula>
    </tableColumn>
    <tableColumn id="22" xr3:uid="{00000000-0010-0000-0500-000016000000}" name="LearningActivity.location#1.spatialCode#1.fullAddress.NestedProperty.content.lt" dataDxfId="540">
      <calculatedColumnFormula>IF(ISBLANK(DG$11),"",DG$11)</calculatedColumnFormula>
    </tableColumn>
    <tableColumn id="23" xr3:uid="{00000000-0010-0000-0500-000017000000}" name="LearningActivity.location#1.spatialCode#1.fullAddress.NestedProperty.content.lv" dataDxfId="539">
      <calculatedColumnFormula>IF(ISBLANK(DH$11),"",DH$11)</calculatedColumnFormula>
    </tableColumn>
    <tableColumn id="122" xr3:uid="{BEE93F82-B7F4-4BB9-ADA8-9D796FF2932A}" name="LearningActivity.location#1.spatialCode#1.fullAddress.NestedProperty.content.mk" dataDxfId="538"/>
    <tableColumn id="24" xr3:uid="{00000000-0010-0000-0500-000018000000}" name="LearningActivity.location#1.spatialCode#1.fullAddress.NestedProperty.content.mt" dataDxfId="537">
      <calculatedColumnFormula>IF(ISBLANK(DJ$11),"",DJ$11)</calculatedColumnFormula>
    </tableColumn>
    <tableColumn id="25" xr3:uid="{00000000-0010-0000-0500-000019000000}" name="LearningActivity.location#1.spatialCode#1.fullAddress.NestedProperty.content.nl" dataDxfId="536">
      <calculatedColumnFormula>IF(ISBLANK(DK$11),"",DK$11)</calculatedColumnFormula>
    </tableColumn>
    <tableColumn id="26" xr3:uid="{00000000-0010-0000-0500-00001A000000}" name="LearningActivity.location#1.spatialCode#1.fullAddress.NestedProperty.content.no" dataDxfId="535">
      <calculatedColumnFormula>IF(ISBLANK(DL$11),"",DL$11)</calculatedColumnFormula>
    </tableColumn>
    <tableColumn id="104" xr3:uid="{00000000-0010-0000-0500-000068000000}" name="LearningActivity.location#1.spatialCode#1.fullAddress.NestedProperty.content.pl" dataDxfId="534">
      <calculatedColumnFormula>IF(ISBLANK(DM$11),"",DM$11)</calculatedColumnFormula>
    </tableColumn>
    <tableColumn id="105" xr3:uid="{00000000-0010-0000-0500-000069000000}" name="LearningActivity.location#1.spatialCode#1.fullAddress.NestedProperty.content.pt" dataDxfId="533">
      <calculatedColumnFormula>IF(ISBLANK(DN$11),"",DN$11)</calculatedColumnFormula>
    </tableColumn>
    <tableColumn id="106" xr3:uid="{00000000-0010-0000-0500-00006A000000}" name="LearningActivity.location#1.spatialCode#1.fullAddress.NestedProperty.content.ro" dataDxfId="532">
      <calculatedColumnFormula>IF(ISBLANK(DO$11),"",DO$11)</calculatedColumnFormula>
    </tableColumn>
    <tableColumn id="107" xr3:uid="{00000000-0010-0000-0500-00006B000000}" name="LearningActivity.location#1.spatialCode#1.fullAddress.NestedProperty.content.sk" dataDxfId="531">
      <calculatedColumnFormula>IF(ISBLANK(DP$11),"",DP$11)</calculatedColumnFormula>
    </tableColumn>
    <tableColumn id="108" xr3:uid="{00000000-0010-0000-0500-00006C000000}" name="LearningActivity.location#1.spatialCode#1.fullAddress.NestedProperty.content.sl" dataDxfId="530">
      <calculatedColumnFormula>IF(ISBLANK(DQ$11),"",DQ$11)</calculatedColumnFormula>
    </tableColumn>
    <tableColumn id="124" xr3:uid="{C6357928-8614-479A-99D1-D413520482B5}" name="LearningActivity.location#1.spatialCode#1.fullAddress.NestedProperty.content.sr" dataDxfId="529"/>
    <tableColumn id="123" xr3:uid="{EBC0AAEA-639C-467E-AB7B-C011C63B5C1E}" name="LearningActivity.location#1.spatialCode#1.fullAddress.NestedProperty.content.sv" dataDxfId="528"/>
    <tableColumn id="109" xr3:uid="{00000000-0010-0000-0500-00006D000000}" name="LearningActivity.location#1.spatialCode#1.fullAddress.NestedProperty.content.tr" dataDxfId="527">
      <calculatedColumnFormula>IF(ISBLANK(DT$11),"",DT$11)</calculatedColumnFormula>
    </tableColumn>
    <tableColumn id="110" xr3:uid="{00000000-0010-0000-0500-00006E000000}" name="LearningActivity.location#1.hasAddress#1.countryCode.Reference." dataDxfId="526">
      <calculatedColumnFormula>IF(ISBLANK(DU$11),"",(DU$11))</calculatedColumnFormula>
    </tableColumn>
    <tableColumn id="111" xr3:uid="{00000000-0010-0000-0500-00006F000000}" name="LearningActivity.location#1.hasAddress#1.countryCode.NestedAssociation." dataDxfId="525">
      <calculatedColumnFormula array="1">MultiMatch(Activities[[#This Row],[LearningActivity.location'#1.hasAddress'#1.countryCode.Reference.]],Vocabularies[name],0)</calculatedColumnFormula>
    </tableColumn>
    <tableColumn id="135" xr3:uid="{00000000-0010-0000-0500-000087000000}" name="LearningActivity.hasPart.MultiReference.LearningAchievement." dataDxfId="524"/>
    <tableColumn id="136" xr3:uid="{00000000-0010-0000-0500-000088000000}" name="LearningActivity.hasPart.Association.LearningActivity." dataDxfId="523">
      <calculatedColumnFormula array="1">MultiMatch(Activities[[#This Row],[LearningActivity.hasPart.MultiReference.LearningAchievement.]],ActivityNames,0)</calculatedColumnFormula>
    </tableColumn>
    <tableColumn id="293" xr3:uid="{00000000-0010-0000-0500-000025010000}" name="LearningActivity.specifiedBy.title.NestedProperty.content.en" dataDxfId="522">
      <calculatedColumnFormula>IF(ISBLANK(Activities[[#This Row],[LearningActivity.title.Property.content.en]]),"",Activities[[#This Row],[LearningActivity.title.Property.content.en]])</calculatedColumnFormula>
    </tableColumn>
    <tableColumn id="298" xr3:uid="{00000000-0010-0000-0500-00002A010000}" name="LearningActivity.specifiedBy.title.NestedProperty.content.bg" dataDxfId="521">
      <calculatedColumnFormula>IF(ISBLANK(Activities[[#This Row],[LearningActivity.title.Property.content.bg]]),"",Activities[[#This Row],[LearningActivity.title.Property.content.bg]])</calculatedColumnFormula>
    </tableColumn>
    <tableColumn id="299" xr3:uid="{00000000-0010-0000-0500-00002B010000}" name="LearningActivity.specifiedBy.title.NestedProperty.content.cs" dataDxfId="520">
      <calculatedColumnFormula>IF(ISBLANK(Activities[[#This Row],[LearningActivity.title.Property.content.cs]]),"",Activities[[#This Row],[LearningActivity.title.Property.content.cs]])</calculatedColumnFormula>
    </tableColumn>
    <tableColumn id="300" xr3:uid="{00000000-0010-0000-0500-00002C010000}" name="LearningActivity.specifiedBy.title.NestedProperty.content.da" dataDxfId="519">
      <calculatedColumnFormula>IF(ISBLANK(Activities[[#This Row],[LearningActivity.title.Property.content.da]]),"",Activities[[#This Row],[LearningActivity.title.Property.content.da]])</calculatedColumnFormula>
    </tableColumn>
    <tableColumn id="301" xr3:uid="{00000000-0010-0000-0500-00002D010000}" name="LearningActivity.specifiedBy.title.NestedProperty.content.de" dataDxfId="518">
      <calculatedColumnFormula>IF(ISBLANK(Activities[[#This Row],[LearningActivity.title.Property.content.de]]),"",Activities[[#This Row],[LearningActivity.title.Property.content.de]])</calculatedColumnFormula>
    </tableColumn>
    <tableColumn id="302" xr3:uid="{00000000-0010-0000-0500-00002E010000}" name="LearningActivity.specifiedBy.title.NestedProperty.content.el" dataDxfId="517">
      <calculatedColumnFormula>IF(ISBLANK(Activities[[#This Row],[LearningActivity.title.Property.content.el]]),"",Activities[[#This Row],[LearningActivity.title.Property.content.el]])</calculatedColumnFormula>
    </tableColumn>
    <tableColumn id="303" xr3:uid="{00000000-0010-0000-0500-00002F010000}" name="LearningActivity.specifiedBy.title.NestedProperty.content.es" dataDxfId="516">
      <calculatedColumnFormula>IF(ISBLANK(Activities[[#This Row],[LearningActivity.title.Property.content.es]]),"",Activities[[#This Row],[LearningActivity.title.Property.content.es]])</calculatedColumnFormula>
    </tableColumn>
    <tableColumn id="304" xr3:uid="{00000000-0010-0000-0500-000030010000}" name="LearningActivity.specifiedBy.title.NestedProperty.content.et" dataDxfId="515">
      <calculatedColumnFormula>IF(ISBLANK(Activities[[#This Row],[LearningActivity.title.Property.content.et]]),"",Activities[[#This Row],[LearningActivity.title.Property.content.et]])</calculatedColumnFormula>
    </tableColumn>
    <tableColumn id="305" xr3:uid="{00000000-0010-0000-0500-000031010000}" name="LearningActivity.specifiedBy.title.NestedProperty.content.fi" dataDxfId="514">
      <calculatedColumnFormula>IF(ISBLANK(Activities[[#This Row],[LearningActivity.title.Property.content.fi]]),"",Activities[[#This Row],[LearningActivity.title.Property.content.fi]])</calculatedColumnFormula>
    </tableColumn>
    <tableColumn id="306" xr3:uid="{00000000-0010-0000-0500-000032010000}" name="LearningActivity.specifiedBy.title.NestedProperty.content.fr" dataDxfId="513">
      <calculatedColumnFormula>IF(ISBLANK(Activities[[#This Row],[LearningActivity.title.Property.content.fr]]),"",Activities[[#This Row],[LearningActivity.title.Property.content.fr]])</calculatedColumnFormula>
    </tableColumn>
    <tableColumn id="307" xr3:uid="{00000000-0010-0000-0500-000033010000}" name="LearningActivity.specifiedBy.title.NestedProperty.content.ga" dataDxfId="512">
      <calculatedColumnFormula>IF(ISBLANK(Activities[[#This Row],[LearningActivity.title.Property.content.ga]]),"",Activities[[#This Row],[LearningActivity.title.Property.content.ga]])</calculatedColumnFormula>
    </tableColumn>
    <tableColumn id="308" xr3:uid="{00000000-0010-0000-0500-000034010000}" name="LearningActivity.specifiedBy.title.NestedProperty.content.hr" dataDxfId="511">
      <calculatedColumnFormula>IF(ISBLANK(Activities[[#This Row],[LearningActivity.title.Property.content.hr]]),"",Activities[[#This Row],[LearningActivity.title.Property.content.hr]])</calculatedColumnFormula>
    </tableColumn>
    <tableColumn id="309" xr3:uid="{00000000-0010-0000-0500-000035010000}" name="LearningActivity.specifiedBy.title.NestedProperty.content.hu" dataDxfId="510">
      <calculatedColumnFormula>IF(ISBLANK(Activities[[#This Row],[LearningActivity.title.Property.content.hu]]),"",Activities[[#This Row],[LearningActivity.title.Property.content.hu]])</calculatedColumnFormula>
    </tableColumn>
    <tableColumn id="310" xr3:uid="{00000000-0010-0000-0500-000036010000}" name="LearningActivity.specifiedBy.title.NestedProperty.content.is" dataDxfId="509">
      <calculatedColumnFormula>IF(ISBLANK(Activities[[#This Row],[LearningActivity.title.Property.content.is]]),"",Activities[[#This Row],[LearningActivity.title.Property.content.is]])</calculatedColumnFormula>
    </tableColumn>
    <tableColumn id="311" xr3:uid="{00000000-0010-0000-0500-000037010000}" name="LearningActivity.specifiedBy.title.NestedProperty.content.it" dataDxfId="508">
      <calculatedColumnFormula>IF(ISBLANK(Activities[[#This Row],[LearningActivity.title.Property.content.it]]),"",Activities[[#This Row],[LearningActivity.title.Property.content.it]])</calculatedColumnFormula>
    </tableColumn>
    <tableColumn id="312" xr3:uid="{00000000-0010-0000-0500-000038010000}" name="LearningActivity.specifiedBy.title.NestedProperty.content.lt" dataDxfId="507">
      <calculatedColumnFormula>IF(ISBLANK(Activities[[#This Row],[LearningActivity.title.Property.content.lt]]),"",Activities[[#This Row],[LearningActivity.title.Property.content.lt]])</calculatedColumnFormula>
    </tableColumn>
    <tableColumn id="313" xr3:uid="{00000000-0010-0000-0500-000039010000}" name="LearningActivity.specifiedBy.title.NestedProperty.content.lv" dataDxfId="506">
      <calculatedColumnFormula>IF(ISBLANK(Activities[[#This Row],[LearningActivity.title.Property.content.lv]]),"",Activities[[#This Row],[LearningActivity.title.Property.content.lv]])</calculatedColumnFormula>
    </tableColumn>
    <tableColumn id="137" xr3:uid="{D90AECC9-BA1A-4E1D-BA65-B15FB6F9F77A}" name="LearningActivity.specifiedBy.title.NestedProperty.content.mk" dataDxfId="505"/>
    <tableColumn id="314" xr3:uid="{00000000-0010-0000-0500-00003A010000}" name="LearningActivity.specifiedBy.title.NestedProperty.content.mt" dataDxfId="504">
      <calculatedColumnFormula>IF(ISBLANK(Activities[[#This Row],[LearningActivity.title.Property.content.mt]]),"",Activities[[#This Row],[LearningActivity.title.Property.content.mt]])</calculatedColumnFormula>
    </tableColumn>
    <tableColumn id="315" xr3:uid="{00000000-0010-0000-0500-00003B010000}" name="LearningActivity.specifiedBy.title.NestedProperty.content.nl" dataDxfId="503">
      <calculatedColumnFormula>IF(ISBLANK(Activities[[#This Row],[LearningActivity.title.Property.content.nl]]),"",Activities[[#This Row],[LearningActivity.title.Property.content.nl]])</calculatedColumnFormula>
    </tableColumn>
    <tableColumn id="316" xr3:uid="{00000000-0010-0000-0500-00003C010000}" name="LearningActivity.specifiedBy.title.NestedProperty.content.no" dataDxfId="502">
      <calculatedColumnFormula>IF(ISBLANK(Activities[[#This Row],[LearningActivity.title.Property.content.no]]),"",Activities[[#This Row],[LearningActivity.title.Property.content.no]])</calculatedColumnFormula>
    </tableColumn>
    <tableColumn id="317" xr3:uid="{00000000-0010-0000-0500-00003D010000}" name="LearningActivity.specifiedBy.title.NestedProperty.content.pl" dataDxfId="501">
      <calculatedColumnFormula>IF(ISBLANK(Activities[[#This Row],[LearningActivity.title.Property.content.pl]]),"",Activities[[#This Row],[LearningActivity.title.Property.content.pl]])</calculatedColumnFormula>
    </tableColumn>
    <tableColumn id="318" xr3:uid="{00000000-0010-0000-0500-00003E010000}" name="LearningActivity.specifiedBy.title.NestedProperty.content.pt" dataDxfId="500">
      <calculatedColumnFormula>IF(ISBLANK(Activities[[#This Row],[LearningActivity.title.Property.content.pt]]),"",Activities[[#This Row],[LearningActivity.title.Property.content.pt]])</calculatedColumnFormula>
    </tableColumn>
    <tableColumn id="319" xr3:uid="{00000000-0010-0000-0500-00003F010000}" name="LearningActivity.specifiedBy.title.NestedProperty.content.ro" dataDxfId="499">
      <calculatedColumnFormula>IF(ISBLANK(Activities[[#This Row],[LearningActivity.title.Property.content.ro]]),"",Activities[[#This Row],[LearningActivity.title.Property.content.ro]])</calculatedColumnFormula>
    </tableColumn>
    <tableColumn id="320" xr3:uid="{00000000-0010-0000-0500-000040010000}" name="LearningActivity.specifiedBy.title.NestedProperty.content.sk" dataDxfId="498">
      <calculatedColumnFormula>IF(ISBLANK(Activities[[#This Row],[LearningActivity.title.Property.content.sk]]),"",Activities[[#This Row],[LearningActivity.title.Property.content.sk]])</calculatedColumnFormula>
    </tableColumn>
    <tableColumn id="321" xr3:uid="{00000000-0010-0000-0500-000041010000}" name="LearningActivity.specifiedBy.title.NestedProperty.content.sl" dataDxfId="497">
      <calculatedColumnFormula>IF(ISBLANK(Activities[[#This Row],[LearningActivity.title.Property.content.sl]]),"",Activities[[#This Row],[LearningActivity.title.Property.content.sl]])</calculatedColumnFormula>
    </tableColumn>
    <tableColumn id="139" xr3:uid="{2F0E8C46-F725-4A97-870B-5B8B419B44B0}" name="LearningActivity.specifiedBy.title.NestedProperty.content.sr" dataDxfId="496"/>
    <tableColumn id="138" xr3:uid="{62D831B1-4349-4B20-8F18-69D49D175AA6}" name="LearningActivity.specifiedBy.title.NestedProperty.content.sv" dataDxfId="495"/>
    <tableColumn id="322" xr3:uid="{00000000-0010-0000-0500-000042010000}" name="LearningActivity.specifiedBy.title.NestedProperty.content.tr" dataDxfId="494">
      <calculatedColumnFormula>IF(ISBLANK(Activities[[#This Row],[LearningActivity.title.Property.content.tr]]),"",Activities[[#This Row],[LearningActivity.title.Property.content.tr]])</calculatedColumnFormula>
    </tableColumn>
    <tableColumn id="28" xr3:uid="{00000000-0010-0000-0500-00001C000000}" name="LearningActivity.specifiedBy.identifier#1.identifierSchemeId.NestedProperty.2" dataDxfId="493">
      <calculatedColumnFormula>IF(ISBLANK(FB$11),"",FB$11)</calculatedColumnFormula>
    </tableColumn>
    <tableColumn id="27" xr3:uid="{00000000-0010-0000-0500-00001B000000}" name="LearningActivity.specifiedBy.identifier#1.content.NestedProperty.3" dataDxfId="492"/>
    <tableColumn id="295" xr3:uid="{00000000-0010-0000-0500-000027010000}" name="LearningActivity.specifiedBy.description.NestedProperty.content.en" dataDxfId="491"/>
    <tableColumn id="330" xr3:uid="{00000000-0010-0000-0500-00004A010000}" name="LearningActivity.specifiedBy.description.NestedProperty.content.bg" dataDxfId="490"/>
    <tableColumn id="331" xr3:uid="{00000000-0010-0000-0500-00004B010000}" name="LearningActivity.specifiedBy.description.NestedProperty.content.cs" dataDxfId="489"/>
    <tableColumn id="332" xr3:uid="{00000000-0010-0000-0500-00004C010000}" name="LearningActivity.specifiedBy.description.NestedProperty.content.da" dataDxfId="488"/>
    <tableColumn id="333" xr3:uid="{00000000-0010-0000-0500-00004D010000}" name="LearningActivity.specifiedBy.description.NestedProperty.content.de" dataDxfId="487"/>
    <tableColumn id="334" xr3:uid="{00000000-0010-0000-0500-00004E010000}" name="LearningActivity.specifiedBy.description.NestedProperty.content.el" dataDxfId="486"/>
    <tableColumn id="335" xr3:uid="{00000000-0010-0000-0500-00004F010000}" name="LearningActivity.specifiedBy.description.NestedProperty.content.es" dataDxfId="485"/>
    <tableColumn id="336" xr3:uid="{00000000-0010-0000-0500-000050010000}" name="LearningActivity.specifiedBy.description.NestedProperty.content.et" dataDxfId="484"/>
    <tableColumn id="337" xr3:uid="{00000000-0010-0000-0500-000051010000}" name="LearningActivity.specifiedBy.description.NestedProperty.content.fi" dataDxfId="483"/>
    <tableColumn id="338" xr3:uid="{00000000-0010-0000-0500-000052010000}" name="LearningActivity.specifiedBy.description.NestedProperty.content.fr" dataDxfId="482"/>
    <tableColumn id="339" xr3:uid="{00000000-0010-0000-0500-000053010000}" name="LearningActivity.specifiedBy.description.NestedProperty.content.ga" dataDxfId="481"/>
    <tableColumn id="340" xr3:uid="{00000000-0010-0000-0500-000054010000}" name="LearningActivity.specifiedBy.description.NestedProperty.content.hr" dataDxfId="480"/>
    <tableColumn id="341" xr3:uid="{00000000-0010-0000-0500-000055010000}" name="LearningActivity.specifiedBy.description.NestedProperty.content.hu" dataDxfId="479"/>
    <tableColumn id="342" xr3:uid="{00000000-0010-0000-0500-000056010000}" name="LearningActivity.specifiedBy.description.NestedProperty.content.is" dataDxfId="478"/>
    <tableColumn id="343" xr3:uid="{00000000-0010-0000-0500-000057010000}" name="LearningActivity.specifiedBy.description.NestedProperty.content.it" dataDxfId="477"/>
    <tableColumn id="344" xr3:uid="{00000000-0010-0000-0500-000058010000}" name="LearningActivity.specifiedBy.description.NestedProperty.content.lt" dataDxfId="476"/>
    <tableColumn id="345" xr3:uid="{00000000-0010-0000-0500-000059010000}" name="LearningActivity.specifiedBy.description.NestedProperty.content.lv" dataDxfId="475"/>
    <tableColumn id="140" xr3:uid="{1AEB7720-4CD6-47F9-AFA7-4E545368B6AC}" name="LearningActivity.specifiedBy.description.NestedProperty.content.mk" dataDxfId="474"/>
    <tableColumn id="346" xr3:uid="{00000000-0010-0000-0500-00005A010000}" name="LearningActivity.specifiedBy.description.NestedProperty.content.mt" dataDxfId="473"/>
    <tableColumn id="347" xr3:uid="{00000000-0010-0000-0500-00005B010000}" name="LearningActivity.specifiedBy.description.NestedProperty.content.nl" dataDxfId="472"/>
    <tableColumn id="348" xr3:uid="{00000000-0010-0000-0500-00005C010000}" name="LearningActivity.specifiedBy.description.NestedProperty.content.no" dataDxfId="471"/>
    <tableColumn id="349" xr3:uid="{00000000-0010-0000-0500-00005D010000}" name="LearningActivity.specifiedBy.description.NestedProperty.content.pl" dataDxfId="470"/>
    <tableColumn id="350" xr3:uid="{00000000-0010-0000-0500-00005E010000}" name="LearningActivity.specifiedBy.description.NestedProperty.content.pt" dataDxfId="469"/>
    <tableColumn id="351" xr3:uid="{00000000-0010-0000-0500-00005F010000}" name="LearningActivity.specifiedBy.description.NestedProperty.content.ro" dataDxfId="468"/>
    <tableColumn id="352" xr3:uid="{00000000-0010-0000-0500-000060010000}" name="LearningActivity.specifiedBy.description.NestedProperty.content.sk" dataDxfId="467"/>
    <tableColumn id="353" xr3:uid="{00000000-0010-0000-0500-000061010000}" name="LearningActivity.specifiedBy.description.NestedProperty.content.sl" dataDxfId="466"/>
    <tableColumn id="142" xr3:uid="{85DEF11E-12B2-4D18-BAB4-8FAA0296F9E5}" name="LearningActivity.specifiedBy.description.NestedProperty.content.sr" dataDxfId="465"/>
    <tableColumn id="141" xr3:uid="{32C816E6-1D9A-4084-94F2-C37C8FD9E9ED}" name="LearningActivity.specifiedBy.description.NestedProperty.content.sv" dataDxfId="464"/>
    <tableColumn id="354" xr3:uid="{00000000-0010-0000-0500-000062010000}" name="LearningActivity.specifiedBy.description.NestedProperty.content.tr" dataDxfId="463"/>
    <tableColumn id="294" xr3:uid="{00000000-0010-0000-0500-000026010000}" name="LearningActivity.specifiedBy.homePage#1.id.NestedProperty." dataDxfId="462"/>
    <tableColumn id="297" xr3:uid="{00000000-0010-0000-0500-000029010000}" name="LearningActivity.specifiedBy.learningActivityType.Reference." dataDxfId="461">
      <calculatedColumnFormula>IF(ISBLANK(GH$11),"",GH$11)</calculatedColumnFormula>
    </tableColumn>
    <tableColumn id="323" xr3:uid="{00000000-0010-0000-0500-000043010000}" name="LearningActivity.specifiedBy.learningActivityType.NestedAssociation.Code." dataDxfId="460">
      <calculatedColumnFormula array="1">MultiMatch(Activities[[#This Row],[LearningActivity.specifiedBy.learningActivityType.Reference.]],LearningActivityTypeNames,0+1390)</calculatedColumnFormula>
    </tableColumn>
    <tableColumn id="325" xr3:uid="{00000000-0010-0000-0500-000045010000}" name="LearningActivity.specifiedBy.mode.Reference." dataDxfId="459">
      <calculatedColumnFormula>IF(ISBLANK(GJ$11),"",GJ$11)</calculatedColumnFormula>
    </tableColumn>
    <tableColumn id="326" xr3:uid="{00000000-0010-0000-0500-000046010000}" name="LearningActivity.specifiedBy.mode.NestedAssociation.Code." dataDxfId="458">
      <calculatedColumnFormula array="1">MultiMatch(Activities[[#This Row],[LearningActivity.specifiedBy.mode.Reference.]],Vocabularies[name],0)</calculatedColumnFormula>
    </tableColumn>
    <tableColumn id="327" xr3:uid="{00000000-0010-0000-0500-000047010000}" name="LearningActivity.specifiedBy.NestedProperty.workload." dataDxfId="457"/>
    <tableColumn id="328" xr3:uid="{00000000-0010-0000-0500-000048010000}" name="LearningActivity.specifiedBy.language.MultiReference." dataDxfId="456">
      <calculatedColumnFormula>IF(ISBLANK(GM$11),"",GM$11)</calculatedColumnFormula>
    </tableColumn>
    <tableColumn id="329" xr3:uid="{00000000-0010-0000-0500-000049010000}" name="LearningActivity.specifiedBy.language.NestedAssociation.Code." dataDxfId="455">
      <calculatedColumnFormula array="1">MultiMatch(Activities[[#This Row],[LearningActivity.specifiedBy.language.MultiReference.]],Vocabularies[name],0)</calculatedColumnFormula>
    </tableColumn>
    <tableColumn id="383" xr3:uid="{00000000-0010-0000-0500-00007F010000}" name="LearningActivity.specifiedBy.supplementaryDocument#1.id.NestedProperty." dataDxfId="454">
      <calculatedColumnFormula>IF(ISBLANK(GO$11),"",GO$11)</calculatedColumnFormula>
    </tableColumn>
    <tableColumn id="112" xr3:uid="{00000000-0010-0000-0500-000070000000}" name="LearningActivity.specifiedBy.additionalNote.NestedProperty.topic.1." dataDxfId="453">
      <calculatedColumnFormula>IF(ISBLANK(GP$11),"",(GP$11))</calculatedColumnFormula>
    </tableColumn>
    <tableColumn id="144" xr3:uid="{00000000-0010-0000-0500-000090000000}" name="LearningActivity.specifiedBy.additionalNote.NestedProperty.content.1.en" dataDxfId="452">
      <calculatedColumnFormula>IF(ISBLANK(GQ$11),"",(GQ$11))</calculatedColumnFormula>
    </tableColumn>
    <tableColumn id="145" xr3:uid="{00000000-0010-0000-0500-000091000000}" name="LearningActivity.specifiedBy.additionalNote.NestedProperty.content.1.bg" dataDxfId="451">
      <calculatedColumnFormula>IF(ISBLANK(GR$11),"",(GR$11))</calculatedColumnFormula>
    </tableColumn>
    <tableColumn id="146" xr3:uid="{00000000-0010-0000-0500-000092000000}" name="LearningActivity.specifiedBy.additionalNote.NestedProperty.content.1.cs" dataDxfId="450">
      <calculatedColumnFormula>IF(ISBLANK(GS$11),"",(GS$11))</calculatedColumnFormula>
    </tableColumn>
    <tableColumn id="147" xr3:uid="{00000000-0010-0000-0500-000093000000}" name="LearningActivity.specifiedBy.additionalNote.NestedProperty.content.1.da" dataDxfId="449">
      <calculatedColumnFormula>IF(ISBLANK(GT$11),"",(GT$11))</calculatedColumnFormula>
    </tableColumn>
    <tableColumn id="148" xr3:uid="{00000000-0010-0000-0500-000094000000}" name="LearningActivity.specifiedBy.additionalNote.NestedProperty.content.1.de" dataDxfId="448">
      <calculatedColumnFormula>IF(ISBLANK(GU$11),"",(GU$11))</calculatedColumnFormula>
    </tableColumn>
    <tableColumn id="149" xr3:uid="{00000000-0010-0000-0500-000095000000}" name="LearningActivity.specifiedBy.additionalNote.NestedProperty.content.1.el" dataDxfId="447">
      <calculatedColumnFormula>IF(ISBLANK(GV$11),"",(GV$11))</calculatedColumnFormula>
    </tableColumn>
    <tableColumn id="150" xr3:uid="{00000000-0010-0000-0500-000096000000}" name="LearningActivity.specifiedBy.additionalNote.NestedProperty.content.1.es" dataDxfId="446">
      <calculatedColumnFormula>IF(ISBLANK(GW$11),"",(GW$11))</calculatedColumnFormula>
    </tableColumn>
    <tableColumn id="151" xr3:uid="{00000000-0010-0000-0500-000097000000}" name="LearningActivity.specifiedBy.additionalNote.NestedProperty.content.1.et" dataDxfId="445">
      <calculatedColumnFormula>IF(ISBLANK(GX$11),"",(GX$11))</calculatedColumnFormula>
    </tableColumn>
    <tableColumn id="152" xr3:uid="{00000000-0010-0000-0500-000098000000}" name="LearningActivity.specifiedBy.additionalNote.NestedProperty.content.1.fi" dataDxfId="444">
      <calculatedColumnFormula>IF(ISBLANK(GY$11),"",(GY$11))</calculatedColumnFormula>
    </tableColumn>
    <tableColumn id="153" xr3:uid="{00000000-0010-0000-0500-000099000000}" name="LearningActivity.specifiedBy.additionalNote.NestedProperty.content.1.fr" dataDxfId="443">
      <calculatedColumnFormula>IF(ISBLANK(GZ$11),"",(GZ$11))</calculatedColumnFormula>
    </tableColumn>
    <tableColumn id="154" xr3:uid="{00000000-0010-0000-0500-00009A000000}" name="LearningActivity.specifiedBy.additionalNote.NestedProperty.content.1.ga" dataDxfId="442">
      <calculatedColumnFormula>IF(ISBLANK(HA$11),"",(HA$11))</calculatedColumnFormula>
    </tableColumn>
    <tableColumn id="155" xr3:uid="{00000000-0010-0000-0500-00009B000000}" name="LearningActivity.specifiedBy.additionalNote.NestedProperty.content.1.hr" dataDxfId="441">
      <calculatedColumnFormula>IF(ISBLANK(HB$11),"",(HB$11))</calculatedColumnFormula>
    </tableColumn>
    <tableColumn id="156" xr3:uid="{00000000-0010-0000-0500-00009C000000}" name="LearningActivity.specifiedBy.additionalNote.NestedProperty.content.1.hu" dataDxfId="440">
      <calculatedColumnFormula>IF(ISBLANK(HC$11),"",(HC$11))</calculatedColumnFormula>
    </tableColumn>
    <tableColumn id="157" xr3:uid="{00000000-0010-0000-0500-00009D000000}" name="LearningActivity.specifiedBy.additionalNote.NestedProperty.content.1.is" dataDxfId="439">
      <calculatedColumnFormula>IF(ISBLANK(HD$11),"",(HD$11))</calculatedColumnFormula>
    </tableColumn>
    <tableColumn id="158" xr3:uid="{00000000-0010-0000-0500-00009E000000}" name="LearningActivity.specifiedBy.additionalNote.NestedProperty.content.1.it" dataDxfId="438">
      <calculatedColumnFormula>IF(ISBLANK(HE$11),"",(HE$11))</calculatedColumnFormula>
    </tableColumn>
    <tableColumn id="159" xr3:uid="{00000000-0010-0000-0500-00009F000000}" name="LearningActivity.specifiedBy.additionalNote.NestedProperty.content.1.lt" dataDxfId="437">
      <calculatedColumnFormula>IF(ISBLANK(HF$11),"",(HF$11))</calculatedColumnFormula>
    </tableColumn>
    <tableColumn id="160" xr3:uid="{00000000-0010-0000-0500-0000A0000000}" name="LearningActivity.specifiedBy.additionalNote.NestedProperty.content.1.lv" dataDxfId="436">
      <calculatedColumnFormula>IF(ISBLANK(HG$11),"",(HG$11))</calculatedColumnFormula>
    </tableColumn>
    <tableColumn id="143" xr3:uid="{13F3C192-C827-4159-A609-3E19854D9904}" name="LearningActivity.specifiedBy.additionalNote.NestedProperty.content.1.mk" dataDxfId="435"/>
    <tableColumn id="161" xr3:uid="{00000000-0010-0000-0500-0000A1000000}" name="LearningActivity.specifiedBy.additionalNote.NestedProperty.content.1.mt" dataDxfId="434">
      <calculatedColumnFormula>IF(ISBLANK(HI$11),"",(HI$11))</calculatedColumnFormula>
    </tableColumn>
    <tableColumn id="162" xr3:uid="{00000000-0010-0000-0500-0000A2000000}" name="LearningActivity.specifiedBy.additionalNote.NestedProperty.content.1.nl" dataDxfId="433">
      <calculatedColumnFormula>IF(ISBLANK(HJ$11),"",(HJ$11))</calculatedColumnFormula>
    </tableColumn>
    <tableColumn id="163" xr3:uid="{00000000-0010-0000-0500-0000A3000000}" name="LearningActivity.specifiedBy.additionalNote.NestedProperty.content.1.no" dataDxfId="432">
      <calculatedColumnFormula>IF(ISBLANK(HK$11),"",(HK$11))</calculatedColumnFormula>
    </tableColumn>
    <tableColumn id="164" xr3:uid="{00000000-0010-0000-0500-0000A4000000}" name="LearningActivity.specifiedBy.additionalNote.NestedProperty.content.1.pl" dataDxfId="431">
      <calculatedColumnFormula>IF(ISBLANK(HL$11),"",(HL$11))</calculatedColumnFormula>
    </tableColumn>
    <tableColumn id="165" xr3:uid="{00000000-0010-0000-0500-0000A5000000}" name="LearningActivity.specifiedBy.additionalNote.NestedProperty.content.1.pt" dataDxfId="430">
      <calculatedColumnFormula>IF(ISBLANK(HM$11),"",(HM$11))</calculatedColumnFormula>
    </tableColumn>
    <tableColumn id="166" xr3:uid="{00000000-0010-0000-0500-0000A6000000}" name="LearningActivity.specifiedBy.additionalNote.NestedProperty.content.1.ro" dataDxfId="429">
      <calculatedColumnFormula>IF(ISBLANK(HN$11),"",(HN$11))</calculatedColumnFormula>
    </tableColumn>
    <tableColumn id="167" xr3:uid="{00000000-0010-0000-0500-0000A7000000}" name="LearningActivity.specifiedBy.additionalNote.NestedProperty.content.1.sk" dataDxfId="428">
      <calculatedColumnFormula>IF(ISBLANK(HO$11),"",(HO$11))</calculatedColumnFormula>
    </tableColumn>
    <tableColumn id="168" xr3:uid="{00000000-0010-0000-0500-0000A8000000}" name="LearningActivity.specifiedBy.additionalNote.NestedProperty.content.1.sl" dataDxfId="427">
      <calculatedColumnFormula>IF(ISBLANK(HP$11),"",(HP$11))</calculatedColumnFormula>
    </tableColumn>
    <tableColumn id="172" xr3:uid="{D03BB715-232D-4225-9380-482CC4F47EEC}" name="LearningActivity.specifiedBy.additionalNote.NestedProperty.content.1.sr" dataDxfId="426"/>
    <tableColumn id="171" xr3:uid="{C62E4DFA-D44E-44E4-9F45-4EA70934B40B}" name="LearningActivity.specifiedBy.additionalNote.NestedProperty.content.1.sv" dataDxfId="425"/>
    <tableColumn id="169" xr3:uid="{00000000-0010-0000-0500-0000A9000000}" name="LearningActivity.specifiedBy.additionalNote.NestedProperty.content.1.tr" dataDxfId="424">
      <calculatedColumnFormula>IF(ISBLANK(HS$11),"",(HS$11))</calculatedColumnFormula>
    </tableColumn>
    <tableColumn id="170" xr3:uid="{00000000-0010-0000-0500-0000AA000000}" name="LearningActivity.specifiedBy.additionalNote.NestedProperty.topic.2.en" dataDxfId="423">
      <calculatedColumnFormula>IF(ISBLANK(HT$11),"",(HT$11))</calculatedColumnFormula>
    </tableColumn>
    <tableColumn id="360" xr3:uid="{00000000-0010-0000-0500-000068010000}" name="LearningActivity.specifiedBy.additionalNote.NestedProperty.content.2.en" dataDxfId="422">
      <calculatedColumnFormula>IF(ISBLANK(HU$11),"",(HU$11))</calculatedColumnFormula>
    </tableColumn>
    <tableColumn id="361" xr3:uid="{00000000-0010-0000-0500-000069010000}" name="LearningActivity.specifiedBy.additionalNote.NestedProperty.content.2.bg" dataDxfId="421">
      <calculatedColumnFormula>IF(ISBLANK(HV$11),"",(HV$11))</calculatedColumnFormula>
    </tableColumn>
    <tableColumn id="362" xr3:uid="{00000000-0010-0000-0500-00006A010000}" name="LearningActivity.specifiedBy.additionalNote.NestedProperty.content.2.cs" dataDxfId="420">
      <calculatedColumnFormula>IF(ISBLANK(HW$11),"",(HW$11))</calculatedColumnFormula>
    </tableColumn>
    <tableColumn id="363" xr3:uid="{00000000-0010-0000-0500-00006B010000}" name="LearningActivity.specifiedBy.additionalNote.NestedProperty.content.2.da" dataDxfId="419">
      <calculatedColumnFormula>IF(ISBLANK(HX$11),"",(HX$11))</calculatedColumnFormula>
    </tableColumn>
    <tableColumn id="364" xr3:uid="{00000000-0010-0000-0500-00006C010000}" name="LearningActivity.specifiedBy.additionalNote.NestedProperty.content.2.de" dataDxfId="418">
      <calculatedColumnFormula>IF(ISBLANK(HY$11),"",(HY$11))</calculatedColumnFormula>
    </tableColumn>
    <tableColumn id="365" xr3:uid="{00000000-0010-0000-0500-00006D010000}" name="LearningActivity.specifiedBy.additionalNote.NestedProperty.content.2.el" dataDxfId="417">
      <calculatedColumnFormula>IF(ISBLANK(HZ$11),"",(HZ$11))</calculatedColumnFormula>
    </tableColumn>
    <tableColumn id="366" xr3:uid="{00000000-0010-0000-0500-00006E010000}" name="LearningActivity.specifiedBy.additionalNote.NestedProperty.content.2.es" dataDxfId="416">
      <calculatedColumnFormula>IF(ISBLANK(IA$11),"",(IA$11))</calculatedColumnFormula>
    </tableColumn>
    <tableColumn id="367" xr3:uid="{00000000-0010-0000-0500-00006F010000}" name="LearningActivity.specifiedBy.additionalNote.NestedProperty.content.2.et" dataDxfId="415">
      <calculatedColumnFormula>IF(ISBLANK(IB$11),"",(IB$11))</calculatedColumnFormula>
    </tableColumn>
    <tableColumn id="368" xr3:uid="{00000000-0010-0000-0500-000070010000}" name="LearningActivity.specifiedBy.additionalNote.NestedProperty.content.2.fi" dataDxfId="414">
      <calculatedColumnFormula>IF(ISBLANK(IC$11),"",(IC$11))</calculatedColumnFormula>
    </tableColumn>
    <tableColumn id="369" xr3:uid="{00000000-0010-0000-0500-000071010000}" name="LearningActivity.specifiedBy.additionalNote.NestedProperty.content.2.fr" dataDxfId="413">
      <calculatedColumnFormula>IF(ISBLANK(ID$11),"",(ID$11))</calculatedColumnFormula>
    </tableColumn>
    <tableColumn id="370" xr3:uid="{00000000-0010-0000-0500-000072010000}" name="LearningActivity.specifiedBy.additionalNote.NestedProperty.content.2.ga" dataDxfId="412">
      <calculatedColumnFormula>IF(ISBLANK(IE$11),"",(IE$11))</calculatedColumnFormula>
    </tableColumn>
    <tableColumn id="371" xr3:uid="{00000000-0010-0000-0500-000073010000}" name="LearningActivity.specifiedBy.additionalNote.NestedProperty.content.2.hr" dataDxfId="411">
      <calculatedColumnFormula>IF(ISBLANK(IF$11),"",(IF$11))</calculatedColumnFormula>
    </tableColumn>
    <tableColumn id="372" xr3:uid="{00000000-0010-0000-0500-000074010000}" name="LearningActivity.specifiedBy.additionalNote.NestedProperty.content.2.hu" dataDxfId="410">
      <calculatedColumnFormula>IF(ISBLANK(IG$11),"",(IG$11))</calculatedColumnFormula>
    </tableColumn>
    <tableColumn id="373" xr3:uid="{00000000-0010-0000-0500-000075010000}" name="LearningActivity.specifiedBy.additionalNote.NestedProperty.content.2.is" dataDxfId="409">
      <calculatedColumnFormula>IF(ISBLANK(IH$11),"",(IH$11))</calculatedColumnFormula>
    </tableColumn>
    <tableColumn id="374" xr3:uid="{00000000-0010-0000-0500-000076010000}" name="LearningActivity.specifiedBy.additionalNote.NestedProperty.content.2.it" dataDxfId="408">
      <calculatedColumnFormula>IF(ISBLANK(II$11),"",(II$11))</calculatedColumnFormula>
    </tableColumn>
    <tableColumn id="375" xr3:uid="{00000000-0010-0000-0500-000077010000}" name="LearningActivity.specifiedBy.additionalNote.NestedProperty.content.2.lt" dataDxfId="407">
      <calculatedColumnFormula>IF(ISBLANK(IJ$11),"",(IJ$11))</calculatedColumnFormula>
    </tableColumn>
    <tableColumn id="376" xr3:uid="{00000000-0010-0000-0500-000078010000}" name="LearningActivity.specifiedBy.additionalNote.NestedProperty.content.2.lv" dataDxfId="406">
      <calculatedColumnFormula>IF(ISBLANK(IK$11),"",(IK$11))</calculatedColumnFormula>
    </tableColumn>
    <tableColumn id="173" xr3:uid="{CA955B77-969A-4220-9045-380876491990}" name="LearningActivity.specifiedBy.additionalNote.NestedProperty.content.2.mk" dataDxfId="405">
      <calculatedColumnFormula>IF(ISBLANK(IL$11),"",(IL$11))</calculatedColumnFormula>
    </tableColumn>
    <tableColumn id="377" xr3:uid="{00000000-0010-0000-0500-000079010000}" name="LearningActivity.specifiedBy.additionalNote.NestedProperty.content.2.mt" dataDxfId="404">
      <calculatedColumnFormula>IF(ISBLANK(IM$11),"",(IM$11))</calculatedColumnFormula>
    </tableColumn>
    <tableColumn id="378" xr3:uid="{00000000-0010-0000-0500-00007A010000}" name="LearningActivity.specifiedBy.additionalNote.NestedProperty.content.2.nl" dataDxfId="403">
      <calculatedColumnFormula>IF(ISBLANK(IN$11),"",(IN$11))</calculatedColumnFormula>
    </tableColumn>
    <tableColumn id="379" xr3:uid="{00000000-0010-0000-0500-00007B010000}" name="LearningActivity.specifiedBy.additionalNote.NestedProperty.content.2.no" dataDxfId="402">
      <calculatedColumnFormula>IF(ISBLANK(IO$11),"",(IO$11))</calculatedColumnFormula>
    </tableColumn>
    <tableColumn id="380" xr3:uid="{00000000-0010-0000-0500-00007C010000}" name="LearningActivity.specifiedBy.additionalNote.NestedProperty.content.2.pl" dataDxfId="401">
      <calculatedColumnFormula>IF(ISBLANK(IP$11),"",(IP$11))</calculatedColumnFormula>
    </tableColumn>
    <tableColumn id="381" xr3:uid="{00000000-0010-0000-0500-00007D010000}" name="LearningActivity.specifiedBy.additionalNote.NestedProperty.content.2.pt" dataDxfId="400">
      <calculatedColumnFormula>IF(ISBLANK(IQ$11),"",(IQ$11))</calculatedColumnFormula>
    </tableColumn>
    <tableColumn id="382" xr3:uid="{00000000-0010-0000-0500-00007E010000}" name="LearningActivity.specifiedBy.additionalNote.NestedProperty.content.2.ro" dataDxfId="399">
      <calculatedColumnFormula>IF(ISBLANK(IR$11),"",(IR$11))</calculatedColumnFormula>
    </tableColumn>
    <tableColumn id="384" xr3:uid="{00000000-0010-0000-0500-000080010000}" name="LearningActivity.specifiedBy.additionalNote.NestedProperty.content.2.sk" dataDxfId="398">
      <calculatedColumnFormula>IF(ISBLANK(IS$11),"",(IS$11))</calculatedColumnFormula>
    </tableColumn>
    <tableColumn id="410" xr3:uid="{00000000-0010-0000-0500-00009A010000}" name="LearningActivity.specifiedBy.additionalNote.NestedProperty.content.2.sl" dataDxfId="397">
      <calculatedColumnFormula>IF(ISBLANK(IT$11),"",(IT$11))</calculatedColumnFormula>
    </tableColumn>
    <tableColumn id="175" xr3:uid="{8445635F-4518-4349-8B61-12A754B42C76}" name="LearningActivity.specifiedBy.additionalNote.NestedProperty.content.2.sr" dataDxfId="396">
      <calculatedColumnFormula>IF(ISBLANK(IU$11),"",(IU$11))</calculatedColumnFormula>
    </tableColumn>
    <tableColumn id="174" xr3:uid="{E20DFC9B-7075-4E10-B183-05FF9B2642A1}" name="LearningActivity.specifiedBy.additionalNote.NestedProperty.content.2.sv" dataDxfId="395">
      <calculatedColumnFormula>IF(ISBLANK(IV$11),"",(IV$11))</calculatedColumnFormula>
    </tableColumn>
    <tableColumn id="411" xr3:uid="{00000000-0010-0000-0500-00009B010000}" name="LearningActivity.specifiedBy.additionalNote.NestedProperty.content.2.tr" dataDxfId="394">
      <calculatedColumnFormula>IF(ISBLANK(IW$11),"",(IW$11))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Assessments" displayName="Assessments" ref="B12:IV17" totalsRowShown="0" headerRowDxfId="393" dataDxfId="392">
  <autoFilter ref="B12:IV17" xr:uid="{00000000-0009-0000-0100-000011000000}"/>
  <tableColumns count="255">
    <tableColumn id="1" xr3:uid="{00000000-0010-0000-0600-000001000000}" name="Assessment.title.Property.content.en" dataDxfId="391"/>
    <tableColumn id="20" xr3:uid="{00000000-0010-0000-0600-000014000000}" name="Assessment.title.Property.content.bg" dataDxfId="390"/>
    <tableColumn id="21" xr3:uid="{00000000-0010-0000-0600-000015000000}" name="Assessment.title.Property.content.cs" dataDxfId="389"/>
    <tableColumn id="22" xr3:uid="{00000000-0010-0000-0600-000016000000}" name="Assessment.title.Property.content.da" dataDxfId="388"/>
    <tableColumn id="23" xr3:uid="{00000000-0010-0000-0600-000017000000}" name="Assessment.title.Property.content.de" dataDxfId="387"/>
    <tableColumn id="24" xr3:uid="{00000000-0010-0000-0600-000018000000}" name="Assessment.title.Property.content.el" dataDxfId="386"/>
    <tableColumn id="25" xr3:uid="{00000000-0010-0000-0600-000019000000}" name="Assessment.title.Property.content.es" dataDxfId="385"/>
    <tableColumn id="26" xr3:uid="{00000000-0010-0000-0600-00001A000000}" name="Assessment.title.Property.content.et" dataDxfId="384"/>
    <tableColumn id="27" xr3:uid="{00000000-0010-0000-0600-00001B000000}" name="Assessment.title.Property.content.fi" dataDxfId="383"/>
    <tableColumn id="28" xr3:uid="{00000000-0010-0000-0600-00001C000000}" name="Assessment.title.Property.content.fr" dataDxfId="382"/>
    <tableColumn id="29" xr3:uid="{00000000-0010-0000-0600-00001D000000}" name="Assessment.title.Property.content.ga" dataDxfId="381"/>
    <tableColumn id="30" xr3:uid="{00000000-0010-0000-0600-00001E000000}" name="Assessment.title.Property.content.hr" dataDxfId="380"/>
    <tableColumn id="31" xr3:uid="{00000000-0010-0000-0600-00001F000000}" name="Assessment.title.Property.content.hu" dataDxfId="379"/>
    <tableColumn id="32" xr3:uid="{00000000-0010-0000-0600-000020000000}" name="Assessment.title.Property.content.is" dataDxfId="378"/>
    <tableColumn id="33" xr3:uid="{00000000-0010-0000-0600-000021000000}" name="Assessment.title.Property.content.it" dataDxfId="377"/>
    <tableColumn id="34" xr3:uid="{00000000-0010-0000-0600-000022000000}" name="Assessment.title.Property.content.lt" dataDxfId="376"/>
    <tableColumn id="35" xr3:uid="{00000000-0010-0000-0600-000023000000}" name="Assessment.title.Property.content.lv" dataDxfId="375"/>
    <tableColumn id="16" xr3:uid="{E7FDB257-419E-4014-BB13-CB8A6DCE9BD1}" name="Assessment.title.Property.content.mk" dataDxfId="374"/>
    <tableColumn id="36" xr3:uid="{00000000-0010-0000-0600-000024000000}" name="Assessment.title.Property.content.mt" dataDxfId="373"/>
    <tableColumn id="37" xr3:uid="{00000000-0010-0000-0600-000025000000}" name="Assessment.title.Property.content.nl" dataDxfId="372"/>
    <tableColumn id="38" xr3:uid="{00000000-0010-0000-0600-000026000000}" name="Assessment.title.Property.content.no" dataDxfId="371"/>
    <tableColumn id="39" xr3:uid="{00000000-0010-0000-0600-000027000000}" name="Assessment.title.Property.content.pl" dataDxfId="370"/>
    <tableColumn id="40" xr3:uid="{00000000-0010-0000-0600-000028000000}" name="Assessment.title.Property.content.pt" dataDxfId="369"/>
    <tableColumn id="41" xr3:uid="{00000000-0010-0000-0600-000029000000}" name="Assessment.title.Property.content.ro" dataDxfId="368"/>
    <tableColumn id="42" xr3:uid="{00000000-0010-0000-0600-00002A000000}" name="Assessment.title.Property.content.sk" dataDxfId="367"/>
    <tableColumn id="43" xr3:uid="{00000000-0010-0000-0600-00002B000000}" name="Assessment.title.Property.content.sl" dataDxfId="366"/>
    <tableColumn id="68" xr3:uid="{20514684-567B-42CC-B5CC-0787048AB6A5}" name="Assessment.title.Property.content.sr" dataDxfId="365"/>
    <tableColumn id="17" xr3:uid="{FD6CCFEC-218F-48EC-BAA6-C1BF5AC30FD0}" name="Assessment.title.Property.content.sv" dataDxfId="364"/>
    <tableColumn id="44" xr3:uid="{00000000-0010-0000-0600-00002C000000}" name="Assessment.title.Property.content.tr" dataDxfId="363"/>
    <tableColumn id="3" xr3:uid="{00000000-0010-0000-0600-000003000000}" name="Assessment.identifier#1.identifierSchemeId.NestedProperty." dataDxfId="362">
      <calculatedColumnFormula>IF(ISBLANK(AE$11),"",AE$11)</calculatedColumnFormula>
    </tableColumn>
    <tableColumn id="2" xr3:uid="{00000000-0010-0000-0600-000002000000}" name="Assessment.identifier#1.content.NestedProperty." dataDxfId="361"/>
    <tableColumn id="10" xr3:uid="{00000000-0010-0000-0600-00000A000000}" name="Assessment.description.Property.content.en" dataDxfId="360"/>
    <tableColumn id="4" xr3:uid="{00000000-0010-0000-0600-000004000000}" name="Assessment.description.Property.content.bg" dataDxfId="359"/>
    <tableColumn id="5" xr3:uid="{00000000-0010-0000-0600-000005000000}" name="Assessment.description.Property.content.cs" dataDxfId="358"/>
    <tableColumn id="45" xr3:uid="{00000000-0010-0000-0600-00002D000000}" name="Assessment.description.Property.content.da" dataDxfId="357"/>
    <tableColumn id="46" xr3:uid="{00000000-0010-0000-0600-00002E000000}" name="Assessment.description.Property.content.de" dataDxfId="356"/>
    <tableColumn id="47" xr3:uid="{00000000-0010-0000-0600-00002F000000}" name="Assessment.description.Property.content.el" dataDxfId="355"/>
    <tableColumn id="48" xr3:uid="{00000000-0010-0000-0600-000030000000}" name="Assessment.description.Property.content.es" dataDxfId="354"/>
    <tableColumn id="49" xr3:uid="{00000000-0010-0000-0600-000031000000}" name="Assessment.description.Property.content.et" dataDxfId="353"/>
    <tableColumn id="50" xr3:uid="{00000000-0010-0000-0600-000032000000}" name="Assessment.description.Property.content.fi" dataDxfId="352"/>
    <tableColumn id="51" xr3:uid="{00000000-0010-0000-0600-000033000000}" name="Assessment.description.Property.content.fr" dataDxfId="351"/>
    <tableColumn id="52" xr3:uid="{00000000-0010-0000-0600-000034000000}" name="Assessment.description.Property.content.ga" dataDxfId="350"/>
    <tableColumn id="53" xr3:uid="{00000000-0010-0000-0600-000035000000}" name="Assessment.description.Property.content.hr" dataDxfId="349"/>
    <tableColumn id="54" xr3:uid="{00000000-0010-0000-0600-000036000000}" name="Assessment.description.Property.content.hu" dataDxfId="348"/>
    <tableColumn id="55" xr3:uid="{00000000-0010-0000-0600-000037000000}" name="Assessment.description.Property.content.is" dataDxfId="347"/>
    <tableColumn id="56" xr3:uid="{00000000-0010-0000-0600-000038000000}" name="Assessment.description.Property.content.it" dataDxfId="346"/>
    <tableColumn id="57" xr3:uid="{00000000-0010-0000-0600-000039000000}" name="Assessment.description.Property.content.lt" dataDxfId="345"/>
    <tableColumn id="58" xr3:uid="{00000000-0010-0000-0600-00003A000000}" name="Assessment.description.Property.content.lv" dataDxfId="344"/>
    <tableColumn id="69" xr3:uid="{2A47CA11-280E-4370-AC0D-74E3D8116647}" name="Assessment.description.Property.content.mk" dataDxfId="343"/>
    <tableColumn id="59" xr3:uid="{00000000-0010-0000-0600-00003B000000}" name="Assessment.description.Property.content.mt" dataDxfId="342"/>
    <tableColumn id="60" xr3:uid="{00000000-0010-0000-0600-00003C000000}" name="Assessment.description.Property.content.nl" dataDxfId="341"/>
    <tableColumn id="61" xr3:uid="{00000000-0010-0000-0600-00003D000000}" name="Assessment.description.Property.content.no" dataDxfId="340"/>
    <tableColumn id="62" xr3:uid="{00000000-0010-0000-0600-00003E000000}" name="Assessment.description.Property.content.pl" dataDxfId="339"/>
    <tableColumn id="63" xr3:uid="{00000000-0010-0000-0600-00003F000000}" name="Assessment.description.Property.content.pt" dataDxfId="338"/>
    <tableColumn id="64" xr3:uid="{00000000-0010-0000-0600-000040000000}" name="Assessment.description.Property.content.ro" dataDxfId="337"/>
    <tableColumn id="65" xr3:uid="{00000000-0010-0000-0600-000041000000}" name="Assessment.description.Property.content.sk" dataDxfId="336"/>
    <tableColumn id="66" xr3:uid="{00000000-0010-0000-0600-000042000000}" name="Assessment.description.Property.content.sl" dataDxfId="335"/>
    <tableColumn id="71" xr3:uid="{506166E5-9504-4B5E-9437-D92B9F41D0F8}" name="Assessment.description.Property.content.sr" dataDxfId="334"/>
    <tableColumn id="70" xr3:uid="{24531BFD-998C-41AC-A0DB-1F2502CB6662}" name="Assessment.description.Property.content.sv" dataDxfId="333"/>
    <tableColumn id="67" xr3:uid="{00000000-0010-0000-0600-000043000000}" name="Assessment.description.Property.content.tr" dataDxfId="332"/>
    <tableColumn id="6" xr3:uid="{00000000-0010-0000-0600-000006000000}" name="Assessment.assessedBy.Reference.Organisation." dataDxfId="331">
      <calculatedColumnFormula>IF(ISBLANK(BJ$11),"",BJ$11)</calculatedColumnFormula>
    </tableColumn>
    <tableColumn id="7" xr3:uid="{00000000-0010-0000-0600-000007000000}" name="Assessment.assessedBy.Association.Organisation." dataDxfId="330">
      <calculatedColumnFormula array="1">MultiMatch(Assessments[[#This Row],[Assessment.assessedBy.Reference.Organisation.]],OrganisationNames,0)</calculatedColumnFormula>
    </tableColumn>
    <tableColumn id="8" xr3:uid="{00000000-0010-0000-0600-000008000000}" name="Assessment.idVerification.Reference.name." dataDxfId="329">
      <calculatedColumnFormula>IF(ISBLANK(BL$11),"",BL$11)</calculatedColumnFormula>
    </tableColumn>
    <tableColumn id="9" xr3:uid="{00000000-0010-0000-0600-000009000000}" name="Assessment.idVerification.Association.Code." dataDxfId="328">
      <calculatedColumnFormula array="1">MultiMatch(Assessments[[#This Row],[Assessment.idVerification.Reference.name.]],Vocabularies[name],0)</calculatedColumnFormula>
    </tableColumn>
    <tableColumn id="11" xr3:uid="{00000000-0010-0000-0600-00000B000000}" name="Assessment.issuedDate.Property." dataDxfId="327">
      <calculatedColumnFormula>IF(ISBLANK(BN$11),"",(BN$11))</calculatedColumnFormula>
    </tableColumn>
    <tableColumn id="12" xr3:uid="{00000000-0010-0000-0600-00000C000000}" name="Assessment.hasPart.MultiReference.Assessment." dataDxfId="326"/>
    <tableColumn id="13" xr3:uid="{00000000-0010-0000-0600-00000D000000}" name="Assessment.hasPart.Association.Assessment." dataDxfId="325">
      <calculatedColumnFormula array="1">MultiMatch(Assessments[[#This Row],[Assessment.hasPart.MultiReference.Assessment.]],AssessmentNames,0)</calculatedColumnFormula>
    </tableColumn>
    <tableColumn id="376" xr3:uid="{00000000-0010-0000-0600-000078010000}" name="Assessment.specifiedBy.title.NestedProperty.content.en" dataDxfId="324">
      <calculatedColumnFormula>IF(ISBLANK(Assessments[[#This Row],[Assessment.title.Property.content.en]]),"",Assessments[[#This Row],[Assessment.title.Property.content.en]])</calculatedColumnFormula>
    </tableColumn>
    <tableColumn id="377" xr3:uid="{00000000-0010-0000-0600-000079010000}" name="Assessment.specifiedBy.title.NestedProperty.content.bg" dataDxfId="323"/>
    <tableColumn id="378" xr3:uid="{00000000-0010-0000-0600-00007A010000}" name="Assessment.specifiedBy.title.NestedProperty.content.cs" dataDxfId="322"/>
    <tableColumn id="379" xr3:uid="{00000000-0010-0000-0600-00007B010000}" name="Assessment.specifiedBy.title.NestedProperty.content.da" dataDxfId="321"/>
    <tableColumn id="380" xr3:uid="{00000000-0010-0000-0600-00007C010000}" name="Assessment.specifiedBy.title.NestedProperty.content.de" dataDxfId="320"/>
    <tableColumn id="381" xr3:uid="{00000000-0010-0000-0600-00007D010000}" name="Assessment.specifiedBy.title.NestedProperty.content.el" dataDxfId="319"/>
    <tableColumn id="382" xr3:uid="{00000000-0010-0000-0600-00007E010000}" name="Assessment.specifiedBy.title.NestedProperty.content.es" dataDxfId="318"/>
    <tableColumn id="383" xr3:uid="{00000000-0010-0000-0600-00007F010000}" name="Assessment.specifiedBy.title.NestedProperty.content.et" dataDxfId="317"/>
    <tableColumn id="384" xr3:uid="{00000000-0010-0000-0600-000080010000}" name="Assessment.specifiedBy.title.NestedProperty.content.fi" dataDxfId="316"/>
    <tableColumn id="385" xr3:uid="{00000000-0010-0000-0600-000081010000}" name="Assessment.specifiedBy.title.NestedProperty.content.fr" dataDxfId="315"/>
    <tableColumn id="386" xr3:uid="{00000000-0010-0000-0600-000082010000}" name="Assessment.specifiedBy.title.NestedProperty.content.ga" dataDxfId="314"/>
    <tableColumn id="387" xr3:uid="{00000000-0010-0000-0600-000083010000}" name="Assessment.specifiedBy.title.NestedProperty.content.hr" dataDxfId="313"/>
    <tableColumn id="388" xr3:uid="{00000000-0010-0000-0600-000084010000}" name="Assessment.specifiedBy.title.NestedProperty.content.hu" dataDxfId="312"/>
    <tableColumn id="389" xr3:uid="{00000000-0010-0000-0600-000085010000}" name="Assessment.specifiedBy.title.NestedProperty.content.is" dataDxfId="311"/>
    <tableColumn id="390" xr3:uid="{00000000-0010-0000-0600-000086010000}" name="Assessment.specifiedBy.title.NestedProperty.content.it" dataDxfId="310"/>
    <tableColumn id="391" xr3:uid="{00000000-0010-0000-0600-000087010000}" name="Assessment.specifiedBy.title.NestedProperty.content.lt" dataDxfId="309"/>
    <tableColumn id="392" xr3:uid="{00000000-0010-0000-0600-000088010000}" name="Assessment.specifiedBy.title.NestedProperty.content.lv" dataDxfId="308"/>
    <tableColumn id="75" xr3:uid="{42321D16-5429-4FE9-9D3C-5B8FBBD1E390}" name="Assessment.specifiedBy.title.NestedProperty.content.mk" dataDxfId="307"/>
    <tableColumn id="393" xr3:uid="{00000000-0010-0000-0600-000089010000}" name="Assessment.specifiedBy.title.NestedProperty.content.mt" dataDxfId="306"/>
    <tableColumn id="394" xr3:uid="{00000000-0010-0000-0600-00008A010000}" name="Assessment.specifiedBy.title.NestedProperty.content.nl" dataDxfId="305"/>
    <tableColumn id="395" xr3:uid="{00000000-0010-0000-0600-00008B010000}" name="Assessment.specifiedBy.title.NestedProperty.content.no" dataDxfId="304"/>
    <tableColumn id="396" xr3:uid="{00000000-0010-0000-0600-00008C010000}" name="Assessment.specifiedBy.title.NestedProperty.content.pl" dataDxfId="303"/>
    <tableColumn id="397" xr3:uid="{00000000-0010-0000-0600-00008D010000}" name="Assessment.specifiedBy.title.NestedProperty.content.pt" dataDxfId="302"/>
    <tableColumn id="398" xr3:uid="{00000000-0010-0000-0600-00008E010000}" name="Assessment.specifiedBy.title.NestedProperty.content.ro" dataDxfId="301"/>
    <tableColumn id="399" xr3:uid="{00000000-0010-0000-0600-00008F010000}" name="Assessment.specifiedBy.title.NestedProperty.content.sk" dataDxfId="300"/>
    <tableColumn id="400" xr3:uid="{00000000-0010-0000-0600-000090010000}" name="Assessment.specifiedBy.title.NestedProperty.content.sl" dataDxfId="299"/>
    <tableColumn id="77" xr3:uid="{6BFD043E-0AB9-4FFA-9944-6953E6966F69}" name="Assessment.specifiedBy.title.NestedProperty.content.sr" dataDxfId="298"/>
    <tableColumn id="76" xr3:uid="{829A2684-2E6E-47D6-8909-59906E3A7415}" name="Assessment.specifiedBy.title.NestedProperty.content.sv" dataDxfId="297"/>
    <tableColumn id="401" xr3:uid="{00000000-0010-0000-0600-000091010000}" name="Assessment.specifiedBy.title.NestedProperty.content.tr" dataDxfId="296"/>
    <tableColumn id="402" xr3:uid="{00000000-0010-0000-0600-000092010000}" name="Assessment.specifiedBy.identifier#1.identifierSchemeId.NestedProperty." dataDxfId="295">
      <calculatedColumnFormula>IF(ISBLANK(CT$11),"",CT$11)</calculatedColumnFormula>
    </tableColumn>
    <tableColumn id="403" xr3:uid="{00000000-0010-0000-0600-000093010000}" name="Assessment.specifiedBy.identifier#1.content.NestedProperty." dataDxfId="294"/>
    <tableColumn id="404" xr3:uid="{00000000-0010-0000-0600-000094010000}" name="Assessment.specifiedBy.description.NestedProperty.content.en" dataDxfId="293"/>
    <tableColumn id="405" xr3:uid="{00000000-0010-0000-0600-000095010000}" name="Assessment.specifiedBy.description.NestedProperty.content.bg" dataDxfId="292"/>
    <tableColumn id="406" xr3:uid="{00000000-0010-0000-0600-000096010000}" name="Assessment.specifiedBy.description.NestedProperty.content.cs" dataDxfId="291"/>
    <tableColumn id="407" xr3:uid="{00000000-0010-0000-0600-000097010000}" name="Assessment.specifiedBy.description.NestedProperty.content.da" dataDxfId="290"/>
    <tableColumn id="408" xr3:uid="{00000000-0010-0000-0600-000098010000}" name="Assessment.specifiedBy.description.NestedProperty.content.de" dataDxfId="289"/>
    <tableColumn id="409" xr3:uid="{00000000-0010-0000-0600-000099010000}" name="Assessment.specifiedBy.description.NestedProperty.content.el" dataDxfId="288"/>
    <tableColumn id="410" xr3:uid="{00000000-0010-0000-0600-00009A010000}" name="Assessment.specifiedBy.description.NestedProperty.content.es" dataDxfId="287"/>
    <tableColumn id="411" xr3:uid="{00000000-0010-0000-0600-00009B010000}" name="Assessment.specifiedBy.description.NestedProperty.content.et" dataDxfId="286"/>
    <tableColumn id="412" xr3:uid="{00000000-0010-0000-0600-00009C010000}" name="Assessment.specifiedBy.description.NestedProperty.content.fi" dataDxfId="285"/>
    <tableColumn id="413" xr3:uid="{00000000-0010-0000-0600-00009D010000}" name="Assessment.specifiedBy.description.NestedProperty.content.fr" dataDxfId="284"/>
    <tableColumn id="414" xr3:uid="{00000000-0010-0000-0600-00009E010000}" name="Assessment.specifiedBy.description.NestedProperty.content.ga" dataDxfId="283"/>
    <tableColumn id="415" xr3:uid="{00000000-0010-0000-0600-00009F010000}" name="Assessment.specifiedBy.description.NestedProperty.content.hr" dataDxfId="282"/>
    <tableColumn id="416" xr3:uid="{00000000-0010-0000-0600-0000A0010000}" name="Assessment.specifiedBy.description.NestedProperty.content.hu" dataDxfId="281"/>
    <tableColumn id="417" xr3:uid="{00000000-0010-0000-0600-0000A1010000}" name="Assessment.specifiedBy.description.NestedProperty.content.is" dataDxfId="280"/>
    <tableColumn id="418" xr3:uid="{00000000-0010-0000-0600-0000A2010000}" name="Assessment.specifiedBy.description.NestedProperty.content.it" dataDxfId="279"/>
    <tableColumn id="419" xr3:uid="{00000000-0010-0000-0600-0000A3010000}" name="Assessment.specifiedBy.description.NestedProperty.content.lt" dataDxfId="278"/>
    <tableColumn id="420" xr3:uid="{00000000-0010-0000-0600-0000A4010000}" name="Assessment.specifiedBy.description.NestedProperty.content.lv" dataDxfId="277"/>
    <tableColumn id="78" xr3:uid="{1490BEF9-5543-48A1-B38B-F50583DC556A}" name="Assessment.specifiedBy.description.NestedProperty.content.mk" dataDxfId="276"/>
    <tableColumn id="421" xr3:uid="{00000000-0010-0000-0600-0000A5010000}" name="Assessment.specifiedBy.description.NestedProperty.content.mt" dataDxfId="275"/>
    <tableColumn id="422" xr3:uid="{00000000-0010-0000-0600-0000A6010000}" name="Assessment.specifiedBy.description.NestedProperty.content.nl" dataDxfId="274"/>
    <tableColumn id="423" xr3:uid="{00000000-0010-0000-0600-0000A7010000}" name="Assessment.specifiedBy.description.NestedProperty.content.no" dataDxfId="273"/>
    <tableColumn id="424" xr3:uid="{00000000-0010-0000-0600-0000A8010000}" name="Assessment.specifiedBy.description.NestedProperty.content.pl" dataDxfId="272"/>
    <tableColumn id="425" xr3:uid="{00000000-0010-0000-0600-0000A9010000}" name="Assessment.specifiedBy.description.NestedProperty.content.pt" dataDxfId="271"/>
    <tableColumn id="426" xr3:uid="{00000000-0010-0000-0600-0000AA010000}" name="Assessment.specifiedBy.description.NestedProperty.content.ro" dataDxfId="270"/>
    <tableColumn id="427" xr3:uid="{00000000-0010-0000-0600-0000AB010000}" name="Assessment.specifiedBy.description.NestedProperty.content.sk" dataDxfId="269"/>
    <tableColumn id="428" xr3:uid="{00000000-0010-0000-0600-0000AC010000}" name="Assessment.specifiedBy.description.NestedProperty.content.sl" dataDxfId="268"/>
    <tableColumn id="80" xr3:uid="{215801A6-4FFF-44DF-9F6B-0D357D3CE260}" name="Assessment.specifiedBy.description.NestedProperty.content.sr" dataDxfId="267"/>
    <tableColumn id="79" xr3:uid="{5AF7488D-FBF2-4C7E-89F5-4CD5BB1C06A0}" name="Assessment.specifiedBy.description.NestedProperty.content.sv" dataDxfId="266"/>
    <tableColumn id="429" xr3:uid="{00000000-0010-0000-0600-0000AD010000}" name="Assessment.specifiedBy.description.NestedProperty.content.tr" dataDxfId="265"/>
    <tableColumn id="430" xr3:uid="{00000000-0010-0000-0600-0000AE010000}" name="Assessment.specifiedBy.homePage#1.id.NestedProperty." dataDxfId="264"/>
    <tableColumn id="431" xr3:uid="{00000000-0010-0000-0600-0000AF010000}" name="Assessment.specifiedBy.language.Multireference." dataDxfId="263">
      <calculatedColumnFormula>IF(ISBLANK(DZ$11),"",DZ$11)</calculatedColumnFormula>
    </tableColumn>
    <tableColumn id="432" xr3:uid="{00000000-0010-0000-0600-0000B0010000}" name="Assessment.specifiedBy.language.NestedAssociation.Code." dataDxfId="262">
      <calculatedColumnFormula array="1">MultiMatch(Assessments[[#This Row],[Assessment.specifiedBy.language.Multireference.]],Vocabularies[name],0)</calculatedColumnFormula>
    </tableColumn>
    <tableColumn id="433" xr3:uid="{00000000-0010-0000-0600-0000B1010000}" name="Assessment.specifiedBy.mode.Multireference." dataDxfId="261">
      <calculatedColumnFormula>IF(ISBLANK(EB$11),"",EB$11)</calculatedColumnFormula>
    </tableColumn>
    <tableColumn id="434" xr3:uid="{00000000-0010-0000-0600-0000B2010000}" name="Assessment.specifiedBy.mode.NestedAssociation.Code." dataDxfId="260">
      <calculatedColumnFormula array="1">MultiMatch(Assessments[[#This Row],[Assessment.specifiedBy.mode.Multireference.]],Vocabularies[name],0)</calculatedColumnFormula>
    </tableColumn>
    <tableColumn id="18" xr3:uid="{00000000-0010-0000-0600-000012000000}" name="Column2" dataDxfId="259">
      <calculatedColumnFormula>IF(ISBLANK(ED$11),"",ED$11)</calculatedColumnFormula>
    </tableColumn>
    <tableColumn id="14" xr3:uid="{00000000-0010-0000-0600-00000E000000}" name="Column1" dataDxfId="258">
      <calculatedColumnFormula array="1">MultiMatch(Assessments[[#This Row],[Column2]],Vocabularies[name],0)</calculatedColumnFormula>
    </tableColumn>
    <tableColumn id="435" xr3:uid="{00000000-0010-0000-0600-0000B3010000}" name="Assessment.specifiedBy.supplementaryDocument#1.id.NestedProperty." dataDxfId="257"/>
    <tableColumn id="436" xr3:uid="{00000000-0010-0000-0600-0000B4010000}" name="Assessment.specifiedBy.additionalNote.NestedProperty.topic.1.en" dataDxfId="256">
      <calculatedColumnFormula>IF(ISBLANK(EG$11),"",EG$11)</calculatedColumnFormula>
    </tableColumn>
    <tableColumn id="462" xr3:uid="{00000000-0010-0000-0600-0000CE010000}" name="Assessment.specifiedBy.additionalNote.NestedProperty.content.1.en" dataDxfId="255">
      <calculatedColumnFormula>IF(ISBLANK(EH$11),"",EH$11)</calculatedColumnFormula>
    </tableColumn>
    <tableColumn id="463" xr3:uid="{00000000-0010-0000-0600-0000CF010000}" name="Assessment.specifiedBy.additionalNote.NestedProperty.content.1.bg" dataDxfId="254">
      <calculatedColumnFormula>IF(ISBLANK(EI$11),"",EI$11)</calculatedColumnFormula>
    </tableColumn>
    <tableColumn id="464" xr3:uid="{00000000-0010-0000-0600-0000D0010000}" name="Assessment.specifiedBy.additionalNote.NestedProperty.content.1.cs" dataDxfId="253">
      <calculatedColumnFormula>IF(ISBLANK(EJ$11),"",EJ$11)</calculatedColumnFormula>
    </tableColumn>
    <tableColumn id="465" xr3:uid="{00000000-0010-0000-0600-0000D1010000}" name="Assessment.specifiedBy.additionalNote.NestedProperty.content.1.da" dataDxfId="252">
      <calculatedColumnFormula>IF(ISBLANK(EK$11),"",EK$11)</calculatedColumnFormula>
    </tableColumn>
    <tableColumn id="466" xr3:uid="{00000000-0010-0000-0600-0000D2010000}" name="Assessment.specifiedBy.additionalNote.NestedProperty.content.1.de" dataDxfId="251">
      <calculatedColumnFormula>IF(ISBLANK(EL$11),"",EL$11)</calculatedColumnFormula>
    </tableColumn>
    <tableColumn id="467" xr3:uid="{00000000-0010-0000-0600-0000D3010000}" name="Assessment.specifiedBy.additionalNote.NestedProperty.content.1.el" dataDxfId="250">
      <calculatedColumnFormula>IF(ISBLANK(EM$11),"",EM$11)</calculatedColumnFormula>
    </tableColumn>
    <tableColumn id="468" xr3:uid="{00000000-0010-0000-0600-0000D4010000}" name="Assessment.specifiedBy.additionalNote.NestedProperty.content.1.es" dataDxfId="249">
      <calculatedColumnFormula>IF(ISBLANK(EN$11),"",EN$11)</calculatedColumnFormula>
    </tableColumn>
    <tableColumn id="469" xr3:uid="{00000000-0010-0000-0600-0000D5010000}" name="Assessment.specifiedBy.additionalNote.NestedProperty.content.1.et" dataDxfId="248">
      <calculatedColumnFormula>IF(ISBLANK(EO$11),"",EO$11)</calculatedColumnFormula>
    </tableColumn>
    <tableColumn id="470" xr3:uid="{00000000-0010-0000-0600-0000D6010000}" name="Assessment.specifiedBy.additionalNote.NestedProperty.content.1.fi" dataDxfId="247">
      <calculatedColumnFormula>IF(ISBLANK(EP$11),"",EP$11)</calculatedColumnFormula>
    </tableColumn>
    <tableColumn id="471" xr3:uid="{00000000-0010-0000-0600-0000D7010000}" name="Assessment.specifiedBy.additionalNote.NestedProperty.content.1.fr" dataDxfId="246">
      <calculatedColumnFormula>IF(ISBLANK(EQ$11),"",EQ$11)</calculatedColumnFormula>
    </tableColumn>
    <tableColumn id="472" xr3:uid="{00000000-0010-0000-0600-0000D8010000}" name="Assessment.specifiedBy.additionalNote.NestedProperty.content.1.ga" dataDxfId="245">
      <calculatedColumnFormula>IF(ISBLANK(ER$11),"",ER$11)</calculatedColumnFormula>
    </tableColumn>
    <tableColumn id="473" xr3:uid="{00000000-0010-0000-0600-0000D9010000}" name="Assessment.specifiedBy.additionalNote.NestedProperty.content.1.hr" dataDxfId="244">
      <calculatedColumnFormula>IF(ISBLANK(ES$11),"",ES$11)</calculatedColumnFormula>
    </tableColumn>
    <tableColumn id="474" xr3:uid="{00000000-0010-0000-0600-0000DA010000}" name="Assessment.specifiedBy.additionalNote.NestedProperty.content.1.hu" dataDxfId="243">
      <calculatedColumnFormula>IF(ISBLANK(ET$11),"",ET$11)</calculatedColumnFormula>
    </tableColumn>
    <tableColumn id="475" xr3:uid="{00000000-0010-0000-0600-0000DB010000}" name="Assessment.specifiedBy.additionalNote.NestedProperty.content.1.is" dataDxfId="242">
      <calculatedColumnFormula>IF(ISBLANK(EU$11),"",EU$11)</calculatedColumnFormula>
    </tableColumn>
    <tableColumn id="476" xr3:uid="{00000000-0010-0000-0600-0000DC010000}" name="Assessment.specifiedBy.additionalNote.NestedProperty.content.1.it" dataDxfId="241">
      <calculatedColumnFormula>IF(ISBLANK(EV$11),"",EV$11)</calculatedColumnFormula>
    </tableColumn>
    <tableColumn id="477" xr3:uid="{00000000-0010-0000-0600-0000DD010000}" name="Assessment.specifiedBy.additionalNote.NestedProperty.content.1.lt" dataDxfId="240">
      <calculatedColumnFormula>IF(ISBLANK(EW$11),"",EW$11)</calculatedColumnFormula>
    </tableColumn>
    <tableColumn id="478" xr3:uid="{00000000-0010-0000-0600-0000DE010000}" name="Assessment.specifiedBy.additionalNote.NestedProperty.content.1.lv" dataDxfId="239">
      <calculatedColumnFormula>IF(ISBLANK(EX$11),"",EX$11)</calculatedColumnFormula>
    </tableColumn>
    <tableColumn id="81" xr3:uid="{C262424B-B423-46B9-92A1-38C146C93026}" name="Assessment.specifiedBy.additionalNote.NestedProperty.content.1.mk" dataDxfId="238"/>
    <tableColumn id="479" xr3:uid="{00000000-0010-0000-0600-0000DF010000}" name="Assessment.specifiedBy.additionalNote.NestedProperty.content.1.mt" dataDxfId="237">
      <calculatedColumnFormula>IF(ISBLANK(EZ$11),"",EZ$11)</calculatedColumnFormula>
    </tableColumn>
    <tableColumn id="480" xr3:uid="{00000000-0010-0000-0600-0000E0010000}" name="Assessment.specifiedBy.additionalNote.NestedProperty.content.1.nl" dataDxfId="236">
      <calculatedColumnFormula>IF(ISBLANK(FA$11),"",FA$11)</calculatedColumnFormula>
    </tableColumn>
    <tableColumn id="481" xr3:uid="{00000000-0010-0000-0600-0000E1010000}" name="Assessment.specifiedBy.additionalNote.NestedProperty.content.1.no" dataDxfId="235">
      <calculatedColumnFormula>IF(ISBLANK(FB$11),"",FB$11)</calculatedColumnFormula>
    </tableColumn>
    <tableColumn id="482" xr3:uid="{00000000-0010-0000-0600-0000E2010000}" name="Assessment.specifiedBy.additionalNote.NestedProperty.content.1.pl" dataDxfId="234">
      <calculatedColumnFormula>IF(ISBLANK(FC$11),"",FC$11)</calculatedColumnFormula>
    </tableColumn>
    <tableColumn id="483" xr3:uid="{00000000-0010-0000-0600-0000E3010000}" name="Assessment.specifiedBy.additionalNote.NestedProperty.content.1.pt" dataDxfId="233">
      <calculatedColumnFormula>IF(ISBLANK(FD$11),"",FD$11)</calculatedColumnFormula>
    </tableColumn>
    <tableColumn id="484" xr3:uid="{00000000-0010-0000-0600-0000E4010000}" name="Assessment.specifiedBy.additionalNote.NestedProperty.content.1.ro" dataDxfId="232">
      <calculatedColumnFormula>IF(ISBLANK(FE$11),"",FE$11)</calculatedColumnFormula>
    </tableColumn>
    <tableColumn id="485" xr3:uid="{00000000-0010-0000-0600-0000E5010000}" name="Assessment.specifiedBy.additionalNote.NestedProperty.content.1.sk" dataDxfId="231">
      <calculatedColumnFormula>IF(ISBLANK(FF$11),"",FF$11)</calculatedColumnFormula>
    </tableColumn>
    <tableColumn id="486" xr3:uid="{00000000-0010-0000-0600-0000E6010000}" name="Assessment.specifiedBy.additionalNote.NestedProperty.content.1.sl" dataDxfId="230">
      <calculatedColumnFormula>IF(ISBLANK(FG$11),"",FG$11)</calculatedColumnFormula>
    </tableColumn>
    <tableColumn id="83" xr3:uid="{F92757E2-889E-4EDE-86BF-3812DB8945F6}" name="Assessment.specifiedBy.additionalNote.NestedProperty.content.1.sr" dataDxfId="229"/>
    <tableColumn id="82" xr3:uid="{6164F1E2-E1BB-41AD-8522-18AF0A18B298}" name="Assessment.specifiedBy.additionalNote.NestedProperty.content.1.sv" dataDxfId="228"/>
    <tableColumn id="487" xr3:uid="{00000000-0010-0000-0600-0000E7010000}" name="Assessment.specifiedBy.additionalNote.NestedProperty.content.1.tr" dataDxfId="227">
      <calculatedColumnFormula>IF(ISBLANK(FJ$11),"",FJ$11)</calculatedColumnFormula>
    </tableColumn>
    <tableColumn id="488" xr3:uid="{00000000-0010-0000-0600-0000E8010000}" name="Assessment.specifiedBy.additionalNote.NestedProperty.topic.2.en" dataDxfId="226">
      <calculatedColumnFormula>IF(ISBLANK(FK$11),"",FK$11)</calculatedColumnFormula>
    </tableColumn>
    <tableColumn id="514" xr3:uid="{00000000-0010-0000-0600-000002020000}" name="Assessment.specifiedBy.additionalNote.NestedProperty.content.2.en" dataDxfId="225">
      <calculatedColumnFormula>IF(ISBLANK(FL$11),"",FL$11)</calculatedColumnFormula>
    </tableColumn>
    <tableColumn id="515" xr3:uid="{00000000-0010-0000-0600-000003020000}" name="Assessment.specifiedBy.additionalNote.NestedProperty.content.2.bg" dataDxfId="224">
      <calculatedColumnFormula>IF(ISBLANK(FM$11),"",FM$11)</calculatedColumnFormula>
    </tableColumn>
    <tableColumn id="516" xr3:uid="{00000000-0010-0000-0600-000004020000}" name="Assessment.specifiedBy.additionalNote.NestedProperty.content.2.cs" dataDxfId="223">
      <calculatedColumnFormula>IF(ISBLANK(FN$11),"",FN$11)</calculatedColumnFormula>
    </tableColumn>
    <tableColumn id="517" xr3:uid="{00000000-0010-0000-0600-000005020000}" name="Assessment.specifiedBy.additionalNote.NestedProperty.content.2.da" dataDxfId="222">
      <calculatedColumnFormula>IF(ISBLANK(FO$11),"",FO$11)</calculatedColumnFormula>
    </tableColumn>
    <tableColumn id="518" xr3:uid="{00000000-0010-0000-0600-000006020000}" name="Assessment.specifiedBy.additionalNote.NestedProperty.content.2.de" dataDxfId="221">
      <calculatedColumnFormula>IF(ISBLANK(FP$11),"",FP$11)</calculatedColumnFormula>
    </tableColumn>
    <tableColumn id="519" xr3:uid="{00000000-0010-0000-0600-000007020000}" name="Assessment.specifiedBy.additionalNote.NestedProperty.content.2.el" dataDxfId="220">
      <calculatedColumnFormula>IF(ISBLANK(FQ$11),"",FQ$11)</calculatedColumnFormula>
    </tableColumn>
    <tableColumn id="520" xr3:uid="{00000000-0010-0000-0600-000008020000}" name="Assessment.specifiedBy.additionalNote.NestedProperty.content.2.es" dataDxfId="219">
      <calculatedColumnFormula>IF(ISBLANK(FR$11),"",FR$11)</calculatedColumnFormula>
    </tableColumn>
    <tableColumn id="521" xr3:uid="{00000000-0010-0000-0600-000009020000}" name="Assessment.specifiedBy.additionalNote.NestedProperty.content.2.et" dataDxfId="218">
      <calculatedColumnFormula>IF(ISBLANK(FS$11),"",FS$11)</calculatedColumnFormula>
    </tableColumn>
    <tableColumn id="522" xr3:uid="{00000000-0010-0000-0600-00000A020000}" name="Assessment.specifiedBy.additionalNote.NestedProperty.content.2.fi" dataDxfId="217">
      <calculatedColumnFormula>IF(ISBLANK(FT$11),"",FT$11)</calculatedColumnFormula>
    </tableColumn>
    <tableColumn id="523" xr3:uid="{00000000-0010-0000-0600-00000B020000}" name="Assessment.specifiedBy.additionalNote.NestedProperty.content.2.fr" dataDxfId="216">
      <calculatedColumnFormula>IF(ISBLANK(FU$11),"",FU$11)</calculatedColumnFormula>
    </tableColumn>
    <tableColumn id="524" xr3:uid="{00000000-0010-0000-0600-00000C020000}" name="Assessment.specifiedBy.additionalNote.NestedProperty.content.2.ga" dataDxfId="215">
      <calculatedColumnFormula>IF(ISBLANK(FV$11),"",FV$11)</calculatedColumnFormula>
    </tableColumn>
    <tableColumn id="525" xr3:uid="{00000000-0010-0000-0600-00000D020000}" name="Assessment.specifiedBy.additionalNote.NestedProperty.content.2.hr" dataDxfId="214">
      <calculatedColumnFormula>IF(ISBLANK(FW$11),"",FW$11)</calculatedColumnFormula>
    </tableColumn>
    <tableColumn id="526" xr3:uid="{00000000-0010-0000-0600-00000E020000}" name="Assessment.specifiedBy.additionalNote.NestedProperty.content.2.hu" dataDxfId="213">
      <calculatedColumnFormula>IF(ISBLANK(FX$11),"",FX$11)</calculatedColumnFormula>
    </tableColumn>
    <tableColumn id="527" xr3:uid="{00000000-0010-0000-0600-00000F020000}" name="Assessment.specifiedBy.additionalNote.NestedProperty.content.2.is" dataDxfId="212">
      <calculatedColumnFormula>IF(ISBLANK(FY$11),"",FY$11)</calculatedColumnFormula>
    </tableColumn>
    <tableColumn id="528" xr3:uid="{00000000-0010-0000-0600-000010020000}" name="Assessment.specifiedBy.additionalNote.NestedProperty.content.2.it" dataDxfId="211">
      <calculatedColumnFormula>IF(ISBLANK(FZ$11),"",FZ$11)</calculatedColumnFormula>
    </tableColumn>
    <tableColumn id="529" xr3:uid="{00000000-0010-0000-0600-000011020000}" name="Assessment.specifiedBy.additionalNote.NestedProperty.content.2.lt" dataDxfId="210">
      <calculatedColumnFormula>IF(ISBLANK(GA$11),"",GA$11)</calculatedColumnFormula>
    </tableColumn>
    <tableColumn id="530" xr3:uid="{00000000-0010-0000-0600-000012020000}" name="Assessment.specifiedBy.additionalNote.NestedProperty.content.2.lv" dataDxfId="209">
      <calculatedColumnFormula>IF(ISBLANK(GB$11),"",GB$11)</calculatedColumnFormula>
    </tableColumn>
    <tableColumn id="84" xr3:uid="{906CA928-7711-4855-B85E-02DABE6E25AF}" name="Assessment.specifiedBy.additionalNote.NestedProperty.content.2.mk" dataDxfId="208">
      <calculatedColumnFormula>IF(ISBLANK(GC$11),"",GC$11)</calculatedColumnFormula>
    </tableColumn>
    <tableColumn id="531" xr3:uid="{00000000-0010-0000-0600-000013020000}" name="Assessment.specifiedBy.additionalNote.NestedProperty.content.2.mt" dataDxfId="207">
      <calculatedColumnFormula>IF(ISBLANK(GD$11),"",GD$11)</calculatedColumnFormula>
    </tableColumn>
    <tableColumn id="532" xr3:uid="{00000000-0010-0000-0600-000014020000}" name="Assessment.specifiedBy.additionalNote.NestedProperty.content.2.nl" dataDxfId="206">
      <calculatedColumnFormula>IF(ISBLANK(GE$11),"",GE$11)</calculatedColumnFormula>
    </tableColumn>
    <tableColumn id="533" xr3:uid="{00000000-0010-0000-0600-000015020000}" name="Assessment.specifiedBy.additionalNote.NestedProperty.content.2.no" dataDxfId="205">
      <calculatedColumnFormula>IF(ISBLANK(GF$11),"",GF$11)</calculatedColumnFormula>
    </tableColumn>
    <tableColumn id="534" xr3:uid="{00000000-0010-0000-0600-000016020000}" name="Assessment.specifiedBy.additionalNote.NestedProperty.content.2.pl" dataDxfId="204">
      <calculatedColumnFormula>IF(ISBLANK(GG$11),"",GG$11)</calculatedColumnFormula>
    </tableColumn>
    <tableColumn id="535" xr3:uid="{00000000-0010-0000-0600-000017020000}" name="Assessment.specifiedBy.additionalNote.NestedProperty.content.2.pt" dataDxfId="203">
      <calculatedColumnFormula>IF(ISBLANK(GH$11),"",GH$11)</calculatedColumnFormula>
    </tableColumn>
    <tableColumn id="536" xr3:uid="{00000000-0010-0000-0600-000018020000}" name="Assessment.specifiedBy.additionalNote.NestedProperty.content.2.ro" dataDxfId="202">
      <calculatedColumnFormula>IF(ISBLANK(GI$11),"",GI$11)</calculatedColumnFormula>
    </tableColumn>
    <tableColumn id="537" xr3:uid="{00000000-0010-0000-0600-000019020000}" name="Assessment.specifiedBy.additionalNote.NestedProperty.content.2.sk" dataDxfId="201">
      <calculatedColumnFormula>IF(ISBLANK(GJ$11),"",GJ$11)</calculatedColumnFormula>
    </tableColumn>
    <tableColumn id="538" xr3:uid="{00000000-0010-0000-0600-00001A020000}" name="Assessment.specifiedBy.additionalNote.NestedProperty.content.2.sl" dataDxfId="200">
      <calculatedColumnFormula>IF(ISBLANK(GK$11),"",GK$11)</calculatedColumnFormula>
    </tableColumn>
    <tableColumn id="86" xr3:uid="{953DA741-563A-497D-8A4D-EEED0BAEDBFD}" name="Assessment.specifiedBy.additionalNote.NestedProperty.content.2.sr" dataDxfId="199">
      <calculatedColumnFormula>IF(ISBLANK(GL$11),"",GL$11)</calculatedColumnFormula>
    </tableColumn>
    <tableColumn id="85" xr3:uid="{0F8FDE78-4BA9-4AAB-AD08-97C35058EED9}" name="Assessment.specifiedBy.additionalNote.NestedProperty.content.2.sv" dataDxfId="198">
      <calculatedColumnFormula>IF(ISBLANK(GM$11),"",GM$11)</calculatedColumnFormula>
    </tableColumn>
    <tableColumn id="539" xr3:uid="{00000000-0010-0000-0600-00001B020000}" name="Assessment.specifiedBy.additionalNote.NestedProperty.content.2.tr" dataDxfId="197">
      <calculatedColumnFormula>IF(ISBLANK(GN$11),"",GN$11)</calculatedColumnFormula>
    </tableColumn>
    <tableColumn id="540" xr3:uid="{00000000-0010-0000-0600-00001C020000}" name="Assessment.specifiedBy.gradingScheme.title.NestedProperty.content.en" dataDxfId="196">
      <calculatedColumnFormula>IF(ISBLANK(GO$11),"",GO$11)</calculatedColumnFormula>
    </tableColumn>
    <tableColumn id="541" xr3:uid="{00000000-0010-0000-0600-00001D020000}" name="Assessment.specifiedBy.gradingScheme.title.NestedProperty.content.bg" dataDxfId="195">
      <calculatedColumnFormula>IF(ISBLANK(GP$11),"",GP$11)</calculatedColumnFormula>
    </tableColumn>
    <tableColumn id="542" xr3:uid="{00000000-0010-0000-0600-00001E020000}" name="Assessment.specifiedBy.gradingScheme.title.NestedProperty.content.cs" dataDxfId="194">
      <calculatedColumnFormula>IF(ISBLANK(GQ$11),"",GQ$11)</calculatedColumnFormula>
    </tableColumn>
    <tableColumn id="543" xr3:uid="{00000000-0010-0000-0600-00001F020000}" name="Assessment.specifiedBy.gradingScheme.title.NestedProperty.content.da" dataDxfId="193">
      <calculatedColumnFormula>IF(ISBLANK(GR$11),"",GR$11)</calculatedColumnFormula>
    </tableColumn>
    <tableColumn id="544" xr3:uid="{00000000-0010-0000-0600-000020020000}" name="Assessment.specifiedBy.gradingScheme.title.NestedProperty.content.de" dataDxfId="192">
      <calculatedColumnFormula>IF(ISBLANK(GS$11),"",GS$11)</calculatedColumnFormula>
    </tableColumn>
    <tableColumn id="545" xr3:uid="{00000000-0010-0000-0600-000021020000}" name="Assessment.specifiedBy.gradingScheme.title.NestedProperty.content.el" dataDxfId="191">
      <calculatedColumnFormula>IF(ISBLANK(GT$11),"",GT$11)</calculatedColumnFormula>
    </tableColumn>
    <tableColumn id="546" xr3:uid="{00000000-0010-0000-0600-000022020000}" name="Assessment.specifiedBy.gradingScheme.title.NestedProperty.content.es" dataDxfId="190">
      <calculatedColumnFormula>IF(ISBLANK(GU$11),"",GU$11)</calculatedColumnFormula>
    </tableColumn>
    <tableColumn id="547" xr3:uid="{00000000-0010-0000-0600-000023020000}" name="Assessment.specifiedBy.gradingScheme.title.NestedProperty.content.et" dataDxfId="189">
      <calculatedColumnFormula>IF(ISBLANK(GV$11),"",GV$11)</calculatedColumnFormula>
    </tableColumn>
    <tableColumn id="548" xr3:uid="{00000000-0010-0000-0600-000024020000}" name="Assessment.specifiedBy.gradingScheme.title.NestedProperty.content.fi" dataDxfId="188">
      <calculatedColumnFormula>IF(ISBLANK(GW$11),"",GW$11)</calculatedColumnFormula>
    </tableColumn>
    <tableColumn id="549" xr3:uid="{00000000-0010-0000-0600-000025020000}" name="Assessment.specifiedBy.gradingScheme.title.NestedProperty.content.fr" dataDxfId="187">
      <calculatedColumnFormula>IF(ISBLANK(GX$11),"",GX$11)</calculatedColumnFormula>
    </tableColumn>
    <tableColumn id="550" xr3:uid="{00000000-0010-0000-0600-000026020000}" name="Assessment.specifiedBy.gradingScheme.title.NestedProperty.content.ga" dataDxfId="186">
      <calculatedColumnFormula>IF(ISBLANK(GY$11),"",GY$11)</calculatedColumnFormula>
    </tableColumn>
    <tableColumn id="551" xr3:uid="{00000000-0010-0000-0600-000027020000}" name="Assessment.specifiedBy.gradingScheme.title.NestedProperty.content.hr" dataDxfId="185">
      <calculatedColumnFormula>IF(ISBLANK(GZ$11),"",GZ$11)</calculatedColumnFormula>
    </tableColumn>
    <tableColumn id="552" xr3:uid="{00000000-0010-0000-0600-000028020000}" name="Assessment.specifiedBy.gradingScheme.title.NestedProperty.content.hu" dataDxfId="184">
      <calculatedColumnFormula>IF(ISBLANK(HA$11),"",HA$11)</calculatedColumnFormula>
    </tableColumn>
    <tableColumn id="553" xr3:uid="{00000000-0010-0000-0600-000029020000}" name="Assessment.specifiedBy.gradingScheme.title.NestedProperty.content.is" dataDxfId="183">
      <calculatedColumnFormula>IF(ISBLANK(HB$11),"",HB$11)</calculatedColumnFormula>
    </tableColumn>
    <tableColumn id="554" xr3:uid="{00000000-0010-0000-0600-00002A020000}" name="Assessment.specifiedBy.gradingScheme.title.NestedProperty.content.it" dataDxfId="182">
      <calculatedColumnFormula>IF(ISBLANK(HC$11),"",HC$11)</calculatedColumnFormula>
    </tableColumn>
    <tableColumn id="555" xr3:uid="{00000000-0010-0000-0600-00002B020000}" name="Assessment.specifiedBy.gradingScheme.title.NestedProperty.content.lt" dataDxfId="181">
      <calculatedColumnFormula>IF(ISBLANK(HD$11),"",HD$11)</calculatedColumnFormula>
    </tableColumn>
    <tableColumn id="556" xr3:uid="{00000000-0010-0000-0600-00002C020000}" name="Assessment.specifiedBy.gradingScheme.title.NestedProperty.content.lv" dataDxfId="180">
      <calculatedColumnFormula>IF(ISBLANK(HE$11),"",HE$11)</calculatedColumnFormula>
    </tableColumn>
    <tableColumn id="87" xr3:uid="{C046F502-6CC3-48B2-9267-0B2FC8D5DE26}" name="Assessment.specifiedBy.gradingScheme.title.NestedProperty.content.mk" dataDxfId="179"/>
    <tableColumn id="557" xr3:uid="{00000000-0010-0000-0600-00002D020000}" name="Assessment.specifiedBy.gradingScheme.title.NestedProperty.content.mt" dataDxfId="178">
      <calculatedColumnFormula>IF(ISBLANK(HG$11),"",HG$11)</calculatedColumnFormula>
    </tableColumn>
    <tableColumn id="558" xr3:uid="{00000000-0010-0000-0600-00002E020000}" name="Assessment.specifiedBy.gradingScheme.title.NestedProperty.content.nl" dataDxfId="177">
      <calculatedColumnFormula>IF(ISBLANK(HH$11),"",HH$11)</calculatedColumnFormula>
    </tableColumn>
    <tableColumn id="559" xr3:uid="{00000000-0010-0000-0600-00002F020000}" name="Assessment.specifiedBy.gradingScheme.title.NestedProperty.content.no" dataDxfId="176">
      <calculatedColumnFormula>IF(ISBLANK(HI$11),"",HI$11)</calculatedColumnFormula>
    </tableColumn>
    <tableColumn id="560" xr3:uid="{00000000-0010-0000-0600-000030020000}" name="Assessment.specifiedBy.gradingScheme.title.NestedProperty.content.pl" dataDxfId="175">
      <calculatedColumnFormula>IF(ISBLANK(HJ$11),"",HJ$11)</calculatedColumnFormula>
    </tableColumn>
    <tableColumn id="561" xr3:uid="{00000000-0010-0000-0600-000031020000}" name="Assessment.specifiedBy.gradingScheme.title.NestedProperty.content.pt" dataDxfId="174">
      <calculatedColumnFormula>IF(ISBLANK(HK$11),"",HK$11)</calculatedColumnFormula>
    </tableColumn>
    <tableColumn id="562" xr3:uid="{00000000-0010-0000-0600-000032020000}" name="Assessment.specifiedBy.gradingScheme.title.NestedProperty.content.ro" dataDxfId="173">
      <calculatedColumnFormula>IF(ISBLANK(HL$11),"",HL$11)</calculatedColumnFormula>
    </tableColumn>
    <tableColumn id="563" xr3:uid="{00000000-0010-0000-0600-000033020000}" name="Assessment.specifiedBy.gradingScheme.title.NestedProperty.content.sk" dataDxfId="172">
      <calculatedColumnFormula>IF(ISBLANK(HM$11),"",HM$11)</calculatedColumnFormula>
    </tableColumn>
    <tableColumn id="564" xr3:uid="{00000000-0010-0000-0600-000034020000}" name="Assessment.specifiedBy.gradingScheme.title.NestedProperty.content.sl" dataDxfId="171">
      <calculatedColumnFormula>IF(ISBLANK(HN$11),"",HN$11)</calculatedColumnFormula>
    </tableColumn>
    <tableColumn id="89" xr3:uid="{6E155E95-50A8-4742-A541-711F8AB4ACEF}" name="Assessment.specifiedBy.gradingScheme.title.NestedProperty.content.sr" dataDxfId="170"/>
    <tableColumn id="88" xr3:uid="{434ADB79-BC75-4A80-848D-ABBC71A565EC}" name="Assessment.specifiedBy.gradingScheme.title.NestedProperty.content.sv" dataDxfId="169"/>
    <tableColumn id="565" xr3:uid="{00000000-0010-0000-0600-000035020000}" name="Assessment.specifiedBy.gradingScheme.title.NestedProperty.content.tr" dataDxfId="168">
      <calculatedColumnFormula>IF(ISBLANK(HQ$11),"",HQ$11)</calculatedColumnFormula>
    </tableColumn>
    <tableColumn id="566" xr3:uid="{00000000-0010-0000-0600-000036020000}" name="Assessment.specifiedBy.gradingScheme.identifier#1.identifierSchemeId.NestedProperty." dataDxfId="167">
      <calculatedColumnFormula>IF(ISBLANK(HR$11),"",HR$11)</calculatedColumnFormula>
    </tableColumn>
    <tableColumn id="567" xr3:uid="{00000000-0010-0000-0600-000037020000}" name="Assessment.specifiedBy.gradingScheme.identifier#1.content.NestedProperty." dataDxfId="166"/>
    <tableColumn id="568" xr3:uid="{00000000-0010-0000-0600-000038020000}" name="Assessment.specifiedBy.gradingScheme.description.NestedProperty.content.en" dataDxfId="165">
      <calculatedColumnFormula>IF(ISBLANK(HT$11),"",HT$11)</calculatedColumnFormula>
    </tableColumn>
    <tableColumn id="19" xr3:uid="{00000000-0010-0000-0600-000013000000}" name="Assessment.specifiedBy.gradingScheme.description.NestedProperty.content.bg" dataDxfId="164">
      <calculatedColumnFormula>IF(ISBLANK(HU$11),"",HU$11)</calculatedColumnFormula>
    </tableColumn>
    <tableColumn id="168" xr3:uid="{00000000-0010-0000-0600-0000A8000000}" name="Assessment.specifiedBy.gradingScheme.description.NestedProperty.content.cs" dataDxfId="163">
      <calculatedColumnFormula>IF(ISBLANK(HV$11),"",HV$11)</calculatedColumnFormula>
    </tableColumn>
    <tableColumn id="169" xr3:uid="{00000000-0010-0000-0600-0000A9000000}" name="Assessment.specifiedBy.gradingScheme.description.NestedProperty.content.da" dataDxfId="162">
      <calculatedColumnFormula>IF(ISBLANK(HW$11),"",HW$11)</calculatedColumnFormula>
    </tableColumn>
    <tableColumn id="170" xr3:uid="{00000000-0010-0000-0600-0000AA000000}" name="Assessment.specifiedBy.gradingScheme.description.NestedProperty.content.de" dataDxfId="161">
      <calculatedColumnFormula>IF(ISBLANK(HX$11),"",HX$11)</calculatedColumnFormula>
    </tableColumn>
    <tableColumn id="171" xr3:uid="{00000000-0010-0000-0600-0000AB000000}" name="Assessment.specifiedBy.gradingScheme.description.NestedProperty.content.el" dataDxfId="160">
      <calculatedColumnFormula>IF(ISBLANK(HY$11),"",HY$11)</calculatedColumnFormula>
    </tableColumn>
    <tableColumn id="172" xr3:uid="{00000000-0010-0000-0600-0000AC000000}" name="Assessment.specifiedBy.gradingScheme.description.NestedProperty.content.es" dataDxfId="159">
      <calculatedColumnFormula>IF(ISBLANK(HZ$11),"",HZ$11)</calculatedColumnFormula>
    </tableColumn>
    <tableColumn id="173" xr3:uid="{00000000-0010-0000-0600-0000AD000000}" name="Assessment.specifiedBy.gradingScheme.description.NestedProperty.content.et" dataDxfId="158">
      <calculatedColumnFormula>IF(ISBLANK(IA$11),"",IA$11)</calculatedColumnFormula>
    </tableColumn>
    <tableColumn id="174" xr3:uid="{00000000-0010-0000-0600-0000AE000000}" name="Assessment.specifiedBy.gradingScheme.description.NestedProperty.content.fi" dataDxfId="157">
      <calculatedColumnFormula>IF(ISBLANK(IB$11),"",IB$11)</calculatedColumnFormula>
    </tableColumn>
    <tableColumn id="175" xr3:uid="{00000000-0010-0000-0600-0000AF000000}" name="Assessment.specifiedBy.gradingScheme.description.NestedProperty.content.fr" dataDxfId="156">
      <calculatedColumnFormula>IF(ISBLANK(IC$11),"",IC$11)</calculatedColumnFormula>
    </tableColumn>
    <tableColumn id="176" xr3:uid="{00000000-0010-0000-0600-0000B0000000}" name="Assessment.specifiedBy.gradingScheme.description.NestedProperty.content.ga" dataDxfId="155">
      <calculatedColumnFormula>IF(ISBLANK(ID$11),"",ID$11)</calculatedColumnFormula>
    </tableColumn>
    <tableColumn id="177" xr3:uid="{00000000-0010-0000-0600-0000B1000000}" name="Assessment.specifiedBy.gradingScheme.description.NestedProperty.content.hr" dataDxfId="154">
      <calculatedColumnFormula>IF(ISBLANK(IE$11),"",IE$11)</calculatedColumnFormula>
    </tableColumn>
    <tableColumn id="178" xr3:uid="{00000000-0010-0000-0600-0000B2000000}" name="Assessment.specifiedBy.gradingScheme.description.NestedProperty.content.hu" dataDxfId="153">
      <calculatedColumnFormula>IF(ISBLANK(IF$11),"",IF$11)</calculatedColumnFormula>
    </tableColumn>
    <tableColumn id="179" xr3:uid="{00000000-0010-0000-0600-0000B3000000}" name="Assessment.specifiedBy.gradingScheme.description.NestedProperty.content.is" dataDxfId="152">
      <calculatedColumnFormula>IF(ISBLANK(IG$11),"",IG$11)</calculatedColumnFormula>
    </tableColumn>
    <tableColumn id="181" xr3:uid="{00000000-0010-0000-0600-0000B5000000}" name="Assessment.specifiedBy.gradingScheme.description.NestedProperty.content.it" dataDxfId="151">
      <calculatedColumnFormula>IF(ISBLANK(IH$11),"",IH$11)</calculatedColumnFormula>
    </tableColumn>
    <tableColumn id="182" xr3:uid="{00000000-0010-0000-0600-0000B6000000}" name="Assessment.specifiedBy.gradingScheme.description.NestedProperty.content.lt" dataDxfId="150">
      <calculatedColumnFormula>IF(ISBLANK(II$11),"",II$11)</calculatedColumnFormula>
    </tableColumn>
    <tableColumn id="183" xr3:uid="{00000000-0010-0000-0600-0000B7000000}" name="Assessment.specifiedBy.gradingScheme.description.NestedProperty.content.lv" dataDxfId="149">
      <calculatedColumnFormula>IF(ISBLANK(IJ$11),"",IJ$11)</calculatedColumnFormula>
    </tableColumn>
    <tableColumn id="90" xr3:uid="{CC52BD61-2F6E-45BD-B382-BF759182ED2D}" name="Assessment.specifiedBy.gradingScheme.description.NestedProperty.content.mk" dataDxfId="148"/>
    <tableColumn id="184" xr3:uid="{00000000-0010-0000-0600-0000B8000000}" name="Assessment.specifiedBy.gradingScheme.description.NestedProperty.content.mt" dataDxfId="147">
      <calculatedColumnFormula>IF(ISBLANK(IL$11),"",IL$11)</calculatedColumnFormula>
    </tableColumn>
    <tableColumn id="185" xr3:uid="{00000000-0010-0000-0600-0000B9000000}" name="Assessment.specifiedBy.gradingScheme.description.NestedProperty.content.nl" dataDxfId="146">
      <calculatedColumnFormula>IF(ISBLANK(IM$11),"",IM$11)</calculatedColumnFormula>
    </tableColumn>
    <tableColumn id="186" xr3:uid="{00000000-0010-0000-0600-0000BA000000}" name="Assessment.specifiedBy.gradingScheme.description.NestedProperty.content.no" dataDxfId="145">
      <calculatedColumnFormula>IF(ISBLANK(IN$11),"",IN$11)</calculatedColumnFormula>
    </tableColumn>
    <tableColumn id="187" xr3:uid="{00000000-0010-0000-0600-0000BB000000}" name="Assessment.specifiedBy.gradingScheme.description.NestedProperty.content.pl" dataDxfId="144">
      <calculatedColumnFormula>IF(ISBLANK(IO$11),"",IO$11)</calculatedColumnFormula>
    </tableColumn>
    <tableColumn id="188" xr3:uid="{00000000-0010-0000-0600-0000BC000000}" name="Assessment.specifiedBy.gradingScheme.description.NestedProperty.content.pt" dataDxfId="143">
      <calculatedColumnFormula>IF(ISBLANK(IP$11),"",IP$11)</calculatedColumnFormula>
    </tableColumn>
    <tableColumn id="189" xr3:uid="{00000000-0010-0000-0600-0000BD000000}" name="Assessment.specifiedBy.gradingScheme.description.NestedProperty.content.ro" dataDxfId="142">
      <calculatedColumnFormula>IF(ISBLANK(IQ$11),"",IQ$11)</calculatedColumnFormula>
    </tableColumn>
    <tableColumn id="190" xr3:uid="{00000000-0010-0000-0600-0000BE000000}" name="Assessment.specifiedBy.gradingScheme.description.NestedProperty.content.sk" dataDxfId="141">
      <calculatedColumnFormula>IF(ISBLANK(IR$11),"",IR$11)</calculatedColumnFormula>
    </tableColumn>
    <tableColumn id="191" xr3:uid="{00000000-0010-0000-0600-0000BF000000}" name="Assessment.specifiedBy.gradingScheme.description.NestedProperty.content.sl" dataDxfId="140">
      <calculatedColumnFormula>IF(ISBLANK(IS$11),"",IS$11)</calculatedColumnFormula>
    </tableColumn>
    <tableColumn id="92" xr3:uid="{6BC11941-6EB8-4A76-9552-6CC24637EC8C}" name="Assessment.specifiedBy.gradingScheme.description.NestedProperty.content.sr" dataDxfId="139"/>
    <tableColumn id="91" xr3:uid="{DC74BD3C-4ADA-411C-8F87-CF8B9207364C}" name="Assessment.specifiedBy.gradingScheme.description.NestedProperty.content.sv" dataDxfId="138"/>
    <tableColumn id="192" xr3:uid="{00000000-0010-0000-0600-0000C0000000}" name="Assessment.specifiedBy.gradingScheme.description.NestedProperty.content.tr" dataDxfId="137">
      <calculatedColumnFormula>IF(ISBLANK(IV$11),"",IV$11)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Entitlements" displayName="Entitlements" ref="B12:EE13" totalsRowShown="0" headerRowDxfId="136" dataDxfId="135">
  <autoFilter ref="B12:EE13" xr:uid="{00000000-0009-0000-0100-000012000000}"/>
  <tableColumns count="134">
    <tableColumn id="1" xr3:uid="{00000000-0010-0000-0700-000001000000}" name="Column1" dataDxfId="134"/>
    <tableColumn id="28" xr3:uid="{00000000-0010-0000-0700-00001C000000}" name="Column110" dataDxfId="133"/>
    <tableColumn id="29" xr3:uid="{00000000-0010-0000-0700-00001D000000}" name="Column111" dataDxfId="132"/>
    <tableColumn id="30" xr3:uid="{00000000-0010-0000-0700-00001E000000}" name="Column112" dataDxfId="131"/>
    <tableColumn id="31" xr3:uid="{00000000-0010-0000-0700-00001F000000}" name="Column113" dataDxfId="130"/>
    <tableColumn id="32" xr3:uid="{00000000-0010-0000-0700-000020000000}" name="Column114" dataDxfId="129"/>
    <tableColumn id="33" xr3:uid="{00000000-0010-0000-0700-000021000000}" name="Column115" dataDxfId="128"/>
    <tableColumn id="34" xr3:uid="{00000000-0010-0000-0700-000022000000}" name="Column116" dataDxfId="127"/>
    <tableColumn id="35" xr3:uid="{00000000-0010-0000-0700-000023000000}" name="Column117" dataDxfId="126"/>
    <tableColumn id="36" xr3:uid="{00000000-0010-0000-0700-000024000000}" name="Column118" dataDxfId="125"/>
    <tableColumn id="37" xr3:uid="{00000000-0010-0000-0700-000025000000}" name="Column119" dataDxfId="124"/>
    <tableColumn id="38" xr3:uid="{00000000-0010-0000-0700-000026000000}" name="Column120" dataDxfId="123"/>
    <tableColumn id="39" xr3:uid="{00000000-0010-0000-0700-000027000000}" name="Column121" dataDxfId="122"/>
    <tableColumn id="40" xr3:uid="{00000000-0010-0000-0700-000028000000}" name="Column122" dataDxfId="121"/>
    <tableColumn id="41" xr3:uid="{00000000-0010-0000-0700-000029000000}" name="Column123" dataDxfId="120"/>
    <tableColumn id="42" xr3:uid="{00000000-0010-0000-0700-00002A000000}" name="Column124" dataDxfId="119"/>
    <tableColumn id="43" xr3:uid="{00000000-0010-0000-0700-00002B000000}" name="Column125" dataDxfId="118"/>
    <tableColumn id="4" xr3:uid="{DCEE081C-A256-4981-AD04-4ED024819D90}" name="Column126" dataDxfId="117"/>
    <tableColumn id="44" xr3:uid="{00000000-0010-0000-0700-00002C000000}" name="Column127" dataDxfId="116"/>
    <tableColumn id="45" xr3:uid="{00000000-0010-0000-0700-00002D000000}" name="Column128" dataDxfId="115"/>
    <tableColumn id="46" xr3:uid="{00000000-0010-0000-0700-00002E000000}" name="Column129" dataDxfId="114"/>
    <tableColumn id="47" xr3:uid="{00000000-0010-0000-0700-00002F000000}" name="Column130" dataDxfId="113"/>
    <tableColumn id="48" xr3:uid="{00000000-0010-0000-0700-000030000000}" name="Column131" dataDxfId="112"/>
    <tableColumn id="49" xr3:uid="{00000000-0010-0000-0700-000031000000}" name="Column132" dataDxfId="111"/>
    <tableColumn id="50" xr3:uid="{00000000-0010-0000-0700-000032000000}" name="Column133" dataDxfId="110"/>
    <tableColumn id="51" xr3:uid="{00000000-0010-0000-0700-000033000000}" name="Column134" dataDxfId="109"/>
    <tableColumn id="11" xr3:uid="{B5FB6BD2-05B9-4ACB-BCCF-165403D0D8A3}" name="Column135" dataDxfId="108"/>
    <tableColumn id="5" xr3:uid="{FCA2F8E8-A278-4F69-B8A4-A52167EB80BA}" name="Column136" dataDxfId="107"/>
    <tableColumn id="52" xr3:uid="{00000000-0010-0000-0700-000034000000}" name="Column137" dataDxfId="106"/>
    <tableColumn id="3" xr3:uid="{00000000-0010-0000-0700-000003000000}" name="Column3" dataDxfId="105">
      <calculatedColumnFormula>IF(ISBLANK(AE$11),"",AE$11)</calculatedColumnFormula>
    </tableColumn>
    <tableColumn id="2" xr3:uid="{00000000-0010-0000-0700-000002000000}" name="Column2" dataDxfId="104"/>
    <tableColumn id="6" xr3:uid="{00000000-0010-0000-0700-000006000000}" name="Column6" dataDxfId="103">
      <calculatedColumnFormula>IF(ISBLANK(AG$11),"",AG$11)</calculatedColumnFormula>
    </tableColumn>
    <tableColumn id="7" xr3:uid="{00000000-0010-0000-0700-000007000000}" name="Column7" dataDxfId="102">
      <calculatedColumnFormula>IF(ISBLANK(AH$11),"",AH$11)</calculatedColumnFormula>
    </tableColumn>
    <tableColumn id="8" xr3:uid="{00000000-0010-0000-0700-000008000000}" name="Column8" dataDxfId="101"/>
    <tableColumn id="53" xr3:uid="{00000000-0010-0000-0700-000035000000}" name="Column82" dataDxfId="100"/>
    <tableColumn id="54" xr3:uid="{00000000-0010-0000-0700-000036000000}" name="Column83" dataDxfId="99"/>
    <tableColumn id="55" xr3:uid="{00000000-0010-0000-0700-000037000000}" name="Column84" dataDxfId="98"/>
    <tableColumn id="56" xr3:uid="{00000000-0010-0000-0700-000038000000}" name="Column85" dataDxfId="97"/>
    <tableColumn id="57" xr3:uid="{00000000-0010-0000-0700-000039000000}" name="Column86" dataDxfId="96"/>
    <tableColumn id="58" xr3:uid="{00000000-0010-0000-0700-00003A000000}" name="Column87" dataDxfId="95"/>
    <tableColumn id="59" xr3:uid="{00000000-0010-0000-0700-00003B000000}" name="Column88" dataDxfId="94"/>
    <tableColumn id="60" xr3:uid="{00000000-0010-0000-0700-00003C000000}" name="Column89" dataDxfId="93"/>
    <tableColumn id="61" xr3:uid="{00000000-0010-0000-0700-00003D000000}" name="Column90" dataDxfId="92"/>
    <tableColumn id="62" xr3:uid="{00000000-0010-0000-0700-00003E000000}" name="Column91" dataDxfId="91"/>
    <tableColumn id="63" xr3:uid="{00000000-0010-0000-0700-00003F000000}" name="Column92" dataDxfId="90"/>
    <tableColumn id="64" xr3:uid="{00000000-0010-0000-0700-000040000000}" name="Column93" dataDxfId="89"/>
    <tableColumn id="65" xr3:uid="{00000000-0010-0000-0700-000041000000}" name="Column94" dataDxfId="88"/>
    <tableColumn id="66" xr3:uid="{00000000-0010-0000-0700-000042000000}" name="Column95" dataDxfId="87"/>
    <tableColumn id="67" xr3:uid="{00000000-0010-0000-0700-000043000000}" name="Column96" dataDxfId="86"/>
    <tableColumn id="68" xr3:uid="{00000000-0010-0000-0700-000044000000}" name="Column97" dataDxfId="85"/>
    <tableColumn id="12" xr3:uid="{618D656E-A5DC-4A00-A2B2-C55096CA7B6E}" name="Column98" dataDxfId="84"/>
    <tableColumn id="69" xr3:uid="{00000000-0010-0000-0700-000045000000}" name="Column99" dataDxfId="83"/>
    <tableColumn id="70" xr3:uid="{00000000-0010-0000-0700-000046000000}" name="Column100" dataDxfId="82"/>
    <tableColumn id="71" xr3:uid="{00000000-0010-0000-0700-000047000000}" name="Column101" dataDxfId="81"/>
    <tableColumn id="72" xr3:uid="{00000000-0010-0000-0700-000048000000}" name="Column102" dataDxfId="80"/>
    <tableColumn id="73" xr3:uid="{00000000-0010-0000-0700-000049000000}" name="Column103" dataDxfId="79"/>
    <tableColumn id="74" xr3:uid="{00000000-0010-0000-0700-00004A000000}" name="Column104" dataDxfId="78"/>
    <tableColumn id="75" xr3:uid="{00000000-0010-0000-0700-00004B000000}" name="Column105" dataDxfId="77"/>
    <tableColumn id="76" xr3:uid="{00000000-0010-0000-0700-00004C000000}" name="Column106" dataDxfId="76"/>
    <tableColumn id="17" xr3:uid="{FC5DA831-105B-4B15-BDAB-CAA757E951E7}" name="Column107" dataDxfId="75"/>
    <tableColumn id="16" xr3:uid="{25D79D54-5DF2-4D25-A693-62F8CBCCFB4E}" name="Column108" dataDxfId="74"/>
    <tableColumn id="77" xr3:uid="{00000000-0010-0000-0700-00004D000000}" name="Column109" dataDxfId="73"/>
    <tableColumn id="9" xr3:uid="{00000000-0010-0000-0700-000009000000}" name="Column9" dataDxfId="72"/>
    <tableColumn id="10" xr3:uid="{00000000-0010-0000-0700-00000A000000}" name="Column10" dataDxfId="71">
      <calculatedColumnFormula array="1">MultiMatch(Entitlements[[#This Row],[Column9]],EntitlementNames,0)</calculatedColumnFormula>
    </tableColumn>
    <tableColumn id="13" xr3:uid="{00000000-0010-0000-0700-00000D000000}" name="Column13" dataDxfId="70">
      <calculatedColumnFormula>IF(ISBLANK(Entitlements[[#This Row],[Column1]]),"",Entitlements[[#This Row],[Column1]])</calculatedColumnFormula>
    </tableColumn>
    <tableColumn id="78" xr3:uid="{00000000-0010-0000-0700-00004E000000}" name="Column1353" dataDxfId="69"/>
    <tableColumn id="79" xr3:uid="{00000000-0010-0000-0700-00004F000000}" name="Column1362" dataDxfId="68"/>
    <tableColumn id="80" xr3:uid="{00000000-0010-0000-0700-000050000000}" name="Column1373" dataDxfId="67"/>
    <tableColumn id="81" xr3:uid="{00000000-0010-0000-0700-000051000000}" name="Column138" dataDxfId="66"/>
    <tableColumn id="82" xr3:uid="{00000000-0010-0000-0700-000052000000}" name="Column139" dataDxfId="65"/>
    <tableColumn id="83" xr3:uid="{00000000-0010-0000-0700-000053000000}" name="Column140" dataDxfId="64"/>
    <tableColumn id="84" xr3:uid="{00000000-0010-0000-0700-000054000000}" name="Column141" dataDxfId="63"/>
    <tableColumn id="85" xr3:uid="{00000000-0010-0000-0700-000055000000}" name="Column142" dataDxfId="62"/>
    <tableColumn id="86" xr3:uid="{00000000-0010-0000-0700-000056000000}" name="Column143" dataDxfId="61"/>
    <tableColumn id="87" xr3:uid="{00000000-0010-0000-0700-000057000000}" name="Column144" dataDxfId="60"/>
    <tableColumn id="88" xr3:uid="{00000000-0010-0000-0700-000058000000}" name="Column145" dataDxfId="59"/>
    <tableColumn id="89" xr3:uid="{00000000-0010-0000-0700-000059000000}" name="Column146" dataDxfId="58"/>
    <tableColumn id="90" xr3:uid="{00000000-0010-0000-0700-00005A000000}" name="Column147" dataDxfId="57"/>
    <tableColumn id="91" xr3:uid="{00000000-0010-0000-0700-00005B000000}" name="Column148" dataDxfId="56"/>
    <tableColumn id="92" xr3:uid="{00000000-0010-0000-0700-00005C000000}" name="Column149" dataDxfId="55"/>
    <tableColumn id="93" xr3:uid="{00000000-0010-0000-0700-00005D000000}" name="Column150" dataDxfId="54"/>
    <tableColumn id="19" xr3:uid="{3DA47C1D-225C-44DE-A0BD-4117EB958C6D}" name="Column151" dataDxfId="53"/>
    <tableColumn id="94" xr3:uid="{00000000-0010-0000-0700-00005E000000}" name="Column152" dataDxfId="52"/>
    <tableColumn id="95" xr3:uid="{00000000-0010-0000-0700-00005F000000}" name="Column153" dataDxfId="51"/>
    <tableColumn id="96" xr3:uid="{00000000-0010-0000-0700-000060000000}" name="Column154" dataDxfId="50"/>
    <tableColumn id="97" xr3:uid="{00000000-0010-0000-0700-000061000000}" name="Column155" dataDxfId="49"/>
    <tableColumn id="98" xr3:uid="{00000000-0010-0000-0700-000062000000}" name="Column156" dataDxfId="48"/>
    <tableColumn id="99" xr3:uid="{00000000-0010-0000-0700-000063000000}" name="Column157" dataDxfId="47"/>
    <tableColumn id="100" xr3:uid="{00000000-0010-0000-0700-000064000000}" name="Column158" dataDxfId="46"/>
    <tableColumn id="101" xr3:uid="{00000000-0010-0000-0700-000065000000}" name="Column159" dataDxfId="45"/>
    <tableColumn id="21" xr3:uid="{1494ECD0-64BB-419B-B4EE-63DF9D824134}" name="Column160" dataDxfId="44"/>
    <tableColumn id="20" xr3:uid="{BCECAE96-3C41-44C5-BE24-F85A7871FF3E}" name="Column161" dataDxfId="43"/>
    <tableColumn id="102" xr3:uid="{00000000-0010-0000-0700-000066000000}" name="Column162" dataDxfId="42"/>
    <tableColumn id="103" xr3:uid="{00000000-0010-0000-0700-000067000000}" name="Column1603" dataDxfId="41"/>
    <tableColumn id="105" xr3:uid="{00000000-0010-0000-0700-000069000000}" name="Column1602" dataDxfId="40">
      <calculatedColumnFormula array="1">MultiMatch(Entitlements[[#This Row],[Column1603]],Vocabularies[name],0)</calculatedColumnFormula>
    </tableColumn>
    <tableColumn id="104" xr3:uid="{00000000-0010-0000-0700-000068000000}" name="Column1614" dataDxfId="39"/>
    <tableColumn id="106" xr3:uid="{00000000-0010-0000-0700-00006A000000}" name="Column1625" dataDxfId="38">
      <calculatedColumnFormula array="1">MultiMatch(Entitlements[[#This Row],[Column1614]],Vocabularies[name],0)</calculatedColumnFormula>
    </tableColumn>
    <tableColumn id="15" xr3:uid="{00000000-0010-0000-0700-00000F000000}" name="Column15" dataDxfId="37">
      <calculatedColumnFormula>IF(ISBLANK(CU$11),"",CU$11)</calculatedColumnFormula>
    </tableColumn>
    <tableColumn id="14" xr3:uid="{00000000-0010-0000-0700-00000E000000}" name="Column14" dataDxfId="36"/>
    <tableColumn id="134" xr3:uid="{ABE7D368-95D3-461E-BAEB-86C9ED8FCAE9}" name="Column1410" dataDxfId="35"/>
    <tableColumn id="18" xr3:uid="{00000000-0010-0000-0700-000012000000}" name="Column18" dataDxfId="34"/>
    <tableColumn id="107" xr3:uid="{00000000-0010-0000-0700-00006B000000}" name="Column182" dataDxfId="33"/>
    <tableColumn id="108" xr3:uid="{00000000-0010-0000-0700-00006C000000}" name="Column183" dataDxfId="32"/>
    <tableColumn id="109" xr3:uid="{00000000-0010-0000-0700-00006D000000}" name="Column184" dataDxfId="31"/>
    <tableColumn id="110" xr3:uid="{00000000-0010-0000-0700-00006E000000}" name="Column185" dataDxfId="30"/>
    <tableColumn id="111" xr3:uid="{00000000-0010-0000-0700-00006F000000}" name="Column186" dataDxfId="29"/>
    <tableColumn id="112" xr3:uid="{00000000-0010-0000-0700-000070000000}" name="Column187" dataDxfId="28"/>
    <tableColumn id="113" xr3:uid="{00000000-0010-0000-0700-000071000000}" name="Column188" dataDxfId="27"/>
    <tableColumn id="114" xr3:uid="{00000000-0010-0000-0700-000072000000}" name="Column189" dataDxfId="26"/>
    <tableColumn id="115" xr3:uid="{00000000-0010-0000-0700-000073000000}" name="Column190" dataDxfId="25"/>
    <tableColumn id="116" xr3:uid="{00000000-0010-0000-0700-000074000000}" name="Column191" dataDxfId="24"/>
    <tableColumn id="117" xr3:uid="{00000000-0010-0000-0700-000075000000}" name="Column192" dataDxfId="23"/>
    <tableColumn id="118" xr3:uid="{00000000-0010-0000-0700-000076000000}" name="Column193" dataDxfId="22"/>
    <tableColumn id="119" xr3:uid="{00000000-0010-0000-0700-000077000000}" name="Column194" dataDxfId="21"/>
    <tableColumn id="120" xr3:uid="{00000000-0010-0000-0700-000078000000}" name="Column195" dataDxfId="20"/>
    <tableColumn id="121" xr3:uid="{00000000-0010-0000-0700-000079000000}" name="Column196" dataDxfId="19"/>
    <tableColumn id="122" xr3:uid="{00000000-0010-0000-0700-00007A000000}" name="Column197" dataDxfId="18"/>
    <tableColumn id="22" xr3:uid="{C0683EE0-DE75-4B18-AAD2-FABE740AE958}" name="Column198" dataDxfId="17"/>
    <tableColumn id="123" xr3:uid="{00000000-0010-0000-0700-00007B000000}" name="Column199" dataDxfId="16"/>
    <tableColumn id="124" xr3:uid="{00000000-0010-0000-0700-00007C000000}" name="Column200" dataDxfId="15"/>
    <tableColumn id="125" xr3:uid="{00000000-0010-0000-0700-00007D000000}" name="Column201" dataDxfId="14"/>
    <tableColumn id="126" xr3:uid="{00000000-0010-0000-0700-00007E000000}" name="Column202" dataDxfId="13"/>
    <tableColumn id="127" xr3:uid="{00000000-0010-0000-0700-00007F000000}" name="Column203" dataDxfId="12"/>
    <tableColumn id="128" xr3:uid="{00000000-0010-0000-0700-000080000000}" name="Column204" dataDxfId="11"/>
    <tableColumn id="129" xr3:uid="{00000000-0010-0000-0700-000081000000}" name="Column205" dataDxfId="10"/>
    <tableColumn id="130" xr3:uid="{00000000-0010-0000-0700-000082000000}" name="Column206" dataDxfId="9"/>
    <tableColumn id="133" xr3:uid="{7EB306D9-9532-4D8F-AFC8-86A508FE4F3A}" name="Column207" dataDxfId="8"/>
    <tableColumn id="132" xr3:uid="{21E56666-B63E-4E28-8FBA-37EBC6F98BC1}" name="Column208" dataDxfId="7"/>
    <tableColumn id="131" xr3:uid="{00000000-0010-0000-0700-000083000000}" name="Column209" dataDxfId="6"/>
    <tableColumn id="23" xr3:uid="{00000000-0010-0000-0700-000017000000}" name="Column23" dataDxfId="5"/>
    <tableColumn id="24" xr3:uid="{00000000-0010-0000-0700-000018000000}" name="Column24" dataDxfId="4">
      <calculatedColumnFormula array="1">MultiMatch(Entitlements[[#This Row],[Column23]],OrganisationNames,0)</calculatedColumnFormula>
    </tableColumn>
    <tableColumn id="25" xr3:uid="{00000000-0010-0000-0700-000019000000}" name="Column25" dataDxfId="3"/>
    <tableColumn id="26" xr3:uid="{00000000-0010-0000-0700-00001A000000}" name="Column26" dataDxfId="2">
      <calculatedColumnFormula array="1">MultiMatch(Entitlements[[#This Row],[Column25]],Vocabularies[name],0)</calculatedColumnFormula>
    </tableColumn>
    <tableColumn id="27" xr3:uid="{00000000-0010-0000-0700-00001B000000}" name="Column27"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Vocabularies" displayName="Vocabularies" ref="A12:G1458" totalsRowShown="0" headerRowDxfId="0">
  <autoFilter ref="A12:G1458" xr:uid="{00000000-0009-0000-0100-000001000000}"/>
  <tableColumns count="7">
    <tableColumn id="7" xr3:uid="{00000000-0010-0000-0800-000007000000}" name="Label"/>
    <tableColumn id="5" xr3:uid="{00000000-0010-0000-0800-000005000000}" name="List Name"/>
    <tableColumn id="6" xr3:uid="{00000000-0010-0000-0800-000006000000}" name="List URI"/>
    <tableColumn id="3" xr3:uid="{00000000-0010-0000-0800-000003000000}" name="name"/>
    <tableColumn id="1" xr3:uid="{00000000-0010-0000-0800-000001000000}" name="code"/>
    <tableColumn id="2" xr3:uid="{00000000-0010-0000-0800-000002000000}" name="URI"/>
    <tableColumn id="4" xr3:uid="{00000000-0010-0000-08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europa.eu/europass/en/preparing-credentials-europass-digital-credentials"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tuni.fi/en/about-us/tampere-university" TargetMode="External"/><Relationship Id="rId1" Type="http://schemas.openxmlformats.org/officeDocument/2006/relationships/hyperlink" Target="https://upload.wikimedia.org/wikipedia/commons/2/2f/Tampere_University_logo.png" TargetMode="External"/><Relationship Id="rId5" Type="http://schemas.openxmlformats.org/officeDocument/2006/relationships/table" Target="../tables/table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data.europa.eu/esco/model" TargetMode="Externa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26" Type="http://schemas.openxmlformats.org/officeDocument/2006/relationships/hyperlink" Target="http://data.europa.eu/snb/target-group/0247b300b0" TargetMode="External"/><Relationship Id="rId39" Type="http://schemas.openxmlformats.org/officeDocument/2006/relationships/hyperlink" Target="http://data.europa.eu/snb/credential/6dff8a0f87" TargetMode="External"/><Relationship Id="rId21" Type="http://schemas.openxmlformats.org/officeDocument/2006/relationships/hyperlink" Target="http://data.europa.eu/snb/target-group/fd1279fd9f" TargetMode="External"/><Relationship Id="rId34" Type="http://schemas.openxmlformats.org/officeDocument/2006/relationships/hyperlink" Target="http://data.europa.eu/europass/codeList/entitlementStatuses" TargetMode="External"/><Relationship Id="rId42" Type="http://schemas.openxmlformats.org/officeDocument/2006/relationships/hyperlink" Target="http://data.europa.eu/europass/assessmentType/peerReview"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data.europa.eu/snb/credential/e34929035b"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type/skill" TargetMode="External"/><Relationship Id="rId2"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29" Type="http://schemas.openxmlformats.org/officeDocument/2006/relationships/hyperlink" Target="http://data.europa.eu/esco/qdr/QF/AT" TargetMode="External"/><Relationship Id="rId11" Type="http://schemas.openxmlformats.org/officeDocument/2006/relationships/hyperlink" Target="http://data.europa.eu/snb/target-group/5b1417fd15" TargetMode="External"/><Relationship Id="rId24" Type="http://schemas.openxmlformats.org/officeDocument/2006/relationships/hyperlink" Target="http://data.europa.eu/snb/target-group/de9cd193ce"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MALE" TargetMode="External"/><Relationship Id="rId40" Type="http://schemas.openxmlformats.org/officeDocument/2006/relationships/hyperlink" Target="http://data.europa.eu/europass/assessmentType/markedAssignment" TargetMode="External"/><Relationship Id="rId45" Type="http://schemas.openxmlformats.org/officeDocument/2006/relationships/hyperlink" Target="http://publications.europa.eu/resource/authority/human-sex/NAP"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0.bin"/><Relationship Id="rId5" Type="http://schemas.openxmlformats.org/officeDocument/2006/relationships/hyperlink" Target="http://publications.europa.eu/resource/authority/language/ENG"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05f11c859b"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data.europa.eu/esco/isced-f/00" TargetMode="External"/><Relationship Id="rId30" Type="http://schemas.openxmlformats.org/officeDocument/2006/relationships/hyperlink" Target="http://data.europa.eu/europass/learningOpportunityTypes"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data.europa.eu/europass/assessmentType/problemBased"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data.europa.eu/snb/credential/6cf8e68c43"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NKN" TargetMode="External"/><Relationship Id="rId46" Type="http://schemas.openxmlformats.org/officeDocument/2006/relationships/hyperlink" Target="http://data.europa.eu/snb/credential/48b514e72a"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quiz"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publications.europa.eu/resource/authority/language/MLT"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publications.europa.eu/resource/authority/country/AFG" TargetMode="External"/><Relationship Id="rId36" Type="http://schemas.openxmlformats.org/officeDocument/2006/relationships/hyperlink" Target="http://publications.europa.eu/resource/authority/human-sex"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FEMALE"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data.europa.eu/snb/credential/bdc47cb449"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31"/>
  <sheetViews>
    <sheetView showGridLines="0" zoomScaleNormal="100" workbookViewId="0">
      <selection activeCell="A30" sqref="A30"/>
    </sheetView>
  </sheetViews>
  <sheetFormatPr defaultColWidth="9.140625" defaultRowHeight="15"/>
  <cols>
    <col min="1" max="1" width="31.140625" bestFit="1" customWidth="1"/>
    <col min="2" max="2" width="14.42578125" customWidth="1"/>
    <col min="3" max="3" width="0" hidden="1" customWidth="1"/>
    <col min="6" max="6" width="14.42578125" customWidth="1"/>
    <col min="9" max="14" width="9.140625" style="68"/>
    <col min="15" max="15" width="11.140625" style="68" customWidth="1"/>
    <col min="16" max="16384" width="9.140625" style="68"/>
  </cols>
  <sheetData>
    <row r="1" spans="1:15">
      <c r="A1" s="11" t="s">
        <v>0</v>
      </c>
    </row>
    <row r="2" spans="1:15">
      <c r="A2" t="s">
        <v>1</v>
      </c>
    </row>
    <row r="3" spans="1:15" ht="114" customHeight="1"/>
    <row r="4" spans="1:15">
      <c r="A4" t="s">
        <v>2</v>
      </c>
    </row>
    <row r="5" spans="1:15">
      <c r="A5" s="251" t="s">
        <v>6700</v>
      </c>
      <c r="B5" s="251"/>
      <c r="C5" s="251"/>
      <c r="D5" s="251"/>
      <c r="E5" s="251"/>
      <c r="F5" s="251"/>
      <c r="G5" s="251"/>
      <c r="H5" s="251"/>
      <c r="I5" s="251"/>
      <c r="J5" s="251"/>
      <c r="K5" s="251"/>
      <c r="L5" s="251"/>
      <c r="M5" s="251"/>
      <c r="N5" s="251"/>
      <c r="O5" s="251"/>
    </row>
    <row r="6" spans="1:15">
      <c r="A6" s="188" t="s">
        <v>3</v>
      </c>
      <c r="B6" s="196"/>
      <c r="C6" s="196"/>
      <c r="D6" s="196"/>
      <c r="E6" s="196"/>
      <c r="F6" s="196"/>
      <c r="G6" s="196"/>
      <c r="H6" s="196"/>
      <c r="I6" s="196"/>
      <c r="J6" s="196"/>
      <c r="K6" s="196"/>
      <c r="L6" s="196"/>
      <c r="M6" s="196"/>
      <c r="N6" s="196"/>
      <c r="O6" s="196"/>
    </row>
    <row r="7" spans="1:15">
      <c r="A7" s="196" t="s">
        <v>6705</v>
      </c>
      <c r="B7" s="196"/>
      <c r="C7" s="196"/>
      <c r="D7" s="196"/>
      <c r="E7" s="196"/>
      <c r="F7" s="196"/>
      <c r="G7" s="196"/>
      <c r="H7" s="196"/>
      <c r="I7" s="196"/>
      <c r="J7" s="196"/>
      <c r="K7" s="196"/>
      <c r="L7" s="196"/>
      <c r="M7" s="196"/>
      <c r="N7" s="196"/>
      <c r="O7" s="196"/>
    </row>
    <row r="8" spans="1:15">
      <c r="A8" s="233" t="s">
        <v>4</v>
      </c>
      <c r="B8" s="233"/>
      <c r="C8" s="233"/>
      <c r="D8" s="233"/>
      <c r="E8" s="233"/>
      <c r="F8" s="233"/>
      <c r="G8" s="233"/>
      <c r="H8" s="233"/>
      <c r="I8" s="233"/>
      <c r="J8" s="233"/>
      <c r="K8" s="233"/>
      <c r="L8" s="233"/>
      <c r="M8" s="233"/>
      <c r="N8" s="233"/>
      <c r="O8" s="233"/>
    </row>
    <row r="9" spans="1:15">
      <c r="A9" t="s">
        <v>5</v>
      </c>
    </row>
    <row r="10" spans="1:15">
      <c r="A10" t="s">
        <v>6</v>
      </c>
    </row>
    <row r="11" spans="1:15">
      <c r="A11" t="s">
        <v>7</v>
      </c>
    </row>
    <row r="15" spans="1:15">
      <c r="A15" s="11"/>
    </row>
    <row r="16" spans="1:15" ht="18.75">
      <c r="A16" s="13" t="s">
        <v>8</v>
      </c>
      <c r="B16" s="14"/>
      <c r="C16" s="14" t="s">
        <v>9</v>
      </c>
      <c r="D16" s="14" t="s">
        <v>10</v>
      </c>
      <c r="E16" s="14"/>
      <c r="F16" s="14"/>
      <c r="G16" s="14"/>
      <c r="H16" s="14"/>
    </row>
    <row r="18" spans="1:8" s="122" customFormat="1" ht="27" customHeight="1">
      <c r="A18" s="15" t="s">
        <v>11</v>
      </c>
      <c r="B18" s="16"/>
      <c r="C18" s="16" t="str">
        <f>VLOOKUP(D18,Vocabularies[],5,FALSE)</f>
        <v>fr</v>
      </c>
      <c r="D18" s="16" t="s">
        <v>86</v>
      </c>
      <c r="E18" s="16"/>
      <c r="F18" s="16"/>
      <c r="G18" s="16"/>
      <c r="H18" s="16"/>
    </row>
    <row r="25" spans="1:8">
      <c r="F25" s="130"/>
    </row>
    <row r="30" spans="1:8">
      <c r="A30" t="s">
        <v>5662</v>
      </c>
    </row>
    <row r="31" spans="1:8">
      <c r="A31" s="250">
        <v>44439</v>
      </c>
    </row>
  </sheetData>
  <sheetProtection formatColumns="0"/>
  <dataValidations count="1">
    <dataValidation type="list" allowBlank="1" showInputMessage="1" showErrorMessage="1" sqref="D18" xr:uid="{00000000-0002-0000-0000-000000000000}">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P16"/>
  <sheetViews>
    <sheetView showZeros="0" zoomScale="90" zoomScaleNormal="90" workbookViewId="0">
      <pane xSplit="32" ySplit="12" topLeftCell="AG13" activePane="bottomRight" state="frozen"/>
      <selection pane="topRight" activeCell="AB1" sqref="AB1"/>
      <selection pane="bottomLeft" activeCell="A13" sqref="A13"/>
      <selection pane="bottomRight" activeCell="BN16" sqref="BN16"/>
    </sheetView>
  </sheetViews>
  <sheetFormatPr defaultColWidth="9.140625" defaultRowHeight="29.1" customHeight="1"/>
  <cols>
    <col min="1" max="1" width="23.85546875" style="79" customWidth="1"/>
    <col min="2" max="2" width="16.85546875" style="79" customWidth="1"/>
    <col min="3" max="3" width="13.42578125" style="79" hidden="1" customWidth="1"/>
    <col min="4" max="4" width="25.42578125" style="79" customWidth="1"/>
    <col min="5" max="32" width="25.42578125" style="79" hidden="1" customWidth="1"/>
    <col min="33" max="33" width="40.7109375" customWidth="1"/>
    <col min="34" max="61" width="40.7109375" style="79" hidden="1" customWidth="1"/>
    <col min="62" max="63" width="30.7109375" style="79" customWidth="1"/>
    <col min="64" max="64" width="20.42578125" style="79" hidden="1" customWidth="1"/>
    <col min="65" max="65" width="16.85546875" style="79" hidden="1" customWidth="1"/>
    <col min="66" max="66" width="15.85546875" style="79" customWidth="1"/>
    <col min="67" max="67" width="16.140625" style="79" hidden="1" customWidth="1"/>
    <col min="68" max="68" width="25.85546875" style="79" customWidth="1"/>
    <col min="69" max="69" width="15.7109375" style="91" hidden="1" customWidth="1"/>
    <col min="70" max="70" width="16.85546875" style="79" hidden="1" customWidth="1"/>
    <col min="71" max="71" width="50.7109375" style="108" customWidth="1"/>
    <col min="72" max="72" width="50.7109375" style="294" customWidth="1"/>
    <col min="73" max="73" width="22.42578125" style="79" customWidth="1"/>
    <col min="74" max="101" width="22.42578125" style="79" hidden="1" customWidth="1"/>
    <col min="102" max="103" width="22.42578125" style="79" customWidth="1"/>
    <col min="104" max="131" width="22.42578125" style="79" hidden="1" customWidth="1"/>
    <col min="132" max="133" width="22.42578125" style="79" customWidth="1"/>
    <col min="134" max="161" width="22.42578125" style="79" hidden="1" customWidth="1"/>
    <col min="162" max="163" width="22.42578125" style="79" customWidth="1"/>
    <col min="164" max="191" width="22.42578125" style="79" hidden="1" customWidth="1"/>
    <col min="192" max="193" width="22.42578125" style="79" customWidth="1"/>
    <col min="194" max="221" width="22.42578125" style="79" hidden="1" customWidth="1"/>
    <col min="222" max="224" width="22.42578125" style="79" customWidth="1"/>
    <col min="225" max="225" width="11.42578125" style="89" customWidth="1"/>
    <col min="226" max="16384" width="9.140625" style="89"/>
  </cols>
  <sheetData>
    <row r="1" spans="1:224" ht="23.25">
      <c r="A1" s="76" t="s">
        <v>13</v>
      </c>
      <c r="B1" s="78"/>
      <c r="C1" s="78"/>
      <c r="D1" s="77"/>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Q1" s="79"/>
      <c r="BS1" s="166" t="s">
        <v>5978</v>
      </c>
      <c r="BT1" s="79"/>
      <c r="HO1" s="89"/>
      <c r="HP1" s="89"/>
    </row>
    <row r="2" spans="1:224" ht="30" hidden="1">
      <c r="A2" s="80" t="s">
        <v>14</v>
      </c>
      <c r="B2" s="93" t="s">
        <v>15</v>
      </c>
      <c r="C2" s="93" t="s">
        <v>15</v>
      </c>
      <c r="D2" s="80" t="s">
        <v>15</v>
      </c>
      <c r="E2" s="80" t="s">
        <v>15</v>
      </c>
      <c r="F2" s="80" t="s">
        <v>15</v>
      </c>
      <c r="G2" s="80" t="s">
        <v>15</v>
      </c>
      <c r="H2" s="80" t="s">
        <v>15</v>
      </c>
      <c r="I2" s="80" t="s">
        <v>15</v>
      </c>
      <c r="J2" s="80" t="s">
        <v>15</v>
      </c>
      <c r="K2" s="80" t="s">
        <v>15</v>
      </c>
      <c r="L2" s="80" t="s">
        <v>15</v>
      </c>
      <c r="M2" s="80" t="s">
        <v>15</v>
      </c>
      <c r="N2" s="80" t="s">
        <v>15</v>
      </c>
      <c r="O2" s="80" t="s">
        <v>15</v>
      </c>
      <c r="P2" s="80" t="s">
        <v>15</v>
      </c>
      <c r="Q2" s="80" t="s">
        <v>15</v>
      </c>
      <c r="R2" s="80" t="s">
        <v>15</v>
      </c>
      <c r="S2" s="80" t="s">
        <v>15</v>
      </c>
      <c r="T2" s="80" t="s">
        <v>15</v>
      </c>
      <c r="U2" s="80" t="s">
        <v>15</v>
      </c>
      <c r="V2" s="80" t="s">
        <v>15</v>
      </c>
      <c r="W2" s="80" t="s">
        <v>15</v>
      </c>
      <c r="X2" s="80" t="s">
        <v>15</v>
      </c>
      <c r="Y2" s="80" t="s">
        <v>15</v>
      </c>
      <c r="Z2" s="80" t="s">
        <v>15</v>
      </c>
      <c r="AA2" s="80" t="s">
        <v>15</v>
      </c>
      <c r="AB2" s="80" t="s">
        <v>15</v>
      </c>
      <c r="AC2" s="80" t="s">
        <v>15</v>
      </c>
      <c r="AD2" s="80" t="s">
        <v>15</v>
      </c>
      <c r="AE2" s="80" t="s">
        <v>15</v>
      </c>
      <c r="AF2" s="80" t="s">
        <v>15</v>
      </c>
      <c r="AG2" s="80" t="s">
        <v>15</v>
      </c>
      <c r="AH2" s="80" t="s">
        <v>15</v>
      </c>
      <c r="AI2" s="80" t="s">
        <v>15</v>
      </c>
      <c r="AJ2" s="80" t="s">
        <v>15</v>
      </c>
      <c r="AK2" s="80" t="s">
        <v>15</v>
      </c>
      <c r="AL2" s="80" t="s">
        <v>15</v>
      </c>
      <c r="AM2" s="80" t="s">
        <v>15</v>
      </c>
      <c r="AN2" s="80" t="s">
        <v>15</v>
      </c>
      <c r="AO2" s="80" t="s">
        <v>15</v>
      </c>
      <c r="AP2" s="80" t="s">
        <v>15</v>
      </c>
      <c r="AQ2" s="80" t="s">
        <v>15</v>
      </c>
      <c r="AR2" s="80" t="s">
        <v>15</v>
      </c>
      <c r="AS2" s="80" t="s">
        <v>15</v>
      </c>
      <c r="AT2" s="80" t="s">
        <v>15</v>
      </c>
      <c r="AU2" s="80" t="s">
        <v>15</v>
      </c>
      <c r="AV2" s="80" t="s">
        <v>15</v>
      </c>
      <c r="AW2" s="80" t="s">
        <v>15</v>
      </c>
      <c r="AX2" s="80" t="s">
        <v>15</v>
      </c>
      <c r="AY2" s="80" t="s">
        <v>15</v>
      </c>
      <c r="AZ2" s="80" t="s">
        <v>15</v>
      </c>
      <c r="BA2" s="80" t="s">
        <v>15</v>
      </c>
      <c r="BB2" s="80" t="s">
        <v>15</v>
      </c>
      <c r="BC2" s="80" t="s">
        <v>15</v>
      </c>
      <c r="BD2" s="80" t="s">
        <v>15</v>
      </c>
      <c r="BE2" s="80" t="s">
        <v>15</v>
      </c>
      <c r="BF2" s="80" t="s">
        <v>15</v>
      </c>
      <c r="BG2" s="80" t="s">
        <v>15</v>
      </c>
      <c r="BH2" s="80" t="s">
        <v>15</v>
      </c>
      <c r="BI2" s="80" t="s">
        <v>15</v>
      </c>
      <c r="BJ2" s="81" t="s">
        <v>16</v>
      </c>
      <c r="BK2" s="81" t="s">
        <v>16</v>
      </c>
      <c r="BL2" s="81" t="s">
        <v>15</v>
      </c>
      <c r="BM2" s="81" t="s">
        <v>15</v>
      </c>
      <c r="BN2" s="80" t="s">
        <v>15</v>
      </c>
      <c r="BO2" s="80" t="s">
        <v>15</v>
      </c>
      <c r="BP2" s="80" t="s">
        <v>15</v>
      </c>
      <c r="BQ2" s="80" t="s">
        <v>15</v>
      </c>
      <c r="BR2" s="80" t="s">
        <v>15</v>
      </c>
      <c r="BS2" s="268" t="s">
        <v>5652</v>
      </c>
      <c r="BT2" s="80" t="s">
        <v>15</v>
      </c>
      <c r="BU2" s="93" t="s">
        <v>5649</v>
      </c>
      <c r="BV2" s="93" t="s">
        <v>5649</v>
      </c>
      <c r="BW2" s="93" t="s">
        <v>5649</v>
      </c>
      <c r="BX2" s="93" t="s">
        <v>5649</v>
      </c>
      <c r="BY2" s="93" t="s">
        <v>5649</v>
      </c>
      <c r="BZ2" s="93" t="s">
        <v>5649</v>
      </c>
      <c r="CA2" s="93" t="s">
        <v>5649</v>
      </c>
      <c r="CB2" s="93" t="s">
        <v>5649</v>
      </c>
      <c r="CC2" s="93" t="s">
        <v>5649</v>
      </c>
      <c r="CD2" s="93" t="s">
        <v>5649</v>
      </c>
      <c r="CE2" s="93" t="s">
        <v>5649</v>
      </c>
      <c r="CF2" s="93" t="s">
        <v>5649</v>
      </c>
      <c r="CG2" s="93" t="s">
        <v>5649</v>
      </c>
      <c r="CH2" s="93" t="s">
        <v>5649</v>
      </c>
      <c r="CI2" s="93" t="s">
        <v>5649</v>
      </c>
      <c r="CJ2" s="93" t="s">
        <v>5649</v>
      </c>
      <c r="CK2" s="93" t="s">
        <v>5649</v>
      </c>
      <c r="CL2" s="93" t="s">
        <v>5649</v>
      </c>
      <c r="CM2" s="93" t="s">
        <v>5649</v>
      </c>
      <c r="CN2" s="93" t="s">
        <v>5649</v>
      </c>
      <c r="CO2" s="93" t="s">
        <v>5649</v>
      </c>
      <c r="CP2" s="93" t="s">
        <v>5649</v>
      </c>
      <c r="CQ2" s="93" t="s">
        <v>5649</v>
      </c>
      <c r="CR2" s="93" t="s">
        <v>5649</v>
      </c>
      <c r="CS2" s="93" t="s">
        <v>5649</v>
      </c>
      <c r="CT2" s="93" t="s">
        <v>5649</v>
      </c>
      <c r="CU2" s="93" t="s">
        <v>5649</v>
      </c>
      <c r="CV2" s="93" t="s">
        <v>5649</v>
      </c>
      <c r="CW2" s="93" t="s">
        <v>5649</v>
      </c>
      <c r="CX2" s="93" t="s">
        <v>5653</v>
      </c>
      <c r="CY2" s="93" t="s">
        <v>5649</v>
      </c>
      <c r="CZ2" s="93" t="s">
        <v>5649</v>
      </c>
      <c r="DA2" s="93" t="s">
        <v>5649</v>
      </c>
      <c r="DB2" s="93" t="s">
        <v>5649</v>
      </c>
      <c r="DC2" s="93" t="s">
        <v>5649</v>
      </c>
      <c r="DD2" s="93" t="s">
        <v>5649</v>
      </c>
      <c r="DE2" s="93" t="s">
        <v>5649</v>
      </c>
      <c r="DF2" s="93" t="s">
        <v>5649</v>
      </c>
      <c r="DG2" s="93" t="s">
        <v>5649</v>
      </c>
      <c r="DH2" s="93" t="s">
        <v>5649</v>
      </c>
      <c r="DI2" s="93" t="s">
        <v>5649</v>
      </c>
      <c r="DJ2" s="93" t="s">
        <v>5649</v>
      </c>
      <c r="DK2" s="93" t="s">
        <v>5649</v>
      </c>
      <c r="DL2" s="93" t="s">
        <v>5649</v>
      </c>
      <c r="DM2" s="93" t="s">
        <v>5649</v>
      </c>
      <c r="DN2" s="93" t="s">
        <v>5649</v>
      </c>
      <c r="DO2" s="93" t="s">
        <v>5649</v>
      </c>
      <c r="DP2" s="93" t="s">
        <v>5649</v>
      </c>
      <c r="DQ2" s="93" t="s">
        <v>5649</v>
      </c>
      <c r="DR2" s="93" t="s">
        <v>5649</v>
      </c>
      <c r="DS2" s="93" t="s">
        <v>5649</v>
      </c>
      <c r="DT2" s="93" t="s">
        <v>5649</v>
      </c>
      <c r="DU2" s="93" t="s">
        <v>5649</v>
      </c>
      <c r="DV2" s="93" t="s">
        <v>5649</v>
      </c>
      <c r="DW2" s="93" t="s">
        <v>5649</v>
      </c>
      <c r="DX2" s="93" t="s">
        <v>5649</v>
      </c>
      <c r="DY2" s="93" t="s">
        <v>5649</v>
      </c>
      <c r="DZ2" s="93" t="s">
        <v>5649</v>
      </c>
      <c r="EA2" s="93" t="s">
        <v>5649</v>
      </c>
      <c r="EB2" s="93" t="s">
        <v>5880</v>
      </c>
      <c r="EC2" s="93" t="s">
        <v>5649</v>
      </c>
      <c r="ED2" s="93" t="s">
        <v>5649</v>
      </c>
      <c r="EE2" s="93" t="s">
        <v>5649</v>
      </c>
      <c r="EF2" s="93" t="s">
        <v>5649</v>
      </c>
      <c r="EG2" s="93" t="s">
        <v>5649</v>
      </c>
      <c r="EH2" s="93" t="s">
        <v>5649</v>
      </c>
      <c r="EI2" s="93" t="s">
        <v>5649</v>
      </c>
      <c r="EJ2" s="93" t="s">
        <v>5649</v>
      </c>
      <c r="EK2" s="93" t="s">
        <v>5649</v>
      </c>
      <c r="EL2" s="93" t="s">
        <v>5649</v>
      </c>
      <c r="EM2" s="93" t="s">
        <v>5649</v>
      </c>
      <c r="EN2" s="93" t="s">
        <v>5649</v>
      </c>
      <c r="EO2" s="93" t="s">
        <v>5649</v>
      </c>
      <c r="EP2" s="93" t="s">
        <v>5649</v>
      </c>
      <c r="EQ2" s="93" t="s">
        <v>5649</v>
      </c>
      <c r="ER2" s="93" t="s">
        <v>5649</v>
      </c>
      <c r="ES2" s="93" t="s">
        <v>5649</v>
      </c>
      <c r="ET2" s="93" t="s">
        <v>5649</v>
      </c>
      <c r="EU2" s="93" t="s">
        <v>5649</v>
      </c>
      <c r="EV2" s="93" t="s">
        <v>5649</v>
      </c>
      <c r="EW2" s="93" t="s">
        <v>5649</v>
      </c>
      <c r="EX2" s="93" t="s">
        <v>5649</v>
      </c>
      <c r="EY2" s="93" t="s">
        <v>5649</v>
      </c>
      <c r="EZ2" s="93" t="s">
        <v>5649</v>
      </c>
      <c r="FA2" s="93" t="s">
        <v>5649</v>
      </c>
      <c r="FB2" s="93" t="s">
        <v>5649</v>
      </c>
      <c r="FC2" s="93" t="s">
        <v>5649</v>
      </c>
      <c r="FD2" s="93" t="s">
        <v>5649</v>
      </c>
      <c r="FE2" s="93" t="s">
        <v>5649</v>
      </c>
      <c r="FF2" s="93" t="s">
        <v>5944</v>
      </c>
      <c r="FG2" s="93" t="s">
        <v>5649</v>
      </c>
      <c r="FH2" s="93" t="s">
        <v>5649</v>
      </c>
      <c r="FI2" s="93" t="s">
        <v>5649</v>
      </c>
      <c r="FJ2" s="93" t="s">
        <v>5649</v>
      </c>
      <c r="FK2" s="93" t="s">
        <v>5649</v>
      </c>
      <c r="FL2" s="93" t="s">
        <v>5649</v>
      </c>
      <c r="FM2" s="93" t="s">
        <v>5649</v>
      </c>
      <c r="FN2" s="93" t="s">
        <v>5649</v>
      </c>
      <c r="FO2" s="93" t="s">
        <v>5649</v>
      </c>
      <c r="FP2" s="93" t="s">
        <v>5649</v>
      </c>
      <c r="FQ2" s="93" t="s">
        <v>5649</v>
      </c>
      <c r="FR2" s="93" t="s">
        <v>5649</v>
      </c>
      <c r="FS2" s="93" t="s">
        <v>5649</v>
      </c>
      <c r="FT2" s="93" t="s">
        <v>5649</v>
      </c>
      <c r="FU2" s="93" t="s">
        <v>5649</v>
      </c>
      <c r="FV2" s="93" t="s">
        <v>5649</v>
      </c>
      <c r="FW2" s="93" t="s">
        <v>5649</v>
      </c>
      <c r="FX2" s="93" t="s">
        <v>5649</v>
      </c>
      <c r="FY2" s="93" t="s">
        <v>5649</v>
      </c>
      <c r="FZ2" s="93" t="s">
        <v>5649</v>
      </c>
      <c r="GA2" s="93" t="s">
        <v>5649</v>
      </c>
      <c r="GB2" s="93" t="s">
        <v>5649</v>
      </c>
      <c r="GC2" s="93" t="s">
        <v>5649</v>
      </c>
      <c r="GD2" s="93" t="s">
        <v>5649</v>
      </c>
      <c r="GE2" s="93" t="s">
        <v>5649</v>
      </c>
      <c r="GF2" s="93" t="s">
        <v>5649</v>
      </c>
      <c r="GG2" s="93" t="s">
        <v>5649</v>
      </c>
      <c r="GH2" s="93" t="s">
        <v>5649</v>
      </c>
      <c r="GI2" s="93" t="s">
        <v>5649</v>
      </c>
      <c r="GJ2" s="93" t="s">
        <v>5945</v>
      </c>
      <c r="GK2" s="93" t="s">
        <v>5649</v>
      </c>
      <c r="GL2" s="93" t="s">
        <v>5649</v>
      </c>
      <c r="GM2" s="93" t="s">
        <v>5649</v>
      </c>
      <c r="GN2" s="93" t="s">
        <v>5649</v>
      </c>
      <c r="GO2" s="93" t="s">
        <v>5649</v>
      </c>
      <c r="GP2" s="93" t="s">
        <v>5649</v>
      </c>
      <c r="GQ2" s="93" t="s">
        <v>5649</v>
      </c>
      <c r="GR2" s="93" t="s">
        <v>5649</v>
      </c>
      <c r="GS2" s="93" t="s">
        <v>5649</v>
      </c>
      <c r="GT2" s="93" t="s">
        <v>5649</v>
      </c>
      <c r="GU2" s="93" t="s">
        <v>5649</v>
      </c>
      <c r="GV2" s="93" t="s">
        <v>5649</v>
      </c>
      <c r="GW2" s="93" t="s">
        <v>5649</v>
      </c>
      <c r="GX2" s="93" t="s">
        <v>5649</v>
      </c>
      <c r="GY2" s="93" t="s">
        <v>5649</v>
      </c>
      <c r="GZ2" s="93" t="s">
        <v>5649</v>
      </c>
      <c r="HA2" s="93" t="s">
        <v>5649</v>
      </c>
      <c r="HB2" s="93" t="s">
        <v>5649</v>
      </c>
      <c r="HC2" s="93" t="s">
        <v>5649</v>
      </c>
      <c r="HD2" s="93" t="s">
        <v>5649</v>
      </c>
      <c r="HE2" s="93" t="s">
        <v>5649</v>
      </c>
      <c r="HF2" s="93" t="s">
        <v>5649</v>
      </c>
      <c r="HG2" s="93" t="s">
        <v>5649</v>
      </c>
      <c r="HH2" s="93" t="s">
        <v>5649</v>
      </c>
      <c r="HI2" s="93" t="s">
        <v>5649</v>
      </c>
      <c r="HJ2" s="93" t="s">
        <v>5649</v>
      </c>
      <c r="HK2" s="93" t="s">
        <v>5649</v>
      </c>
      <c r="HL2" s="93" t="s">
        <v>5649</v>
      </c>
      <c r="HM2" s="93" t="s">
        <v>5649</v>
      </c>
      <c r="HN2" s="93" t="s">
        <v>5977</v>
      </c>
      <c r="HO2" s="89"/>
      <c r="HP2" s="89"/>
    </row>
    <row r="3" spans="1:224" ht="30" hidden="1">
      <c r="A3" s="80" t="s">
        <v>17</v>
      </c>
      <c r="B3" s="93" t="s">
        <v>6663</v>
      </c>
      <c r="C3" s="93" t="s">
        <v>6663</v>
      </c>
      <c r="D3" s="80" t="s">
        <v>18</v>
      </c>
      <c r="E3" s="80" t="s">
        <v>18</v>
      </c>
      <c r="F3" s="80" t="s">
        <v>18</v>
      </c>
      <c r="G3" s="80" t="s">
        <v>18</v>
      </c>
      <c r="H3" s="80" t="s">
        <v>18</v>
      </c>
      <c r="I3" s="80" t="s">
        <v>18</v>
      </c>
      <c r="J3" s="80" t="s">
        <v>18</v>
      </c>
      <c r="K3" s="80" t="s">
        <v>18</v>
      </c>
      <c r="L3" s="80" t="s">
        <v>18</v>
      </c>
      <c r="M3" s="80" t="s">
        <v>18</v>
      </c>
      <c r="N3" s="80" t="s">
        <v>18</v>
      </c>
      <c r="O3" s="80" t="s">
        <v>18</v>
      </c>
      <c r="P3" s="80" t="s">
        <v>18</v>
      </c>
      <c r="Q3" s="80" t="s">
        <v>18</v>
      </c>
      <c r="R3" s="80" t="s">
        <v>18</v>
      </c>
      <c r="S3" s="80" t="s">
        <v>18</v>
      </c>
      <c r="T3" s="80" t="s">
        <v>18</v>
      </c>
      <c r="U3" s="80" t="s">
        <v>18</v>
      </c>
      <c r="V3" s="80" t="s">
        <v>18</v>
      </c>
      <c r="W3" s="80" t="s">
        <v>18</v>
      </c>
      <c r="X3" s="80" t="s">
        <v>18</v>
      </c>
      <c r="Y3" s="80" t="s">
        <v>18</v>
      </c>
      <c r="Z3" s="80" t="s">
        <v>18</v>
      </c>
      <c r="AA3" s="80" t="s">
        <v>18</v>
      </c>
      <c r="AB3" s="80" t="s">
        <v>18</v>
      </c>
      <c r="AC3" s="80" t="s">
        <v>18</v>
      </c>
      <c r="AD3" s="80" t="s">
        <v>18</v>
      </c>
      <c r="AE3" s="80" t="s">
        <v>18</v>
      </c>
      <c r="AF3" s="80" t="s">
        <v>18</v>
      </c>
      <c r="AG3" s="80" t="s">
        <v>19</v>
      </c>
      <c r="AH3" s="80" t="s">
        <v>19</v>
      </c>
      <c r="AI3" s="80" t="s">
        <v>19</v>
      </c>
      <c r="AJ3" s="80" t="s">
        <v>19</v>
      </c>
      <c r="AK3" s="80" t="s">
        <v>19</v>
      </c>
      <c r="AL3" s="80" t="s">
        <v>19</v>
      </c>
      <c r="AM3" s="80" t="s">
        <v>19</v>
      </c>
      <c r="AN3" s="80" t="s">
        <v>19</v>
      </c>
      <c r="AO3" s="80" t="s">
        <v>19</v>
      </c>
      <c r="AP3" s="80" t="s">
        <v>19</v>
      </c>
      <c r="AQ3" s="80" t="s">
        <v>19</v>
      </c>
      <c r="AR3" s="80" t="s">
        <v>19</v>
      </c>
      <c r="AS3" s="80" t="s">
        <v>19</v>
      </c>
      <c r="AT3" s="80" t="s">
        <v>19</v>
      </c>
      <c r="AU3" s="80" t="s">
        <v>19</v>
      </c>
      <c r="AV3" s="80" t="s">
        <v>19</v>
      </c>
      <c r="AW3" s="80" t="s">
        <v>19</v>
      </c>
      <c r="AX3" s="80" t="s">
        <v>19</v>
      </c>
      <c r="AY3" s="80" t="s">
        <v>19</v>
      </c>
      <c r="AZ3" s="80" t="s">
        <v>19</v>
      </c>
      <c r="BA3" s="80" t="s">
        <v>19</v>
      </c>
      <c r="BB3" s="80" t="s">
        <v>19</v>
      </c>
      <c r="BC3" s="80" t="s">
        <v>19</v>
      </c>
      <c r="BD3" s="80" t="s">
        <v>19</v>
      </c>
      <c r="BE3" s="80" t="s">
        <v>19</v>
      </c>
      <c r="BF3" s="80" t="s">
        <v>19</v>
      </c>
      <c r="BG3" s="80" t="s">
        <v>19</v>
      </c>
      <c r="BH3" s="80" t="s">
        <v>19</v>
      </c>
      <c r="BI3" s="80" t="s">
        <v>19</v>
      </c>
      <c r="BJ3" s="81" t="s">
        <v>20</v>
      </c>
      <c r="BK3" s="81" t="s">
        <v>21</v>
      </c>
      <c r="BL3" s="81" t="s">
        <v>22</v>
      </c>
      <c r="BM3" s="81" t="s">
        <v>22</v>
      </c>
      <c r="BN3" s="80" t="s">
        <v>23</v>
      </c>
      <c r="BO3" s="80" t="s">
        <v>23</v>
      </c>
      <c r="BP3" s="80" t="s">
        <v>24</v>
      </c>
      <c r="BQ3" s="80" t="s">
        <v>24</v>
      </c>
      <c r="BR3" s="80" t="s">
        <v>25</v>
      </c>
      <c r="BS3" s="158" t="s">
        <v>37</v>
      </c>
      <c r="BT3" s="80" t="s">
        <v>26</v>
      </c>
      <c r="BU3" s="79" t="s">
        <v>5654</v>
      </c>
      <c r="BV3" s="79" t="s">
        <v>5654</v>
      </c>
      <c r="BW3" s="79" t="s">
        <v>5654</v>
      </c>
      <c r="BX3" s="79" t="s">
        <v>5654</v>
      </c>
      <c r="BY3" s="79" t="s">
        <v>5654</v>
      </c>
      <c r="BZ3" s="79" t="s">
        <v>5654</v>
      </c>
      <c r="CA3" s="79" t="s">
        <v>5654</v>
      </c>
      <c r="CB3" s="79" t="s">
        <v>5654</v>
      </c>
      <c r="CC3" s="79" t="s">
        <v>5654</v>
      </c>
      <c r="CD3" s="79" t="s">
        <v>5654</v>
      </c>
      <c r="CE3" s="79" t="s">
        <v>5654</v>
      </c>
      <c r="CF3" s="79" t="s">
        <v>5654</v>
      </c>
      <c r="CG3" s="79" t="s">
        <v>5654</v>
      </c>
      <c r="CH3" s="79" t="s">
        <v>5654</v>
      </c>
      <c r="CI3" s="79" t="s">
        <v>5654</v>
      </c>
      <c r="CJ3" s="79" t="s">
        <v>5654</v>
      </c>
      <c r="CK3" s="79" t="s">
        <v>5654</v>
      </c>
      <c r="CL3" s="79" t="s">
        <v>5654</v>
      </c>
      <c r="CM3" s="79" t="s">
        <v>5654</v>
      </c>
      <c r="CN3" s="79" t="s">
        <v>5654</v>
      </c>
      <c r="CO3" s="79" t="s">
        <v>5654</v>
      </c>
      <c r="CP3" s="79" t="s">
        <v>5654</v>
      </c>
      <c r="CQ3" s="79" t="s">
        <v>5654</v>
      </c>
      <c r="CR3" s="79" t="s">
        <v>5654</v>
      </c>
      <c r="CS3" s="79" t="s">
        <v>5654</v>
      </c>
      <c r="CT3" s="79" t="s">
        <v>5654</v>
      </c>
      <c r="CU3" s="79" t="s">
        <v>5654</v>
      </c>
      <c r="CV3" s="79" t="s">
        <v>5654</v>
      </c>
      <c r="CW3" s="79" t="s">
        <v>5654</v>
      </c>
      <c r="CX3" s="93" t="s">
        <v>5650</v>
      </c>
      <c r="CY3" s="79" t="s">
        <v>5654</v>
      </c>
      <c r="CZ3" s="79" t="s">
        <v>5654</v>
      </c>
      <c r="DA3" s="79" t="s">
        <v>5654</v>
      </c>
      <c r="DB3" s="79" t="s">
        <v>5654</v>
      </c>
      <c r="DC3" s="79" t="s">
        <v>5654</v>
      </c>
      <c r="DD3" s="79" t="s">
        <v>5654</v>
      </c>
      <c r="DE3" s="79" t="s">
        <v>5654</v>
      </c>
      <c r="DF3" s="79" t="s">
        <v>5654</v>
      </c>
      <c r="DG3" s="79" t="s">
        <v>5654</v>
      </c>
      <c r="DH3" s="79" t="s">
        <v>5654</v>
      </c>
      <c r="DI3" s="79" t="s">
        <v>5654</v>
      </c>
      <c r="DJ3" s="79" t="s">
        <v>5654</v>
      </c>
      <c r="DK3" s="79" t="s">
        <v>5654</v>
      </c>
      <c r="DL3" s="79" t="s">
        <v>5654</v>
      </c>
      <c r="DM3" s="79" t="s">
        <v>5654</v>
      </c>
      <c r="DN3" s="79" t="s">
        <v>5654</v>
      </c>
      <c r="DO3" s="79" t="s">
        <v>5654</v>
      </c>
      <c r="DP3" s="79" t="s">
        <v>5654</v>
      </c>
      <c r="DQ3" s="79" t="s">
        <v>5654</v>
      </c>
      <c r="DR3" s="79" t="s">
        <v>5654</v>
      </c>
      <c r="DS3" s="79" t="s">
        <v>5654</v>
      </c>
      <c r="DT3" s="79" t="s">
        <v>5654</v>
      </c>
      <c r="DU3" s="79" t="s">
        <v>5654</v>
      </c>
      <c r="DV3" s="79" t="s">
        <v>5654</v>
      </c>
      <c r="DW3" s="79" t="s">
        <v>5654</v>
      </c>
      <c r="DX3" s="79" t="s">
        <v>5654</v>
      </c>
      <c r="DY3" s="79" t="s">
        <v>5654</v>
      </c>
      <c r="DZ3" s="79" t="s">
        <v>5654</v>
      </c>
      <c r="EA3" s="79" t="s">
        <v>5654</v>
      </c>
      <c r="EB3" s="93" t="s">
        <v>5650</v>
      </c>
      <c r="EC3" s="79" t="s">
        <v>5654</v>
      </c>
      <c r="ED3" s="79" t="s">
        <v>5654</v>
      </c>
      <c r="EE3" s="79" t="s">
        <v>5654</v>
      </c>
      <c r="EF3" s="79" t="s">
        <v>5654</v>
      </c>
      <c r="EG3" s="79" t="s">
        <v>5654</v>
      </c>
      <c r="EH3" s="79" t="s">
        <v>5654</v>
      </c>
      <c r="EI3" s="79" t="s">
        <v>5654</v>
      </c>
      <c r="EJ3" s="79" t="s">
        <v>5654</v>
      </c>
      <c r="EK3" s="79" t="s">
        <v>5654</v>
      </c>
      <c r="EL3" s="79" t="s">
        <v>5654</v>
      </c>
      <c r="EM3" s="79" t="s">
        <v>5654</v>
      </c>
      <c r="EN3" s="79" t="s">
        <v>5654</v>
      </c>
      <c r="EO3" s="79" t="s">
        <v>5654</v>
      </c>
      <c r="EP3" s="79" t="s">
        <v>5654</v>
      </c>
      <c r="EQ3" s="79" t="s">
        <v>5654</v>
      </c>
      <c r="ER3" s="79" t="s">
        <v>5654</v>
      </c>
      <c r="ES3" s="79" t="s">
        <v>5654</v>
      </c>
      <c r="ET3" s="79" t="s">
        <v>5654</v>
      </c>
      <c r="EU3" s="79" t="s">
        <v>5654</v>
      </c>
      <c r="EV3" s="79" t="s">
        <v>5654</v>
      </c>
      <c r="EW3" s="79" t="s">
        <v>5654</v>
      </c>
      <c r="EX3" s="79" t="s">
        <v>5654</v>
      </c>
      <c r="EY3" s="79" t="s">
        <v>5654</v>
      </c>
      <c r="EZ3" s="79" t="s">
        <v>5654</v>
      </c>
      <c r="FA3" s="79" t="s">
        <v>5654</v>
      </c>
      <c r="FB3" s="79" t="s">
        <v>5654</v>
      </c>
      <c r="FC3" s="79" t="s">
        <v>5654</v>
      </c>
      <c r="FD3" s="79" t="s">
        <v>5654</v>
      </c>
      <c r="FE3" s="79" t="s">
        <v>5654</v>
      </c>
      <c r="FF3" s="93" t="s">
        <v>5650</v>
      </c>
      <c r="FG3" s="79" t="s">
        <v>5654</v>
      </c>
      <c r="FH3" s="79" t="s">
        <v>5654</v>
      </c>
      <c r="FI3" s="79" t="s">
        <v>5654</v>
      </c>
      <c r="FJ3" s="79" t="s">
        <v>5654</v>
      </c>
      <c r="FK3" s="79" t="s">
        <v>5654</v>
      </c>
      <c r="FL3" s="79" t="s">
        <v>5654</v>
      </c>
      <c r="FM3" s="79" t="s">
        <v>5654</v>
      </c>
      <c r="FN3" s="79" t="s">
        <v>5654</v>
      </c>
      <c r="FO3" s="79" t="s">
        <v>5654</v>
      </c>
      <c r="FP3" s="79" t="s">
        <v>5654</v>
      </c>
      <c r="FQ3" s="79" t="s">
        <v>5654</v>
      </c>
      <c r="FR3" s="79" t="s">
        <v>5654</v>
      </c>
      <c r="FS3" s="79" t="s">
        <v>5654</v>
      </c>
      <c r="FT3" s="79" t="s">
        <v>5654</v>
      </c>
      <c r="FU3" s="79" t="s">
        <v>5654</v>
      </c>
      <c r="FV3" s="79" t="s">
        <v>5654</v>
      </c>
      <c r="FW3" s="79" t="s">
        <v>5654</v>
      </c>
      <c r="FX3" s="79" t="s">
        <v>5654</v>
      </c>
      <c r="FY3" s="79" t="s">
        <v>5654</v>
      </c>
      <c r="FZ3" s="79" t="s">
        <v>5654</v>
      </c>
      <c r="GA3" s="79" t="s">
        <v>5654</v>
      </c>
      <c r="GB3" s="79" t="s">
        <v>5654</v>
      </c>
      <c r="GC3" s="79" t="s">
        <v>5654</v>
      </c>
      <c r="GD3" s="79" t="s">
        <v>5654</v>
      </c>
      <c r="GE3" s="79" t="s">
        <v>5654</v>
      </c>
      <c r="GF3" s="79" t="s">
        <v>5654</v>
      </c>
      <c r="GG3" s="79" t="s">
        <v>5654</v>
      </c>
      <c r="GH3" s="79" t="s">
        <v>5654</v>
      </c>
      <c r="GI3" s="79" t="s">
        <v>5654</v>
      </c>
      <c r="GJ3" s="93" t="s">
        <v>5650</v>
      </c>
      <c r="GK3" s="79" t="s">
        <v>5654</v>
      </c>
      <c r="GL3" s="79" t="s">
        <v>5654</v>
      </c>
      <c r="GM3" s="79" t="s">
        <v>5654</v>
      </c>
      <c r="GN3" s="79" t="s">
        <v>5654</v>
      </c>
      <c r="GO3" s="79" t="s">
        <v>5654</v>
      </c>
      <c r="GP3" s="79" t="s">
        <v>5654</v>
      </c>
      <c r="GQ3" s="79" t="s">
        <v>5654</v>
      </c>
      <c r="GR3" s="79" t="s">
        <v>5654</v>
      </c>
      <c r="GS3" s="79" t="s">
        <v>5654</v>
      </c>
      <c r="GT3" s="79" t="s">
        <v>5654</v>
      </c>
      <c r="GU3" s="79" t="s">
        <v>5654</v>
      </c>
      <c r="GV3" s="79" t="s">
        <v>5654</v>
      </c>
      <c r="GW3" s="79" t="s">
        <v>5654</v>
      </c>
      <c r="GX3" s="79" t="s">
        <v>5654</v>
      </c>
      <c r="GY3" s="79" t="s">
        <v>5654</v>
      </c>
      <c r="GZ3" s="79" t="s">
        <v>5654</v>
      </c>
      <c r="HA3" s="79" t="s">
        <v>5654</v>
      </c>
      <c r="HB3" s="79" t="s">
        <v>5654</v>
      </c>
      <c r="HC3" s="79" t="s">
        <v>5654</v>
      </c>
      <c r="HD3" s="79" t="s">
        <v>5654</v>
      </c>
      <c r="HE3" s="79" t="s">
        <v>5654</v>
      </c>
      <c r="HF3" s="79" t="s">
        <v>5654</v>
      </c>
      <c r="HG3" s="79" t="s">
        <v>5654</v>
      </c>
      <c r="HH3" s="79" t="s">
        <v>5654</v>
      </c>
      <c r="HI3" s="79" t="s">
        <v>5654</v>
      </c>
      <c r="HJ3" s="79" t="s">
        <v>5654</v>
      </c>
      <c r="HK3" s="79" t="s">
        <v>5654</v>
      </c>
      <c r="HL3" s="79" t="s">
        <v>5654</v>
      </c>
      <c r="HM3" s="79" t="s">
        <v>5654</v>
      </c>
      <c r="HN3" s="93" t="s">
        <v>5650</v>
      </c>
      <c r="HO3" s="89"/>
      <c r="HP3" s="89"/>
    </row>
    <row r="4" spans="1:224" ht="15" hidden="1">
      <c r="A4" s="80" t="s">
        <v>27</v>
      </c>
      <c r="B4" s="93" t="s">
        <v>29</v>
      </c>
      <c r="C4" s="93"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28</v>
      </c>
      <c r="BI4" s="80" t="s">
        <v>28</v>
      </c>
      <c r="BJ4" s="81" t="s">
        <v>28</v>
      </c>
      <c r="BK4" s="81" t="s">
        <v>28</v>
      </c>
      <c r="BL4" s="81" t="s">
        <v>29</v>
      </c>
      <c r="BM4" s="81" t="s">
        <v>30</v>
      </c>
      <c r="BN4" s="80" t="s">
        <v>29</v>
      </c>
      <c r="BO4" s="80" t="s">
        <v>30</v>
      </c>
      <c r="BP4" s="80" t="s">
        <v>29</v>
      </c>
      <c r="BQ4" s="80" t="s">
        <v>30</v>
      </c>
      <c r="BR4" s="80" t="s">
        <v>31</v>
      </c>
      <c r="BS4" s="268" t="s">
        <v>31</v>
      </c>
      <c r="BT4" s="80" t="s">
        <v>28</v>
      </c>
      <c r="BU4" s="93" t="s">
        <v>31</v>
      </c>
      <c r="BV4" s="93" t="s">
        <v>31</v>
      </c>
      <c r="BW4" s="93" t="s">
        <v>31</v>
      </c>
      <c r="BX4" s="93" t="s">
        <v>31</v>
      </c>
      <c r="BY4" s="93" t="s">
        <v>31</v>
      </c>
      <c r="BZ4" s="93" t="s">
        <v>31</v>
      </c>
      <c r="CA4" s="93" t="s">
        <v>31</v>
      </c>
      <c r="CB4" s="93" t="s">
        <v>31</v>
      </c>
      <c r="CC4" s="93" t="s">
        <v>31</v>
      </c>
      <c r="CD4" s="93" t="s">
        <v>31</v>
      </c>
      <c r="CE4" s="93" t="s">
        <v>31</v>
      </c>
      <c r="CF4" s="93" t="s">
        <v>31</v>
      </c>
      <c r="CG4" s="93" t="s">
        <v>31</v>
      </c>
      <c r="CH4" s="93" t="s">
        <v>31</v>
      </c>
      <c r="CI4" s="93" t="s">
        <v>31</v>
      </c>
      <c r="CJ4" s="93" t="s">
        <v>31</v>
      </c>
      <c r="CK4" s="93" t="s">
        <v>31</v>
      </c>
      <c r="CL4" s="93" t="s">
        <v>31</v>
      </c>
      <c r="CM4" s="93" t="s">
        <v>31</v>
      </c>
      <c r="CN4" s="93" t="s">
        <v>31</v>
      </c>
      <c r="CO4" s="93" t="s">
        <v>31</v>
      </c>
      <c r="CP4" s="93" t="s">
        <v>31</v>
      </c>
      <c r="CQ4" s="93" t="s">
        <v>31</v>
      </c>
      <c r="CR4" s="93" t="s">
        <v>31</v>
      </c>
      <c r="CS4" s="93" t="s">
        <v>31</v>
      </c>
      <c r="CT4" s="93" t="s">
        <v>31</v>
      </c>
      <c r="CU4" s="93" t="s">
        <v>31</v>
      </c>
      <c r="CV4" s="93" t="s">
        <v>31</v>
      </c>
      <c r="CW4" s="93" t="s">
        <v>31</v>
      </c>
      <c r="CX4" s="93" t="s">
        <v>31</v>
      </c>
      <c r="CY4" s="93" t="s">
        <v>31</v>
      </c>
      <c r="CZ4" s="93" t="s">
        <v>31</v>
      </c>
      <c r="DA4" s="93" t="s">
        <v>31</v>
      </c>
      <c r="DB4" s="93" t="s">
        <v>31</v>
      </c>
      <c r="DC4" s="93" t="s">
        <v>31</v>
      </c>
      <c r="DD4" s="93" t="s">
        <v>31</v>
      </c>
      <c r="DE4" s="93" t="s">
        <v>31</v>
      </c>
      <c r="DF4" s="93" t="s">
        <v>31</v>
      </c>
      <c r="DG4" s="93" t="s">
        <v>31</v>
      </c>
      <c r="DH4" s="93" t="s">
        <v>31</v>
      </c>
      <c r="DI4" s="93" t="s">
        <v>31</v>
      </c>
      <c r="DJ4" s="93" t="s">
        <v>31</v>
      </c>
      <c r="DK4" s="93" t="s">
        <v>31</v>
      </c>
      <c r="DL4" s="93" t="s">
        <v>31</v>
      </c>
      <c r="DM4" s="93" t="s">
        <v>31</v>
      </c>
      <c r="DN4" s="93" t="s">
        <v>31</v>
      </c>
      <c r="DO4" s="93" t="s">
        <v>31</v>
      </c>
      <c r="DP4" s="93" t="s">
        <v>31</v>
      </c>
      <c r="DQ4" s="93" t="s">
        <v>31</v>
      </c>
      <c r="DR4" s="93" t="s">
        <v>31</v>
      </c>
      <c r="DS4" s="93" t="s">
        <v>31</v>
      </c>
      <c r="DT4" s="93" t="s">
        <v>31</v>
      </c>
      <c r="DU4" s="93" t="s">
        <v>31</v>
      </c>
      <c r="DV4" s="93" t="s">
        <v>31</v>
      </c>
      <c r="DW4" s="93" t="s">
        <v>31</v>
      </c>
      <c r="DX4" s="93" t="s">
        <v>31</v>
      </c>
      <c r="DY4" s="93" t="s">
        <v>31</v>
      </c>
      <c r="DZ4" s="93" t="s">
        <v>31</v>
      </c>
      <c r="EA4" s="93" t="s">
        <v>31</v>
      </c>
      <c r="EB4" s="93" t="s">
        <v>31</v>
      </c>
      <c r="EC4" s="93" t="s">
        <v>31</v>
      </c>
      <c r="ED4" s="93" t="s">
        <v>31</v>
      </c>
      <c r="EE4" s="93" t="s">
        <v>31</v>
      </c>
      <c r="EF4" s="93" t="s">
        <v>31</v>
      </c>
      <c r="EG4" s="93" t="s">
        <v>31</v>
      </c>
      <c r="EH4" s="93" t="s">
        <v>31</v>
      </c>
      <c r="EI4" s="93" t="s">
        <v>31</v>
      </c>
      <c r="EJ4" s="93" t="s">
        <v>31</v>
      </c>
      <c r="EK4" s="93" t="s">
        <v>31</v>
      </c>
      <c r="EL4" s="93" t="s">
        <v>31</v>
      </c>
      <c r="EM4" s="93" t="s">
        <v>31</v>
      </c>
      <c r="EN4" s="93" t="s">
        <v>31</v>
      </c>
      <c r="EO4" s="93" t="s">
        <v>31</v>
      </c>
      <c r="EP4" s="93" t="s">
        <v>31</v>
      </c>
      <c r="EQ4" s="93" t="s">
        <v>31</v>
      </c>
      <c r="ER4" s="93" t="s">
        <v>31</v>
      </c>
      <c r="ES4" s="93" t="s">
        <v>31</v>
      </c>
      <c r="ET4" s="93" t="s">
        <v>31</v>
      </c>
      <c r="EU4" s="93" t="s">
        <v>31</v>
      </c>
      <c r="EV4" s="93" t="s">
        <v>31</v>
      </c>
      <c r="EW4" s="93" t="s">
        <v>31</v>
      </c>
      <c r="EX4" s="93" t="s">
        <v>31</v>
      </c>
      <c r="EY4" s="93" t="s">
        <v>31</v>
      </c>
      <c r="EZ4" s="93" t="s">
        <v>31</v>
      </c>
      <c r="FA4" s="93" t="s">
        <v>31</v>
      </c>
      <c r="FB4" s="93" t="s">
        <v>31</v>
      </c>
      <c r="FC4" s="93" t="s">
        <v>31</v>
      </c>
      <c r="FD4" s="93" t="s">
        <v>31</v>
      </c>
      <c r="FE4" s="93" t="s">
        <v>31</v>
      </c>
      <c r="FF4" s="93" t="s">
        <v>31</v>
      </c>
      <c r="FG4" s="93" t="s">
        <v>31</v>
      </c>
      <c r="FH4" s="93" t="s">
        <v>31</v>
      </c>
      <c r="FI4" s="93" t="s">
        <v>31</v>
      </c>
      <c r="FJ4" s="93" t="s">
        <v>31</v>
      </c>
      <c r="FK4" s="93" t="s">
        <v>31</v>
      </c>
      <c r="FL4" s="93" t="s">
        <v>31</v>
      </c>
      <c r="FM4" s="93" t="s">
        <v>31</v>
      </c>
      <c r="FN4" s="93" t="s">
        <v>31</v>
      </c>
      <c r="FO4" s="93" t="s">
        <v>31</v>
      </c>
      <c r="FP4" s="93" t="s">
        <v>31</v>
      </c>
      <c r="FQ4" s="93" t="s">
        <v>31</v>
      </c>
      <c r="FR4" s="93" t="s">
        <v>31</v>
      </c>
      <c r="FS4" s="93" t="s">
        <v>31</v>
      </c>
      <c r="FT4" s="93" t="s">
        <v>31</v>
      </c>
      <c r="FU4" s="93" t="s">
        <v>31</v>
      </c>
      <c r="FV4" s="93" t="s">
        <v>31</v>
      </c>
      <c r="FW4" s="93" t="s">
        <v>31</v>
      </c>
      <c r="FX4" s="93" t="s">
        <v>31</v>
      </c>
      <c r="FY4" s="93" t="s">
        <v>31</v>
      </c>
      <c r="FZ4" s="93" t="s">
        <v>31</v>
      </c>
      <c r="GA4" s="93" t="s">
        <v>31</v>
      </c>
      <c r="GB4" s="93" t="s">
        <v>31</v>
      </c>
      <c r="GC4" s="93" t="s">
        <v>31</v>
      </c>
      <c r="GD4" s="93" t="s">
        <v>31</v>
      </c>
      <c r="GE4" s="93" t="s">
        <v>31</v>
      </c>
      <c r="GF4" s="93" t="s">
        <v>31</v>
      </c>
      <c r="GG4" s="93" t="s">
        <v>31</v>
      </c>
      <c r="GH4" s="93" t="s">
        <v>31</v>
      </c>
      <c r="GI4" s="93" t="s">
        <v>31</v>
      </c>
      <c r="GJ4" s="93" t="s">
        <v>31</v>
      </c>
      <c r="GK4" s="93" t="s">
        <v>31</v>
      </c>
      <c r="GL4" s="93" t="s">
        <v>31</v>
      </c>
      <c r="GM4" s="93" t="s">
        <v>31</v>
      </c>
      <c r="GN4" s="93" t="s">
        <v>31</v>
      </c>
      <c r="GO4" s="93" t="s">
        <v>31</v>
      </c>
      <c r="GP4" s="93" t="s">
        <v>31</v>
      </c>
      <c r="GQ4" s="93" t="s">
        <v>31</v>
      </c>
      <c r="GR4" s="93" t="s">
        <v>31</v>
      </c>
      <c r="GS4" s="93" t="s">
        <v>31</v>
      </c>
      <c r="GT4" s="93" t="s">
        <v>31</v>
      </c>
      <c r="GU4" s="93" t="s">
        <v>31</v>
      </c>
      <c r="GV4" s="93" t="s">
        <v>31</v>
      </c>
      <c r="GW4" s="93" t="s">
        <v>31</v>
      </c>
      <c r="GX4" s="93" t="s">
        <v>31</v>
      </c>
      <c r="GY4" s="93" t="s">
        <v>31</v>
      </c>
      <c r="GZ4" s="93" t="s">
        <v>31</v>
      </c>
      <c r="HA4" s="93" t="s">
        <v>31</v>
      </c>
      <c r="HB4" s="93" t="s">
        <v>31</v>
      </c>
      <c r="HC4" s="93" t="s">
        <v>31</v>
      </c>
      <c r="HD4" s="93" t="s">
        <v>31</v>
      </c>
      <c r="HE4" s="93" t="s">
        <v>31</v>
      </c>
      <c r="HF4" s="93" t="s">
        <v>31</v>
      </c>
      <c r="HG4" s="93" t="s">
        <v>31</v>
      </c>
      <c r="HH4" s="93" t="s">
        <v>31</v>
      </c>
      <c r="HI4" s="93" t="s">
        <v>31</v>
      </c>
      <c r="HJ4" s="93" t="s">
        <v>31</v>
      </c>
      <c r="HK4" s="93" t="s">
        <v>31</v>
      </c>
      <c r="HL4" s="93" t="s">
        <v>31</v>
      </c>
      <c r="HM4" s="93" t="s">
        <v>31</v>
      </c>
      <c r="HN4" s="93" t="s">
        <v>31</v>
      </c>
      <c r="HO4" s="89"/>
      <c r="HP4" s="89"/>
    </row>
    <row r="5" spans="1:224" ht="15" hidden="1">
      <c r="A5" s="80" t="s">
        <v>32</v>
      </c>
      <c r="B5" s="93"/>
      <c r="C5" s="93"/>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t="s">
        <v>33</v>
      </c>
      <c r="BI5" s="80" t="s">
        <v>33</v>
      </c>
      <c r="BJ5" s="81"/>
      <c r="BK5" s="81"/>
      <c r="BL5" s="81"/>
      <c r="BM5" s="81" t="s">
        <v>34</v>
      </c>
      <c r="BN5" s="80" t="s">
        <v>35</v>
      </c>
      <c r="BO5" s="80" t="s">
        <v>35</v>
      </c>
      <c r="BP5" s="80" t="s">
        <v>36</v>
      </c>
      <c r="BQ5" s="80" t="s">
        <v>36</v>
      </c>
      <c r="BR5" s="80" t="s">
        <v>37</v>
      </c>
      <c r="BS5" s="268"/>
      <c r="BT5" s="80" t="s">
        <v>38</v>
      </c>
      <c r="HO5" s="89"/>
      <c r="HP5" s="89"/>
    </row>
    <row r="6" spans="1:224" ht="15" hidden="1">
      <c r="A6" s="80" t="s">
        <v>39</v>
      </c>
      <c r="B6" s="93"/>
      <c r="C6" s="93"/>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1"/>
      <c r="BK6" s="81"/>
      <c r="BL6" s="80"/>
      <c r="BM6" s="80"/>
      <c r="BN6" s="80"/>
      <c r="BO6" s="80"/>
      <c r="BP6" s="80"/>
      <c r="BQ6" s="80"/>
      <c r="BR6" s="80">
        <v>1</v>
      </c>
      <c r="BS6" s="268"/>
      <c r="BT6" s="80"/>
      <c r="BU6" s="79">
        <v>1</v>
      </c>
      <c r="BV6" s="79">
        <v>1</v>
      </c>
      <c r="BW6" s="79">
        <v>1</v>
      </c>
      <c r="BX6" s="79">
        <v>1</v>
      </c>
      <c r="BY6" s="79">
        <v>1</v>
      </c>
      <c r="BZ6" s="79">
        <v>1</v>
      </c>
      <c r="CA6" s="79">
        <v>1</v>
      </c>
      <c r="CB6" s="79">
        <v>1</v>
      </c>
      <c r="CC6" s="79">
        <v>1</v>
      </c>
      <c r="CD6" s="79">
        <v>1</v>
      </c>
      <c r="CE6" s="79">
        <v>1</v>
      </c>
      <c r="CF6" s="79">
        <v>1</v>
      </c>
      <c r="CG6" s="79">
        <v>1</v>
      </c>
      <c r="CH6" s="79">
        <v>1</v>
      </c>
      <c r="CI6" s="79">
        <v>1</v>
      </c>
      <c r="CJ6" s="79">
        <v>1</v>
      </c>
      <c r="CK6" s="79">
        <v>1</v>
      </c>
      <c r="CL6" s="79">
        <v>1</v>
      </c>
      <c r="CM6" s="79">
        <v>1</v>
      </c>
      <c r="CN6" s="79">
        <v>1</v>
      </c>
      <c r="CO6" s="79">
        <v>1</v>
      </c>
      <c r="CP6" s="79">
        <v>1</v>
      </c>
      <c r="CQ6" s="79">
        <v>1</v>
      </c>
      <c r="CR6" s="79">
        <v>1</v>
      </c>
      <c r="CS6" s="79">
        <v>1</v>
      </c>
      <c r="CT6" s="79">
        <v>1</v>
      </c>
      <c r="CU6" s="79">
        <v>1</v>
      </c>
      <c r="CV6" s="79">
        <v>1</v>
      </c>
      <c r="CW6" s="79">
        <v>1</v>
      </c>
      <c r="CY6" s="79">
        <v>2</v>
      </c>
      <c r="CZ6" s="79">
        <v>2</v>
      </c>
      <c r="DA6" s="79">
        <v>2</v>
      </c>
      <c r="DB6" s="79">
        <v>2</v>
      </c>
      <c r="DC6" s="79">
        <v>2</v>
      </c>
      <c r="DD6" s="79">
        <v>2</v>
      </c>
      <c r="DE6" s="79">
        <v>2</v>
      </c>
      <c r="DF6" s="79">
        <v>2</v>
      </c>
      <c r="DG6" s="79">
        <v>2</v>
      </c>
      <c r="DH6" s="79">
        <v>2</v>
      </c>
      <c r="DI6" s="79">
        <v>2</v>
      </c>
      <c r="DJ6" s="79">
        <v>2</v>
      </c>
      <c r="DK6" s="79">
        <v>2</v>
      </c>
      <c r="DL6" s="79">
        <v>2</v>
      </c>
      <c r="DM6" s="79">
        <v>2</v>
      </c>
      <c r="DN6" s="79">
        <v>2</v>
      </c>
      <c r="DO6" s="79">
        <v>2</v>
      </c>
      <c r="DP6" s="79">
        <v>2</v>
      </c>
      <c r="DQ6" s="79">
        <v>2</v>
      </c>
      <c r="DR6" s="79">
        <v>2</v>
      </c>
      <c r="DS6" s="79">
        <v>2</v>
      </c>
      <c r="DT6" s="79">
        <v>2</v>
      </c>
      <c r="DU6" s="79">
        <v>2</v>
      </c>
      <c r="DV6" s="79">
        <v>2</v>
      </c>
      <c r="DW6" s="79">
        <v>2</v>
      </c>
      <c r="DX6" s="79">
        <v>2</v>
      </c>
      <c r="DY6" s="79">
        <v>2</v>
      </c>
      <c r="DZ6" s="79">
        <v>2</v>
      </c>
      <c r="EA6" s="79">
        <v>2</v>
      </c>
      <c r="EC6" s="79">
        <v>3</v>
      </c>
      <c r="ED6" s="79">
        <v>3</v>
      </c>
      <c r="EE6" s="79">
        <v>3</v>
      </c>
      <c r="EF6" s="79">
        <v>3</v>
      </c>
      <c r="EG6" s="79">
        <v>3</v>
      </c>
      <c r="EH6" s="79">
        <v>3</v>
      </c>
      <c r="EI6" s="79">
        <v>3</v>
      </c>
      <c r="EJ6" s="79">
        <v>3</v>
      </c>
      <c r="EK6" s="79">
        <v>3</v>
      </c>
      <c r="EL6" s="79">
        <v>3</v>
      </c>
      <c r="EM6" s="79">
        <v>3</v>
      </c>
      <c r="EN6" s="79">
        <v>3</v>
      </c>
      <c r="EO6" s="79">
        <v>3</v>
      </c>
      <c r="EP6" s="79">
        <v>3</v>
      </c>
      <c r="EQ6" s="79">
        <v>3</v>
      </c>
      <c r="ER6" s="79">
        <v>3</v>
      </c>
      <c r="ES6" s="79">
        <v>3</v>
      </c>
      <c r="ET6" s="79">
        <v>3</v>
      </c>
      <c r="EU6" s="79">
        <v>3</v>
      </c>
      <c r="EV6" s="79">
        <v>3</v>
      </c>
      <c r="EW6" s="79">
        <v>3</v>
      </c>
      <c r="EX6" s="79">
        <v>3</v>
      </c>
      <c r="EY6" s="79">
        <v>3</v>
      </c>
      <c r="EZ6" s="79">
        <v>3</v>
      </c>
      <c r="FA6" s="79">
        <v>3</v>
      </c>
      <c r="FB6" s="79">
        <v>3</v>
      </c>
      <c r="FC6" s="79">
        <v>3</v>
      </c>
      <c r="FD6" s="79">
        <v>3</v>
      </c>
      <c r="FE6" s="79">
        <v>3</v>
      </c>
      <c r="FG6" s="79">
        <v>4</v>
      </c>
      <c r="FH6" s="79">
        <v>4</v>
      </c>
      <c r="FI6" s="79">
        <v>4</v>
      </c>
      <c r="FJ6" s="79">
        <v>4</v>
      </c>
      <c r="FK6" s="79">
        <v>4</v>
      </c>
      <c r="FL6" s="79">
        <v>4</v>
      </c>
      <c r="FM6" s="79">
        <v>4</v>
      </c>
      <c r="FN6" s="79">
        <v>4</v>
      </c>
      <c r="FO6" s="79">
        <v>4</v>
      </c>
      <c r="FP6" s="79">
        <v>4</v>
      </c>
      <c r="FQ6" s="79">
        <v>4</v>
      </c>
      <c r="FR6" s="79">
        <v>4</v>
      </c>
      <c r="FS6" s="79">
        <v>4</v>
      </c>
      <c r="FT6" s="79">
        <v>4</v>
      </c>
      <c r="FU6" s="79">
        <v>4</v>
      </c>
      <c r="FV6" s="79">
        <v>4</v>
      </c>
      <c r="FW6" s="79">
        <v>4</v>
      </c>
      <c r="FX6" s="79">
        <v>4</v>
      </c>
      <c r="FY6" s="79">
        <v>4</v>
      </c>
      <c r="FZ6" s="79">
        <v>4</v>
      </c>
      <c r="GA6" s="79">
        <v>4</v>
      </c>
      <c r="GB6" s="79">
        <v>4</v>
      </c>
      <c r="GC6" s="79">
        <v>4</v>
      </c>
      <c r="GD6" s="79">
        <v>4</v>
      </c>
      <c r="GE6" s="79">
        <v>4</v>
      </c>
      <c r="GF6" s="79">
        <v>4</v>
      </c>
      <c r="GG6" s="79">
        <v>4</v>
      </c>
      <c r="GH6" s="79">
        <v>4</v>
      </c>
      <c r="GI6" s="79">
        <v>4</v>
      </c>
      <c r="GK6" s="79">
        <v>5</v>
      </c>
      <c r="GL6" s="79">
        <v>5</v>
      </c>
      <c r="GM6" s="79">
        <v>5</v>
      </c>
      <c r="GN6" s="79">
        <v>5</v>
      </c>
      <c r="GO6" s="79">
        <v>5</v>
      </c>
      <c r="GP6" s="79">
        <v>5</v>
      </c>
      <c r="GQ6" s="79">
        <v>5</v>
      </c>
      <c r="GR6" s="79">
        <v>5</v>
      </c>
      <c r="GS6" s="79">
        <v>5</v>
      </c>
      <c r="GT6" s="79">
        <v>5</v>
      </c>
      <c r="GU6" s="79">
        <v>5</v>
      </c>
      <c r="GV6" s="79">
        <v>5</v>
      </c>
      <c r="GW6" s="79">
        <v>5</v>
      </c>
      <c r="GX6" s="79">
        <v>5</v>
      </c>
      <c r="GY6" s="79">
        <v>5</v>
      </c>
      <c r="GZ6" s="79">
        <v>5</v>
      </c>
      <c r="HA6" s="79">
        <v>5</v>
      </c>
      <c r="HB6" s="79">
        <v>5</v>
      </c>
      <c r="HC6" s="79">
        <v>5</v>
      </c>
      <c r="HD6" s="79">
        <v>5</v>
      </c>
      <c r="HE6" s="79">
        <v>5</v>
      </c>
      <c r="HF6" s="79">
        <v>5</v>
      </c>
      <c r="HG6" s="79">
        <v>5</v>
      </c>
      <c r="HH6" s="79">
        <v>5</v>
      </c>
      <c r="HI6" s="79">
        <v>5</v>
      </c>
      <c r="HJ6" s="79">
        <v>5</v>
      </c>
      <c r="HK6" s="79">
        <v>5</v>
      </c>
      <c r="HL6" s="79">
        <v>5</v>
      </c>
      <c r="HM6" s="79">
        <v>5</v>
      </c>
      <c r="HO6" s="89"/>
      <c r="HP6" s="89"/>
    </row>
    <row r="7" spans="1:224" ht="15" hidden="1">
      <c r="A7" s="80" t="s">
        <v>40</v>
      </c>
      <c r="B7" s="93" t="s">
        <v>9</v>
      </c>
      <c r="C7" s="93"/>
      <c r="D7" s="80" t="s">
        <v>9</v>
      </c>
      <c r="E7" s="80" t="s">
        <v>41</v>
      </c>
      <c r="F7" s="80" t="s">
        <v>42</v>
      </c>
      <c r="G7" s="80" t="s">
        <v>43</v>
      </c>
      <c r="H7" s="80" t="s">
        <v>44</v>
      </c>
      <c r="I7" s="80" t="s">
        <v>45</v>
      </c>
      <c r="J7" s="80" t="s">
        <v>46</v>
      </c>
      <c r="K7" s="80" t="s">
        <v>47</v>
      </c>
      <c r="L7" s="80" t="s">
        <v>48</v>
      </c>
      <c r="M7" s="80" t="s">
        <v>49</v>
      </c>
      <c r="N7" s="80" t="s">
        <v>50</v>
      </c>
      <c r="O7" s="80" t="s">
        <v>51</v>
      </c>
      <c r="P7" s="80" t="s">
        <v>52</v>
      </c>
      <c r="Q7" s="80" t="s">
        <v>53</v>
      </c>
      <c r="R7" s="80" t="s">
        <v>54</v>
      </c>
      <c r="S7" s="80" t="s">
        <v>55</v>
      </c>
      <c r="T7" s="80" t="s">
        <v>56</v>
      </c>
      <c r="U7" s="80" t="s">
        <v>5676</v>
      </c>
      <c r="V7" s="80" t="s">
        <v>57</v>
      </c>
      <c r="W7" s="80" t="s">
        <v>58</v>
      </c>
      <c r="X7" s="80" t="s">
        <v>59</v>
      </c>
      <c r="Y7" s="80" t="s">
        <v>60</v>
      </c>
      <c r="Z7" s="80" t="s">
        <v>61</v>
      </c>
      <c r="AA7" s="80" t="s">
        <v>62</v>
      </c>
      <c r="AB7" s="80" t="s">
        <v>63</v>
      </c>
      <c r="AC7" s="80" t="s">
        <v>64</v>
      </c>
      <c r="AD7" s="80" t="s">
        <v>5677</v>
      </c>
      <c r="AE7" s="80" t="s">
        <v>65</v>
      </c>
      <c r="AF7" s="80" t="s">
        <v>5674</v>
      </c>
      <c r="AG7" s="80" t="s">
        <v>9</v>
      </c>
      <c r="AH7" s="80" t="s">
        <v>41</v>
      </c>
      <c r="AI7" s="80" t="s">
        <v>42</v>
      </c>
      <c r="AJ7" s="80" t="s">
        <v>43</v>
      </c>
      <c r="AK7" s="80" t="s">
        <v>44</v>
      </c>
      <c r="AL7" s="80" t="s">
        <v>45</v>
      </c>
      <c r="AM7" s="80" t="s">
        <v>46</v>
      </c>
      <c r="AN7" s="80" t="s">
        <v>47</v>
      </c>
      <c r="AO7" s="80" t="s">
        <v>48</v>
      </c>
      <c r="AP7" s="80" t="s">
        <v>49</v>
      </c>
      <c r="AQ7" s="80" t="s">
        <v>50</v>
      </c>
      <c r="AR7" s="80" t="s">
        <v>51</v>
      </c>
      <c r="AS7" s="80" t="s">
        <v>52</v>
      </c>
      <c r="AT7" s="80" t="s">
        <v>53</v>
      </c>
      <c r="AU7" s="80" t="s">
        <v>54</v>
      </c>
      <c r="AV7" s="80" t="s">
        <v>55</v>
      </c>
      <c r="AW7" s="80" t="s">
        <v>56</v>
      </c>
      <c r="AX7" s="80" t="s">
        <v>5676</v>
      </c>
      <c r="AY7" s="80" t="s">
        <v>57</v>
      </c>
      <c r="AZ7" s="80" t="s">
        <v>58</v>
      </c>
      <c r="BA7" s="80" t="s">
        <v>59</v>
      </c>
      <c r="BB7" s="80" t="s">
        <v>60</v>
      </c>
      <c r="BC7" s="80" t="s">
        <v>61</v>
      </c>
      <c r="BD7" s="80" t="s">
        <v>62</v>
      </c>
      <c r="BE7" s="80" t="s">
        <v>63</v>
      </c>
      <c r="BF7" s="80" t="s">
        <v>64</v>
      </c>
      <c r="BG7" s="80" t="s">
        <v>5677</v>
      </c>
      <c r="BH7" s="80" t="s">
        <v>65</v>
      </c>
      <c r="BI7" s="80" t="s">
        <v>5674</v>
      </c>
      <c r="BJ7" s="81"/>
      <c r="BK7" s="81"/>
      <c r="BL7" s="80"/>
      <c r="BM7" s="80"/>
      <c r="BN7" s="80"/>
      <c r="BO7" s="80"/>
      <c r="BP7" s="80"/>
      <c r="BQ7" s="80"/>
      <c r="BR7" s="80"/>
      <c r="BS7" s="268"/>
      <c r="BT7" s="80"/>
      <c r="BU7" s="79" t="s">
        <v>9</v>
      </c>
      <c r="BV7" s="80" t="s">
        <v>41</v>
      </c>
      <c r="BW7" s="80" t="s">
        <v>42</v>
      </c>
      <c r="BX7" s="80" t="s">
        <v>43</v>
      </c>
      <c r="BY7" s="80" t="s">
        <v>44</v>
      </c>
      <c r="BZ7" s="80" t="s">
        <v>45</v>
      </c>
      <c r="CA7" s="80" t="s">
        <v>46</v>
      </c>
      <c r="CB7" s="80" t="s">
        <v>47</v>
      </c>
      <c r="CC7" s="80" t="s">
        <v>48</v>
      </c>
      <c r="CD7" s="80" t="s">
        <v>49</v>
      </c>
      <c r="CE7" s="80" t="s">
        <v>50</v>
      </c>
      <c r="CF7" s="80" t="s">
        <v>51</v>
      </c>
      <c r="CG7" s="80" t="s">
        <v>52</v>
      </c>
      <c r="CH7" s="80" t="s">
        <v>53</v>
      </c>
      <c r="CI7" s="80" t="s">
        <v>54</v>
      </c>
      <c r="CJ7" s="80" t="s">
        <v>55</v>
      </c>
      <c r="CK7" s="80" t="s">
        <v>56</v>
      </c>
      <c r="CL7" s="80" t="s">
        <v>5676</v>
      </c>
      <c r="CM7" s="80" t="s">
        <v>57</v>
      </c>
      <c r="CN7" s="80" t="s">
        <v>58</v>
      </c>
      <c r="CO7" s="80" t="s">
        <v>59</v>
      </c>
      <c r="CP7" s="80" t="s">
        <v>60</v>
      </c>
      <c r="CQ7" s="80" t="s">
        <v>61</v>
      </c>
      <c r="CR7" s="80" t="s">
        <v>62</v>
      </c>
      <c r="CS7" s="80" t="s">
        <v>63</v>
      </c>
      <c r="CT7" s="80" t="s">
        <v>64</v>
      </c>
      <c r="CU7" s="80" t="s">
        <v>5677</v>
      </c>
      <c r="CV7" s="80" t="s">
        <v>65</v>
      </c>
      <c r="CW7" s="80" t="s">
        <v>5674</v>
      </c>
      <c r="CY7" s="79" t="s">
        <v>9</v>
      </c>
      <c r="CZ7" s="80" t="s">
        <v>41</v>
      </c>
      <c r="DA7" s="80" t="s">
        <v>42</v>
      </c>
      <c r="DB7" s="80" t="s">
        <v>43</v>
      </c>
      <c r="DC7" s="80" t="s">
        <v>44</v>
      </c>
      <c r="DD7" s="80" t="s">
        <v>45</v>
      </c>
      <c r="DE7" s="80" t="s">
        <v>46</v>
      </c>
      <c r="DF7" s="80" t="s">
        <v>47</v>
      </c>
      <c r="DG7" s="80" t="s">
        <v>48</v>
      </c>
      <c r="DH7" s="80" t="s">
        <v>49</v>
      </c>
      <c r="DI7" s="80" t="s">
        <v>50</v>
      </c>
      <c r="DJ7" s="80" t="s">
        <v>51</v>
      </c>
      <c r="DK7" s="80" t="s">
        <v>52</v>
      </c>
      <c r="DL7" s="80" t="s">
        <v>53</v>
      </c>
      <c r="DM7" s="80" t="s">
        <v>54</v>
      </c>
      <c r="DN7" s="80" t="s">
        <v>55</v>
      </c>
      <c r="DO7" s="80" t="s">
        <v>56</v>
      </c>
      <c r="DP7" s="80" t="s">
        <v>5676</v>
      </c>
      <c r="DQ7" s="80" t="s">
        <v>57</v>
      </c>
      <c r="DR7" s="80" t="s">
        <v>58</v>
      </c>
      <c r="DS7" s="80" t="s">
        <v>59</v>
      </c>
      <c r="DT7" s="80" t="s">
        <v>60</v>
      </c>
      <c r="DU7" s="80" t="s">
        <v>61</v>
      </c>
      <c r="DV7" s="80" t="s">
        <v>62</v>
      </c>
      <c r="DW7" s="80" t="s">
        <v>63</v>
      </c>
      <c r="DX7" s="80" t="s">
        <v>64</v>
      </c>
      <c r="DY7" s="80" t="s">
        <v>5677</v>
      </c>
      <c r="DZ7" s="80" t="s">
        <v>65</v>
      </c>
      <c r="EA7" s="80" t="s">
        <v>5674</v>
      </c>
      <c r="EC7" s="79" t="s">
        <v>9</v>
      </c>
      <c r="ED7" s="80" t="s">
        <v>41</v>
      </c>
      <c r="EE7" s="80" t="s">
        <v>42</v>
      </c>
      <c r="EF7" s="80" t="s">
        <v>43</v>
      </c>
      <c r="EG7" s="80" t="s">
        <v>44</v>
      </c>
      <c r="EH7" s="80" t="s">
        <v>45</v>
      </c>
      <c r="EI7" s="80" t="s">
        <v>46</v>
      </c>
      <c r="EJ7" s="80" t="s">
        <v>47</v>
      </c>
      <c r="EK7" s="80" t="s">
        <v>48</v>
      </c>
      <c r="EL7" s="80" t="s">
        <v>49</v>
      </c>
      <c r="EM7" s="80" t="s">
        <v>50</v>
      </c>
      <c r="EN7" s="80" t="s">
        <v>51</v>
      </c>
      <c r="EO7" s="80" t="s">
        <v>52</v>
      </c>
      <c r="EP7" s="80" t="s">
        <v>53</v>
      </c>
      <c r="EQ7" s="80" t="s">
        <v>54</v>
      </c>
      <c r="ER7" s="80" t="s">
        <v>55</v>
      </c>
      <c r="ES7" s="80" t="s">
        <v>56</v>
      </c>
      <c r="ET7" s="80" t="s">
        <v>5676</v>
      </c>
      <c r="EU7" s="80" t="s">
        <v>57</v>
      </c>
      <c r="EV7" s="80" t="s">
        <v>58</v>
      </c>
      <c r="EW7" s="80" t="s">
        <v>59</v>
      </c>
      <c r="EX7" s="80" t="s">
        <v>60</v>
      </c>
      <c r="EY7" s="80" t="s">
        <v>61</v>
      </c>
      <c r="EZ7" s="80" t="s">
        <v>62</v>
      </c>
      <c r="FA7" s="80" t="s">
        <v>63</v>
      </c>
      <c r="FB7" s="80" t="s">
        <v>64</v>
      </c>
      <c r="FC7" s="80" t="s">
        <v>5677</v>
      </c>
      <c r="FD7" s="80" t="s">
        <v>65</v>
      </c>
      <c r="FE7" s="80" t="s">
        <v>5674</v>
      </c>
      <c r="FG7" s="79" t="s">
        <v>9</v>
      </c>
      <c r="FH7" s="80" t="s">
        <v>41</v>
      </c>
      <c r="FI7" s="80" t="s">
        <v>42</v>
      </c>
      <c r="FJ7" s="80" t="s">
        <v>43</v>
      </c>
      <c r="FK7" s="80" t="s">
        <v>44</v>
      </c>
      <c r="FL7" s="80" t="s">
        <v>45</v>
      </c>
      <c r="FM7" s="80" t="s">
        <v>46</v>
      </c>
      <c r="FN7" s="80" t="s">
        <v>47</v>
      </c>
      <c r="FO7" s="80" t="s">
        <v>48</v>
      </c>
      <c r="FP7" s="80" t="s">
        <v>49</v>
      </c>
      <c r="FQ7" s="80" t="s">
        <v>50</v>
      </c>
      <c r="FR7" s="80" t="s">
        <v>51</v>
      </c>
      <c r="FS7" s="80" t="s">
        <v>52</v>
      </c>
      <c r="FT7" s="80" t="s">
        <v>53</v>
      </c>
      <c r="FU7" s="80" t="s">
        <v>54</v>
      </c>
      <c r="FV7" s="80" t="s">
        <v>55</v>
      </c>
      <c r="FW7" s="80" t="s">
        <v>56</v>
      </c>
      <c r="FX7" s="80" t="s">
        <v>5676</v>
      </c>
      <c r="FY7" s="80" t="s">
        <v>57</v>
      </c>
      <c r="FZ7" s="80" t="s">
        <v>58</v>
      </c>
      <c r="GA7" s="80" t="s">
        <v>59</v>
      </c>
      <c r="GB7" s="80" t="s">
        <v>60</v>
      </c>
      <c r="GC7" s="80" t="s">
        <v>61</v>
      </c>
      <c r="GD7" s="80" t="s">
        <v>62</v>
      </c>
      <c r="GE7" s="80" t="s">
        <v>63</v>
      </c>
      <c r="GF7" s="80" t="s">
        <v>64</v>
      </c>
      <c r="GG7" s="80" t="s">
        <v>5677</v>
      </c>
      <c r="GH7" s="80" t="s">
        <v>65</v>
      </c>
      <c r="GI7" s="80" t="s">
        <v>5674</v>
      </c>
      <c r="GK7" s="79" t="s">
        <v>9</v>
      </c>
      <c r="GL7" s="80" t="s">
        <v>41</v>
      </c>
      <c r="GM7" s="80" t="s">
        <v>42</v>
      </c>
      <c r="GN7" s="80" t="s">
        <v>43</v>
      </c>
      <c r="GO7" s="80" t="s">
        <v>44</v>
      </c>
      <c r="GP7" s="80" t="s">
        <v>45</v>
      </c>
      <c r="GQ7" s="80" t="s">
        <v>46</v>
      </c>
      <c r="GR7" s="80" t="s">
        <v>47</v>
      </c>
      <c r="GS7" s="80" t="s">
        <v>48</v>
      </c>
      <c r="GT7" s="80" t="s">
        <v>49</v>
      </c>
      <c r="GU7" s="80" t="s">
        <v>50</v>
      </c>
      <c r="GV7" s="80" t="s">
        <v>51</v>
      </c>
      <c r="GW7" s="80" t="s">
        <v>52</v>
      </c>
      <c r="GX7" s="80" t="s">
        <v>53</v>
      </c>
      <c r="GY7" s="80" t="s">
        <v>54</v>
      </c>
      <c r="GZ7" s="80" t="s">
        <v>55</v>
      </c>
      <c r="HA7" s="80" t="s">
        <v>56</v>
      </c>
      <c r="HB7" s="80" t="s">
        <v>5676</v>
      </c>
      <c r="HC7" s="80" t="s">
        <v>57</v>
      </c>
      <c r="HD7" s="80" t="s">
        <v>58</v>
      </c>
      <c r="HE7" s="80" t="s">
        <v>59</v>
      </c>
      <c r="HF7" s="80" t="s">
        <v>60</v>
      </c>
      <c r="HG7" s="80" t="s">
        <v>61</v>
      </c>
      <c r="HH7" s="80" t="s">
        <v>62</v>
      </c>
      <c r="HI7" s="80" t="s">
        <v>63</v>
      </c>
      <c r="HJ7" s="80" t="s">
        <v>64</v>
      </c>
      <c r="HK7" s="80" t="s">
        <v>5677</v>
      </c>
      <c r="HL7" s="80" t="s">
        <v>65</v>
      </c>
      <c r="HM7" s="80" t="s">
        <v>5674</v>
      </c>
      <c r="HO7" s="89"/>
      <c r="HP7" s="89"/>
    </row>
    <row r="8" spans="1:224" s="118" customFormat="1" ht="30">
      <c r="A8" s="5" t="s">
        <v>1483</v>
      </c>
      <c r="B8" s="254" t="s">
        <v>6664</v>
      </c>
      <c r="C8" s="18" t="s">
        <v>6664</v>
      </c>
      <c r="D8" s="189" t="s">
        <v>67</v>
      </c>
      <c r="E8" s="189" t="s">
        <v>6301</v>
      </c>
      <c r="F8" s="189" t="s">
        <v>6302</v>
      </c>
      <c r="G8" s="189" t="s">
        <v>6303</v>
      </c>
      <c r="H8" s="189" t="s">
        <v>6304</v>
      </c>
      <c r="I8" s="189" t="s">
        <v>6305</v>
      </c>
      <c r="J8" s="189" t="s">
        <v>6306</v>
      </c>
      <c r="K8" s="189" t="s">
        <v>6307</v>
      </c>
      <c r="L8" s="189" t="s">
        <v>6308</v>
      </c>
      <c r="M8" s="189" t="s">
        <v>6309</v>
      </c>
      <c r="N8" s="189" t="s">
        <v>6310</v>
      </c>
      <c r="O8" s="189" t="s">
        <v>6311</v>
      </c>
      <c r="P8" s="189" t="s">
        <v>6312</v>
      </c>
      <c r="Q8" s="189" t="s">
        <v>6313</v>
      </c>
      <c r="R8" s="189" t="s">
        <v>6314</v>
      </c>
      <c r="S8" s="189" t="s">
        <v>6315</v>
      </c>
      <c r="T8" s="189" t="s">
        <v>6316</v>
      </c>
      <c r="U8" s="189" t="s">
        <v>6317</v>
      </c>
      <c r="V8" s="189" t="s">
        <v>6318</v>
      </c>
      <c r="W8" s="189" t="s">
        <v>6490</v>
      </c>
      <c r="X8" s="189" t="s">
        <v>6320</v>
      </c>
      <c r="Y8" s="189" t="s">
        <v>6321</v>
      </c>
      <c r="Z8" s="189" t="s">
        <v>6322</v>
      </c>
      <c r="AA8" s="189" t="s">
        <v>6318</v>
      </c>
      <c r="AB8" s="189" t="s">
        <v>6323</v>
      </c>
      <c r="AC8" s="189" t="s">
        <v>6311</v>
      </c>
      <c r="AD8" s="189" t="s">
        <v>6311</v>
      </c>
      <c r="AE8" s="189" t="s">
        <v>6324</v>
      </c>
      <c r="AF8" s="189" t="s">
        <v>6325</v>
      </c>
      <c r="AG8" s="5" t="s">
        <v>68</v>
      </c>
      <c r="AH8" s="5" t="s">
        <v>6326</v>
      </c>
      <c r="AI8" s="5" t="s">
        <v>6327</v>
      </c>
      <c r="AJ8" s="5" t="s">
        <v>6328</v>
      </c>
      <c r="AK8" s="5" t="s">
        <v>6329</v>
      </c>
      <c r="AL8" s="5" t="s">
        <v>6330</v>
      </c>
      <c r="AM8" s="5" t="s">
        <v>6331</v>
      </c>
      <c r="AN8" s="5" t="s">
        <v>6332</v>
      </c>
      <c r="AO8" s="5" t="s">
        <v>6333</v>
      </c>
      <c r="AP8" s="5" t="s">
        <v>68</v>
      </c>
      <c r="AQ8" s="5" t="s">
        <v>6334</v>
      </c>
      <c r="AR8" s="5" t="s">
        <v>6335</v>
      </c>
      <c r="AS8" s="5" t="s">
        <v>6336</v>
      </c>
      <c r="AT8" s="5" t="s">
        <v>6337</v>
      </c>
      <c r="AU8" s="5" t="s">
        <v>6338</v>
      </c>
      <c r="AV8" s="5" t="s">
        <v>6339</v>
      </c>
      <c r="AW8" s="5" t="s">
        <v>6340</v>
      </c>
      <c r="AX8" s="5" t="s">
        <v>6341</v>
      </c>
      <c r="AY8" s="5" t="s">
        <v>6342</v>
      </c>
      <c r="AZ8" s="5" t="s">
        <v>6343</v>
      </c>
      <c r="BA8" s="5" t="s">
        <v>6328</v>
      </c>
      <c r="BB8" s="5" t="s">
        <v>6335</v>
      </c>
      <c r="BC8" s="5" t="s">
        <v>6344</v>
      </c>
      <c r="BD8" s="5" t="s">
        <v>6345</v>
      </c>
      <c r="BE8" s="5" t="s">
        <v>6335</v>
      </c>
      <c r="BF8" s="5" t="s">
        <v>6335</v>
      </c>
      <c r="BG8" s="5" t="s">
        <v>6335</v>
      </c>
      <c r="BH8" s="5" t="s">
        <v>6346</v>
      </c>
      <c r="BI8" s="5" t="s">
        <v>6347</v>
      </c>
      <c r="BJ8" s="190" t="s">
        <v>69</v>
      </c>
      <c r="BK8" s="100" t="s">
        <v>70</v>
      </c>
      <c r="BL8" s="189" t="s">
        <v>27</v>
      </c>
      <c r="BM8" s="5"/>
      <c r="BN8" s="189" t="s">
        <v>71</v>
      </c>
      <c r="BO8" s="5"/>
      <c r="BP8" s="189" t="s">
        <v>72</v>
      </c>
      <c r="BQ8" s="5"/>
      <c r="BR8" s="5" t="s">
        <v>73</v>
      </c>
      <c r="BS8" s="269" t="s">
        <v>5655</v>
      </c>
      <c r="BT8" s="274" t="s">
        <v>5989</v>
      </c>
      <c r="BU8" s="278" t="s">
        <v>5816</v>
      </c>
      <c r="BV8" s="18" t="str">
        <f>CONCATENATE($BU8,".",BV7)</f>
        <v>Label 1.bg</v>
      </c>
      <c r="BW8" s="18" t="str">
        <f t="shared" ref="BW8:CT8" si="0">CONCATENATE($BU8,".",BW7)</f>
        <v>Label 1.cs</v>
      </c>
      <c r="BX8" s="18" t="str">
        <f t="shared" si="0"/>
        <v>Label 1.da</v>
      </c>
      <c r="BY8" s="18" t="str">
        <f t="shared" si="0"/>
        <v>Label 1.de</v>
      </c>
      <c r="BZ8" s="18" t="str">
        <f t="shared" si="0"/>
        <v>Label 1.el</v>
      </c>
      <c r="CA8" s="18" t="str">
        <f t="shared" si="0"/>
        <v>Label 1.es</v>
      </c>
      <c r="CB8" s="18" t="str">
        <f t="shared" si="0"/>
        <v>Label 1.et</v>
      </c>
      <c r="CC8" s="18" t="str">
        <f t="shared" si="0"/>
        <v>Label 1.fi</v>
      </c>
      <c r="CD8" s="18" t="str">
        <f t="shared" si="0"/>
        <v>Label 1.fr</v>
      </c>
      <c r="CE8" s="18" t="str">
        <f t="shared" si="0"/>
        <v>Label 1.ga</v>
      </c>
      <c r="CF8" s="18" t="str">
        <f t="shared" si="0"/>
        <v>Label 1.hr</v>
      </c>
      <c r="CG8" s="18" t="str">
        <f t="shared" si="0"/>
        <v>Label 1.hu</v>
      </c>
      <c r="CH8" s="18" t="str">
        <f t="shared" si="0"/>
        <v>Label 1.is</v>
      </c>
      <c r="CI8" s="18" t="str">
        <f t="shared" si="0"/>
        <v>Label 1.it</v>
      </c>
      <c r="CJ8" s="18" t="str">
        <f t="shared" si="0"/>
        <v>Label 1.lt</v>
      </c>
      <c r="CK8" s="18" t="str">
        <f t="shared" si="0"/>
        <v>Label 1.lv</v>
      </c>
      <c r="CL8" s="18" t="str">
        <f t="shared" si="0"/>
        <v>Label 1.mk</v>
      </c>
      <c r="CM8" s="18" t="str">
        <f t="shared" si="0"/>
        <v>Label 1.mt</v>
      </c>
      <c r="CN8" s="18" t="str">
        <f t="shared" si="0"/>
        <v>Label 1.nl</v>
      </c>
      <c r="CO8" s="18" t="str">
        <f t="shared" si="0"/>
        <v>Label 1.no</v>
      </c>
      <c r="CP8" s="18" t="str">
        <f t="shared" si="0"/>
        <v>Label 1.pl</v>
      </c>
      <c r="CQ8" s="18" t="str">
        <f t="shared" si="0"/>
        <v>Label 1.pt</v>
      </c>
      <c r="CR8" s="18" t="str">
        <f t="shared" si="0"/>
        <v>Label 1.ro</v>
      </c>
      <c r="CS8" s="18" t="str">
        <f t="shared" si="0"/>
        <v>Label 1.sk</v>
      </c>
      <c r="CT8" s="18" t="str">
        <f t="shared" si="0"/>
        <v>Label 1.sl</v>
      </c>
      <c r="CU8" s="18" t="str">
        <f t="shared" ref="CU8:CV8" si="1">CONCATENATE($BU8,".",CU7)</f>
        <v>Label 1.sr</v>
      </c>
      <c r="CV8" s="18" t="str">
        <f t="shared" si="1"/>
        <v>Label 1.sv</v>
      </c>
      <c r="CW8" s="18" t="str">
        <f>CONCATENATE($BU8,".",CW7)</f>
        <v>Label 1.tr</v>
      </c>
      <c r="CX8" s="279" t="s">
        <v>5651</v>
      </c>
      <c r="CY8" s="278" t="s">
        <v>5844</v>
      </c>
      <c r="CZ8" s="18" t="str">
        <f>CONCATENATE($CY8,".",CZ7)</f>
        <v>Label 2.bg</v>
      </c>
      <c r="DA8" s="18" t="str">
        <f t="shared" ref="DA8:EA8" si="2">CONCATENATE($CY8,".",DA7)</f>
        <v>Label 2.cs</v>
      </c>
      <c r="DB8" s="18" t="str">
        <f t="shared" si="2"/>
        <v>Label 2.da</v>
      </c>
      <c r="DC8" s="18" t="str">
        <f t="shared" si="2"/>
        <v>Label 2.de</v>
      </c>
      <c r="DD8" s="18" t="str">
        <f t="shared" si="2"/>
        <v>Label 2.el</v>
      </c>
      <c r="DE8" s="18" t="str">
        <f t="shared" si="2"/>
        <v>Label 2.es</v>
      </c>
      <c r="DF8" s="18" t="str">
        <f t="shared" si="2"/>
        <v>Label 2.et</v>
      </c>
      <c r="DG8" s="18" t="str">
        <f t="shared" si="2"/>
        <v>Label 2.fi</v>
      </c>
      <c r="DH8" s="18" t="str">
        <f t="shared" si="2"/>
        <v>Label 2.fr</v>
      </c>
      <c r="DI8" s="18" t="str">
        <f t="shared" si="2"/>
        <v>Label 2.ga</v>
      </c>
      <c r="DJ8" s="18" t="str">
        <f t="shared" si="2"/>
        <v>Label 2.hr</v>
      </c>
      <c r="DK8" s="18" t="str">
        <f t="shared" si="2"/>
        <v>Label 2.hu</v>
      </c>
      <c r="DL8" s="18" t="str">
        <f t="shared" si="2"/>
        <v>Label 2.is</v>
      </c>
      <c r="DM8" s="18" t="str">
        <f t="shared" si="2"/>
        <v>Label 2.it</v>
      </c>
      <c r="DN8" s="18" t="str">
        <f t="shared" si="2"/>
        <v>Label 2.lt</v>
      </c>
      <c r="DO8" s="18" t="str">
        <f t="shared" si="2"/>
        <v>Label 2.lv</v>
      </c>
      <c r="DP8" s="18" t="str">
        <f t="shared" si="2"/>
        <v>Label 2.mk</v>
      </c>
      <c r="DQ8" s="18" t="str">
        <f t="shared" si="2"/>
        <v>Label 2.mt</v>
      </c>
      <c r="DR8" s="18" t="str">
        <f t="shared" si="2"/>
        <v>Label 2.nl</v>
      </c>
      <c r="DS8" s="18" t="str">
        <f t="shared" si="2"/>
        <v>Label 2.no</v>
      </c>
      <c r="DT8" s="18" t="str">
        <f t="shared" si="2"/>
        <v>Label 2.pl</v>
      </c>
      <c r="DU8" s="18" t="str">
        <f t="shared" si="2"/>
        <v>Label 2.pt</v>
      </c>
      <c r="DV8" s="18" t="str">
        <f t="shared" si="2"/>
        <v>Label 2.ro</v>
      </c>
      <c r="DW8" s="18" t="str">
        <f t="shared" si="2"/>
        <v>Label 2.sk</v>
      </c>
      <c r="DX8" s="18" t="str">
        <f t="shared" si="2"/>
        <v>Label 2.sl</v>
      </c>
      <c r="DY8" s="18" t="str">
        <f t="shared" si="2"/>
        <v>Label 2.sr</v>
      </c>
      <c r="DZ8" s="18" t="str">
        <f t="shared" si="2"/>
        <v>Label 2.sv</v>
      </c>
      <c r="EA8" s="18" t="str">
        <f t="shared" si="2"/>
        <v>Label 2.tr</v>
      </c>
      <c r="EB8" s="279" t="s">
        <v>5651</v>
      </c>
      <c r="EC8" s="278" t="s">
        <v>5881</v>
      </c>
      <c r="ED8" s="18" t="str">
        <f>CONCATENATE($EC8,".",ED7)</f>
        <v>Label 3.bg</v>
      </c>
      <c r="EE8" s="18" t="str">
        <f t="shared" ref="EE8:FE8" si="3">CONCATENATE($EC8,".",EE7)</f>
        <v>Label 3.cs</v>
      </c>
      <c r="EF8" s="18" t="str">
        <f t="shared" si="3"/>
        <v>Label 3.da</v>
      </c>
      <c r="EG8" s="18" t="str">
        <f t="shared" si="3"/>
        <v>Label 3.de</v>
      </c>
      <c r="EH8" s="18" t="str">
        <f t="shared" si="3"/>
        <v>Label 3.el</v>
      </c>
      <c r="EI8" s="18" t="str">
        <f t="shared" si="3"/>
        <v>Label 3.es</v>
      </c>
      <c r="EJ8" s="18" t="str">
        <f t="shared" si="3"/>
        <v>Label 3.et</v>
      </c>
      <c r="EK8" s="18" t="str">
        <f t="shared" si="3"/>
        <v>Label 3.fi</v>
      </c>
      <c r="EL8" s="18" t="str">
        <f t="shared" si="3"/>
        <v>Label 3.fr</v>
      </c>
      <c r="EM8" s="18" t="str">
        <f t="shared" si="3"/>
        <v>Label 3.ga</v>
      </c>
      <c r="EN8" s="18" t="str">
        <f t="shared" si="3"/>
        <v>Label 3.hr</v>
      </c>
      <c r="EO8" s="18" t="str">
        <f t="shared" si="3"/>
        <v>Label 3.hu</v>
      </c>
      <c r="EP8" s="18" t="str">
        <f t="shared" si="3"/>
        <v>Label 3.is</v>
      </c>
      <c r="EQ8" s="18" t="str">
        <f t="shared" si="3"/>
        <v>Label 3.it</v>
      </c>
      <c r="ER8" s="18" t="str">
        <f t="shared" si="3"/>
        <v>Label 3.lt</v>
      </c>
      <c r="ES8" s="18" t="str">
        <f t="shared" si="3"/>
        <v>Label 3.lv</v>
      </c>
      <c r="ET8" s="18" t="str">
        <f t="shared" si="3"/>
        <v>Label 3.mk</v>
      </c>
      <c r="EU8" s="18" t="str">
        <f t="shared" si="3"/>
        <v>Label 3.mt</v>
      </c>
      <c r="EV8" s="18" t="str">
        <f t="shared" si="3"/>
        <v>Label 3.nl</v>
      </c>
      <c r="EW8" s="18" t="str">
        <f t="shared" si="3"/>
        <v>Label 3.no</v>
      </c>
      <c r="EX8" s="18" t="str">
        <f t="shared" si="3"/>
        <v>Label 3.pl</v>
      </c>
      <c r="EY8" s="18" t="str">
        <f t="shared" si="3"/>
        <v>Label 3.pt</v>
      </c>
      <c r="EZ8" s="18" t="str">
        <f t="shared" si="3"/>
        <v>Label 3.ro</v>
      </c>
      <c r="FA8" s="18" t="str">
        <f t="shared" si="3"/>
        <v>Label 3.sk</v>
      </c>
      <c r="FB8" s="18" t="str">
        <f t="shared" si="3"/>
        <v>Label 3.sl</v>
      </c>
      <c r="FC8" s="18" t="str">
        <f t="shared" si="3"/>
        <v>Label 3.sr</v>
      </c>
      <c r="FD8" s="18" t="str">
        <f t="shared" si="3"/>
        <v>Label 3.sv</v>
      </c>
      <c r="FE8" s="18" t="str">
        <f t="shared" si="3"/>
        <v>Label 3.tr</v>
      </c>
      <c r="FF8" s="279" t="s">
        <v>5651</v>
      </c>
      <c r="FG8" s="18" t="s">
        <v>5914</v>
      </c>
      <c r="FH8" s="18" t="str">
        <f>CONCATENATE($FG8,".",FH7)</f>
        <v>Label 4.bg</v>
      </c>
      <c r="FI8" s="18" t="str">
        <f t="shared" ref="FI8:GI8" si="4">CONCATENATE($FG8,".",FI7)</f>
        <v>Label 4.cs</v>
      </c>
      <c r="FJ8" s="18" t="str">
        <f t="shared" si="4"/>
        <v>Label 4.da</v>
      </c>
      <c r="FK8" s="18" t="str">
        <f t="shared" si="4"/>
        <v>Label 4.de</v>
      </c>
      <c r="FL8" s="18" t="str">
        <f t="shared" si="4"/>
        <v>Label 4.el</v>
      </c>
      <c r="FM8" s="18" t="str">
        <f t="shared" si="4"/>
        <v>Label 4.es</v>
      </c>
      <c r="FN8" s="18" t="str">
        <f t="shared" si="4"/>
        <v>Label 4.et</v>
      </c>
      <c r="FO8" s="18" t="str">
        <f t="shared" si="4"/>
        <v>Label 4.fi</v>
      </c>
      <c r="FP8" s="18" t="str">
        <f t="shared" si="4"/>
        <v>Label 4.fr</v>
      </c>
      <c r="FQ8" s="18" t="str">
        <f t="shared" si="4"/>
        <v>Label 4.ga</v>
      </c>
      <c r="FR8" s="18" t="str">
        <f t="shared" si="4"/>
        <v>Label 4.hr</v>
      </c>
      <c r="FS8" s="18" t="str">
        <f t="shared" si="4"/>
        <v>Label 4.hu</v>
      </c>
      <c r="FT8" s="18" t="str">
        <f t="shared" si="4"/>
        <v>Label 4.is</v>
      </c>
      <c r="FU8" s="18" t="str">
        <f t="shared" si="4"/>
        <v>Label 4.it</v>
      </c>
      <c r="FV8" s="18" t="str">
        <f t="shared" si="4"/>
        <v>Label 4.lt</v>
      </c>
      <c r="FW8" s="18" t="str">
        <f t="shared" si="4"/>
        <v>Label 4.lv</v>
      </c>
      <c r="FX8" s="18" t="str">
        <f t="shared" si="4"/>
        <v>Label 4.mk</v>
      </c>
      <c r="FY8" s="18" t="str">
        <f t="shared" si="4"/>
        <v>Label 4.mt</v>
      </c>
      <c r="FZ8" s="18" t="str">
        <f t="shared" si="4"/>
        <v>Label 4.nl</v>
      </c>
      <c r="GA8" s="18" t="str">
        <f t="shared" si="4"/>
        <v>Label 4.no</v>
      </c>
      <c r="GB8" s="18" t="str">
        <f t="shared" si="4"/>
        <v>Label 4.pl</v>
      </c>
      <c r="GC8" s="18" t="str">
        <f t="shared" si="4"/>
        <v>Label 4.pt</v>
      </c>
      <c r="GD8" s="18" t="str">
        <f t="shared" si="4"/>
        <v>Label 4.ro</v>
      </c>
      <c r="GE8" s="18" t="str">
        <f t="shared" si="4"/>
        <v>Label 4.sk</v>
      </c>
      <c r="GF8" s="18" t="str">
        <f t="shared" si="4"/>
        <v>Label 4.sl</v>
      </c>
      <c r="GG8" s="18" t="str">
        <f t="shared" si="4"/>
        <v>Label 4.sr</v>
      </c>
      <c r="GH8" s="18" t="str">
        <f t="shared" si="4"/>
        <v>Label 4.sv</v>
      </c>
      <c r="GI8" s="18" t="str">
        <f t="shared" si="4"/>
        <v>Label 4.tr</v>
      </c>
      <c r="GJ8" s="279" t="s">
        <v>5651</v>
      </c>
      <c r="GK8" s="278" t="s">
        <v>5948</v>
      </c>
      <c r="GL8" s="18" t="str">
        <f>CONCATENATE($GK8,".",GL7)</f>
        <v>Label 5.bg</v>
      </c>
      <c r="GM8" s="18" t="str">
        <f t="shared" ref="GM8:HM8" si="5">CONCATENATE($GK8,".",GM7)</f>
        <v>Label 5.cs</v>
      </c>
      <c r="GN8" s="18" t="str">
        <f t="shared" si="5"/>
        <v>Label 5.da</v>
      </c>
      <c r="GO8" s="18" t="str">
        <f t="shared" si="5"/>
        <v>Label 5.de</v>
      </c>
      <c r="GP8" s="18" t="str">
        <f t="shared" si="5"/>
        <v>Label 5.el</v>
      </c>
      <c r="GQ8" s="18" t="str">
        <f t="shared" si="5"/>
        <v>Label 5.es</v>
      </c>
      <c r="GR8" s="18" t="str">
        <f t="shared" si="5"/>
        <v>Label 5.et</v>
      </c>
      <c r="GS8" s="18" t="str">
        <f t="shared" si="5"/>
        <v>Label 5.fi</v>
      </c>
      <c r="GT8" s="18" t="str">
        <f t="shared" si="5"/>
        <v>Label 5.fr</v>
      </c>
      <c r="GU8" s="18" t="str">
        <f t="shared" si="5"/>
        <v>Label 5.ga</v>
      </c>
      <c r="GV8" s="18" t="str">
        <f t="shared" si="5"/>
        <v>Label 5.hr</v>
      </c>
      <c r="GW8" s="18" t="str">
        <f t="shared" si="5"/>
        <v>Label 5.hu</v>
      </c>
      <c r="GX8" s="18" t="str">
        <f t="shared" si="5"/>
        <v>Label 5.is</v>
      </c>
      <c r="GY8" s="18" t="str">
        <f t="shared" si="5"/>
        <v>Label 5.it</v>
      </c>
      <c r="GZ8" s="18" t="str">
        <f t="shared" si="5"/>
        <v>Label 5.lt</v>
      </c>
      <c r="HA8" s="18" t="str">
        <f t="shared" si="5"/>
        <v>Label 5.lv</v>
      </c>
      <c r="HB8" s="18" t="str">
        <f t="shared" si="5"/>
        <v>Label 5.mk</v>
      </c>
      <c r="HC8" s="18" t="str">
        <f t="shared" si="5"/>
        <v>Label 5.mt</v>
      </c>
      <c r="HD8" s="18" t="str">
        <f t="shared" si="5"/>
        <v>Label 5.nl</v>
      </c>
      <c r="HE8" s="18" t="str">
        <f t="shared" si="5"/>
        <v>Label 5.no</v>
      </c>
      <c r="HF8" s="18" t="str">
        <f t="shared" si="5"/>
        <v>Label 5.pl</v>
      </c>
      <c r="HG8" s="18" t="str">
        <f t="shared" si="5"/>
        <v>Label 5.pt</v>
      </c>
      <c r="HH8" s="18" t="str">
        <f t="shared" si="5"/>
        <v>Label 5.ro</v>
      </c>
      <c r="HI8" s="18" t="str">
        <f t="shared" si="5"/>
        <v>Label 5.sk</v>
      </c>
      <c r="HJ8" s="18" t="str">
        <f t="shared" si="5"/>
        <v>Label 5.sl</v>
      </c>
      <c r="HK8" s="18" t="str">
        <f t="shared" si="5"/>
        <v>Label 5.sr</v>
      </c>
      <c r="HL8" s="18" t="str">
        <f t="shared" si="5"/>
        <v>Label 5.sv</v>
      </c>
      <c r="HM8" s="18" t="str">
        <f t="shared" si="5"/>
        <v>Label 5.tr</v>
      </c>
      <c r="HN8" s="279" t="s">
        <v>5651</v>
      </c>
    </row>
    <row r="9" spans="1:224" s="118" customFormat="1" ht="105.6" customHeight="1">
      <c r="A9" s="74" t="s">
        <v>66</v>
      </c>
      <c r="B9" s="7"/>
      <c r="C9" s="7"/>
      <c r="D9" s="7" t="s">
        <v>74</v>
      </c>
      <c r="E9" s="7" t="s">
        <v>6054</v>
      </c>
      <c r="F9" s="7" t="s">
        <v>6055</v>
      </c>
      <c r="G9" s="7" t="s">
        <v>6056</v>
      </c>
      <c r="H9" s="7" t="s">
        <v>6057</v>
      </c>
      <c r="I9" s="7" t="s">
        <v>6058</v>
      </c>
      <c r="J9" s="7" t="s">
        <v>6059</v>
      </c>
      <c r="K9" s="7" t="s">
        <v>6060</v>
      </c>
      <c r="L9" s="7" t="s">
        <v>6061</v>
      </c>
      <c r="M9" s="7" t="s">
        <v>6062</v>
      </c>
      <c r="N9" s="7" t="s">
        <v>6063</v>
      </c>
      <c r="O9" s="7" t="s">
        <v>6064</v>
      </c>
      <c r="P9" s="7" t="s">
        <v>6065</v>
      </c>
      <c r="Q9" s="7" t="s">
        <v>6066</v>
      </c>
      <c r="R9" s="7" t="s">
        <v>6067</v>
      </c>
      <c r="S9" s="7" t="s">
        <v>6068</v>
      </c>
      <c r="T9" s="7" t="s">
        <v>6069</v>
      </c>
      <c r="U9" s="7" t="s">
        <v>6070</v>
      </c>
      <c r="V9" s="7" t="s">
        <v>6071</v>
      </c>
      <c r="W9" s="7" t="s">
        <v>6072</v>
      </c>
      <c r="X9" s="7" t="s">
        <v>6073</v>
      </c>
      <c r="Y9" s="7" t="s">
        <v>6074</v>
      </c>
      <c r="Z9" s="7" t="s">
        <v>6075</v>
      </c>
      <c r="AA9" s="7" t="s">
        <v>6076</v>
      </c>
      <c r="AB9" s="7" t="s">
        <v>6077</v>
      </c>
      <c r="AC9" s="7" t="s">
        <v>6078</v>
      </c>
      <c r="AD9" s="7" t="s">
        <v>6079</v>
      </c>
      <c r="AE9" s="7" t="s">
        <v>6080</v>
      </c>
      <c r="AF9" s="7" t="s">
        <v>6081</v>
      </c>
      <c r="AG9" s="7" t="s">
        <v>75</v>
      </c>
      <c r="AH9" s="7" t="s">
        <v>6082</v>
      </c>
      <c r="AI9" s="7" t="s">
        <v>6083</v>
      </c>
      <c r="AJ9" s="7" t="s">
        <v>6084</v>
      </c>
      <c r="AK9" s="7" t="s">
        <v>6085</v>
      </c>
      <c r="AL9" s="7" t="s">
        <v>6086</v>
      </c>
      <c r="AM9" s="7" t="s">
        <v>6087</v>
      </c>
      <c r="AN9" s="7" t="s">
        <v>6088</v>
      </c>
      <c r="AO9" s="7" t="s">
        <v>6089</v>
      </c>
      <c r="AP9" s="7" t="s">
        <v>6090</v>
      </c>
      <c r="AQ9" s="7" t="s">
        <v>6091</v>
      </c>
      <c r="AR9" s="7" t="s">
        <v>6092</v>
      </c>
      <c r="AS9" s="7" t="s">
        <v>6093</v>
      </c>
      <c r="AT9" s="7" t="s">
        <v>6094</v>
      </c>
      <c r="AU9" s="7" t="s">
        <v>6095</v>
      </c>
      <c r="AV9" s="7" t="s">
        <v>6096</v>
      </c>
      <c r="AW9" s="7" t="s">
        <v>6097</v>
      </c>
      <c r="AX9" s="7" t="s">
        <v>6098</v>
      </c>
      <c r="AY9" s="7" t="s">
        <v>6099</v>
      </c>
      <c r="AZ9" s="7" t="s">
        <v>6100</v>
      </c>
      <c r="BA9" s="7" t="s">
        <v>6101</v>
      </c>
      <c r="BB9" s="7" t="s">
        <v>6102</v>
      </c>
      <c r="BC9" s="7" t="s">
        <v>6103</v>
      </c>
      <c r="BD9" s="7" t="s">
        <v>6104</v>
      </c>
      <c r="BE9" s="7" t="s">
        <v>6105</v>
      </c>
      <c r="BF9" s="7" t="s">
        <v>6106</v>
      </c>
      <c r="BG9" s="7" t="s">
        <v>6107</v>
      </c>
      <c r="BH9" s="7" t="s">
        <v>6108</v>
      </c>
      <c r="BI9" s="7" t="s">
        <v>6109</v>
      </c>
      <c r="BJ9" s="7" t="s">
        <v>5669</v>
      </c>
      <c r="BK9" s="7" t="s">
        <v>6046</v>
      </c>
      <c r="BL9" s="7" t="s">
        <v>5990</v>
      </c>
      <c r="BM9" s="8"/>
      <c r="BN9" s="7" t="s">
        <v>76</v>
      </c>
      <c r="BO9" s="8"/>
      <c r="BP9" s="7" t="s">
        <v>77</v>
      </c>
      <c r="BQ9" s="7"/>
      <c r="BR9" s="7" t="s">
        <v>6047</v>
      </c>
      <c r="BS9" s="64" t="s">
        <v>5979</v>
      </c>
      <c r="BT9" s="7" t="s">
        <v>5988</v>
      </c>
      <c r="BU9" s="277" t="s">
        <v>5980</v>
      </c>
      <c r="BV9" s="280"/>
      <c r="BW9" s="280"/>
      <c r="BX9" s="280"/>
      <c r="BY9" s="280"/>
      <c r="BZ9" s="280"/>
      <c r="CA9" s="280"/>
      <c r="CB9" s="280"/>
      <c r="CC9" s="280"/>
      <c r="CD9" s="280"/>
      <c r="CE9" s="280"/>
      <c r="CF9" s="280"/>
      <c r="CG9" s="280"/>
      <c r="CH9" s="280"/>
      <c r="CI9" s="280"/>
      <c r="CJ9" s="280"/>
      <c r="CK9" s="280"/>
      <c r="CL9" s="280"/>
      <c r="CM9" s="280"/>
      <c r="CN9" s="280"/>
      <c r="CO9" s="280"/>
      <c r="CP9" s="280"/>
      <c r="CQ9" s="280"/>
      <c r="CR9" s="280"/>
      <c r="CS9" s="280"/>
      <c r="CT9" s="280"/>
      <c r="CU9" s="280"/>
      <c r="CV9" s="280"/>
      <c r="CW9" s="280"/>
      <c r="CX9" s="210" t="s">
        <v>5986</v>
      </c>
      <c r="CY9" s="277" t="s">
        <v>5981</v>
      </c>
      <c r="CZ9" s="280"/>
      <c r="DA9" s="280"/>
      <c r="DB9" s="280"/>
      <c r="DC9" s="280"/>
      <c r="DD9" s="280"/>
      <c r="DE9" s="280"/>
      <c r="DF9" s="280"/>
      <c r="DG9" s="280"/>
      <c r="DH9" s="280"/>
      <c r="DI9" s="280"/>
      <c r="DJ9" s="280"/>
      <c r="DK9" s="280"/>
      <c r="DL9" s="280"/>
      <c r="DM9" s="280"/>
      <c r="DN9" s="280"/>
      <c r="DO9" s="280"/>
      <c r="DP9" s="280"/>
      <c r="DQ9" s="280"/>
      <c r="DR9" s="280"/>
      <c r="DS9" s="280"/>
      <c r="DT9" s="280"/>
      <c r="DU9" s="280"/>
      <c r="DV9" s="280"/>
      <c r="DW9" s="280"/>
      <c r="DX9" s="280"/>
      <c r="DY9" s="280"/>
      <c r="DZ9" s="280"/>
      <c r="EA9" s="280"/>
      <c r="EB9" s="210" t="s">
        <v>5985</v>
      </c>
      <c r="EC9" s="277" t="s">
        <v>5982</v>
      </c>
      <c r="ED9" s="280"/>
      <c r="EE9" s="280"/>
      <c r="EF9" s="280"/>
      <c r="EG9" s="280"/>
      <c r="EH9" s="280"/>
      <c r="EI9" s="280"/>
      <c r="EJ9" s="280"/>
      <c r="EK9" s="280"/>
      <c r="EL9" s="280"/>
      <c r="EM9" s="280"/>
      <c r="EN9" s="280"/>
      <c r="EO9" s="280"/>
      <c r="EP9" s="280"/>
      <c r="EQ9" s="280"/>
      <c r="ER9" s="280"/>
      <c r="ES9" s="280"/>
      <c r="ET9" s="280"/>
      <c r="EU9" s="280"/>
      <c r="EV9" s="280"/>
      <c r="EW9" s="280"/>
      <c r="EX9" s="280"/>
      <c r="EY9" s="280"/>
      <c r="EZ9" s="280"/>
      <c r="FA9" s="280"/>
      <c r="FB9" s="280"/>
      <c r="FC9" s="280"/>
      <c r="FD9" s="280"/>
      <c r="FE9" s="280"/>
      <c r="FF9" s="210" t="s">
        <v>5987</v>
      </c>
      <c r="FG9" s="277" t="s">
        <v>5983</v>
      </c>
      <c r="FH9" s="280"/>
      <c r="FI9" s="280"/>
      <c r="FJ9" s="280"/>
      <c r="FK9" s="280"/>
      <c r="FL9" s="280"/>
      <c r="FM9" s="280"/>
      <c r="FN9" s="280"/>
      <c r="FO9" s="280"/>
      <c r="FP9" s="280"/>
      <c r="FQ9" s="280"/>
      <c r="FR9" s="280"/>
      <c r="FS9" s="280"/>
      <c r="FT9" s="280"/>
      <c r="FU9" s="280"/>
      <c r="FV9" s="280"/>
      <c r="FW9" s="280"/>
      <c r="FX9" s="280"/>
      <c r="FY9" s="280"/>
      <c r="FZ9" s="280"/>
      <c r="GA9" s="280"/>
      <c r="GB9" s="280"/>
      <c r="GC9" s="280"/>
      <c r="GD9" s="280"/>
      <c r="GE9" s="280"/>
      <c r="GF9" s="280"/>
      <c r="GG9" s="280"/>
      <c r="GH9" s="280"/>
      <c r="GI9" s="280"/>
      <c r="GJ9" s="210" t="s">
        <v>5987</v>
      </c>
      <c r="GK9" s="277" t="s">
        <v>5984</v>
      </c>
      <c r="GL9" s="280"/>
      <c r="GM9" s="280"/>
      <c r="GN9" s="280"/>
      <c r="GO9" s="280"/>
      <c r="GP9" s="280"/>
      <c r="GQ9" s="280"/>
      <c r="GR9" s="280"/>
      <c r="GS9" s="280"/>
      <c r="GT9" s="280"/>
      <c r="GU9" s="280"/>
      <c r="GV9" s="280"/>
      <c r="GW9" s="280"/>
      <c r="GX9" s="280"/>
      <c r="GY9" s="280"/>
      <c r="GZ9" s="280"/>
      <c r="HA9" s="280"/>
      <c r="HB9" s="280"/>
      <c r="HC9" s="280"/>
      <c r="HD9" s="280"/>
      <c r="HE9" s="280"/>
      <c r="HF9" s="280"/>
      <c r="HG9" s="280"/>
      <c r="HH9" s="280"/>
      <c r="HI9" s="280"/>
      <c r="HJ9" s="280"/>
      <c r="HK9" s="280"/>
      <c r="HL9" s="280"/>
      <c r="HM9" s="280"/>
      <c r="HN9" s="210" t="s">
        <v>5987</v>
      </c>
    </row>
    <row r="10" spans="1:224" ht="15" customHeight="1" thickBot="1">
      <c r="A10" s="82" t="s">
        <v>40</v>
      </c>
      <c r="B10" s="83" t="s">
        <v>10</v>
      </c>
      <c r="C10" s="83" t="s">
        <v>10</v>
      </c>
      <c r="D10" s="83" t="s">
        <v>10</v>
      </c>
      <c r="E10" s="84" t="s">
        <v>78</v>
      </c>
      <c r="F10" s="84" t="s">
        <v>79</v>
      </c>
      <c r="G10" s="84" t="s">
        <v>80</v>
      </c>
      <c r="H10" s="84" t="s">
        <v>81</v>
      </c>
      <c r="I10" s="84" t="s">
        <v>82</v>
      </c>
      <c r="J10" s="84" t="s">
        <v>83</v>
      </c>
      <c r="K10" s="84" t="s">
        <v>84</v>
      </c>
      <c r="L10" s="84" t="s">
        <v>85</v>
      </c>
      <c r="M10" s="84" t="s">
        <v>86</v>
      </c>
      <c r="N10" s="84" t="s">
        <v>87</v>
      </c>
      <c r="O10" s="84" t="s">
        <v>88</v>
      </c>
      <c r="P10" s="84" t="s">
        <v>89</v>
      </c>
      <c r="Q10" s="84" t="s">
        <v>90</v>
      </c>
      <c r="R10" s="84" t="s">
        <v>91</v>
      </c>
      <c r="S10" s="84" t="s">
        <v>92</v>
      </c>
      <c r="T10" s="84" t="s">
        <v>93</v>
      </c>
      <c r="U10" s="84" t="s">
        <v>5675</v>
      </c>
      <c r="V10" s="84" t="s">
        <v>94</v>
      </c>
      <c r="W10" s="84" t="s">
        <v>12</v>
      </c>
      <c r="X10" s="84" t="s">
        <v>95</v>
      </c>
      <c r="Y10" s="84" t="s">
        <v>96</v>
      </c>
      <c r="Z10" s="84" t="s">
        <v>97</v>
      </c>
      <c r="AA10" s="84" t="s">
        <v>98</v>
      </c>
      <c r="AB10" s="84" t="s">
        <v>99</v>
      </c>
      <c r="AC10" s="84" t="s">
        <v>100</v>
      </c>
      <c r="AD10" s="84" t="s">
        <v>5678</v>
      </c>
      <c r="AE10" s="84" t="s">
        <v>101</v>
      </c>
      <c r="AF10" s="84" t="s">
        <v>5679</v>
      </c>
      <c r="AG10" s="83"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3"/>
      <c r="BK10" s="84"/>
      <c r="BL10" s="85"/>
      <c r="BM10" s="85"/>
      <c r="BN10" s="85"/>
      <c r="BO10" s="85"/>
      <c r="BP10" s="85"/>
      <c r="BQ10" s="85"/>
      <c r="BR10" s="92" t="s">
        <v>5673</v>
      </c>
      <c r="BS10" s="270"/>
      <c r="BT10" s="85"/>
      <c r="BU10" s="84" t="s">
        <v>10</v>
      </c>
      <c r="BV10" s="84" t="s">
        <v>78</v>
      </c>
      <c r="BW10" s="84" t="s">
        <v>79</v>
      </c>
      <c r="BX10" s="84" t="s">
        <v>80</v>
      </c>
      <c r="BY10" s="84" t="s">
        <v>81</v>
      </c>
      <c r="BZ10" s="84" t="s">
        <v>82</v>
      </c>
      <c r="CA10" s="84" t="s">
        <v>83</v>
      </c>
      <c r="CB10" s="84" t="s">
        <v>84</v>
      </c>
      <c r="CC10" s="84" t="s">
        <v>85</v>
      </c>
      <c r="CD10" s="84" t="s">
        <v>86</v>
      </c>
      <c r="CE10" s="84" t="s">
        <v>87</v>
      </c>
      <c r="CF10" s="84" t="s">
        <v>88</v>
      </c>
      <c r="CG10" s="84" t="s">
        <v>89</v>
      </c>
      <c r="CH10" s="84" t="s">
        <v>90</v>
      </c>
      <c r="CI10" s="84" t="s">
        <v>91</v>
      </c>
      <c r="CJ10" s="84" t="s">
        <v>92</v>
      </c>
      <c r="CK10" s="84" t="s">
        <v>93</v>
      </c>
      <c r="CL10" s="84" t="s">
        <v>5675</v>
      </c>
      <c r="CM10" s="84" t="s">
        <v>94</v>
      </c>
      <c r="CN10" s="84" t="s">
        <v>12</v>
      </c>
      <c r="CO10" s="84" t="s">
        <v>95</v>
      </c>
      <c r="CP10" s="84" t="s">
        <v>96</v>
      </c>
      <c r="CQ10" s="84" t="s">
        <v>97</v>
      </c>
      <c r="CR10" s="84" t="s">
        <v>98</v>
      </c>
      <c r="CS10" s="84" t="s">
        <v>99</v>
      </c>
      <c r="CT10" s="84" t="s">
        <v>100</v>
      </c>
      <c r="CU10" s="84" t="s">
        <v>5678</v>
      </c>
      <c r="CV10" s="84" t="s">
        <v>101</v>
      </c>
      <c r="CW10" s="84" t="s">
        <v>5679</v>
      </c>
      <c r="CX10" s="295" t="s">
        <v>10</v>
      </c>
      <c r="CY10" s="84" t="s">
        <v>10</v>
      </c>
      <c r="CZ10" s="84" t="s">
        <v>78</v>
      </c>
      <c r="DA10" s="84" t="s">
        <v>79</v>
      </c>
      <c r="DB10" s="84" t="s">
        <v>80</v>
      </c>
      <c r="DC10" s="84" t="s">
        <v>81</v>
      </c>
      <c r="DD10" s="84" t="s">
        <v>82</v>
      </c>
      <c r="DE10" s="84" t="s">
        <v>83</v>
      </c>
      <c r="DF10" s="84" t="s">
        <v>84</v>
      </c>
      <c r="DG10" s="84" t="s">
        <v>85</v>
      </c>
      <c r="DH10" s="84" t="s">
        <v>86</v>
      </c>
      <c r="DI10" s="84" t="s">
        <v>87</v>
      </c>
      <c r="DJ10" s="84" t="s">
        <v>88</v>
      </c>
      <c r="DK10" s="84" t="s">
        <v>89</v>
      </c>
      <c r="DL10" s="84" t="s">
        <v>90</v>
      </c>
      <c r="DM10" s="84" t="s">
        <v>91</v>
      </c>
      <c r="DN10" s="84" t="s">
        <v>92</v>
      </c>
      <c r="DO10" s="84" t="s">
        <v>93</v>
      </c>
      <c r="DP10" s="84" t="s">
        <v>5675</v>
      </c>
      <c r="DQ10" s="84" t="s">
        <v>94</v>
      </c>
      <c r="DR10" s="84" t="s">
        <v>12</v>
      </c>
      <c r="DS10" s="84" t="s">
        <v>95</v>
      </c>
      <c r="DT10" s="84" t="s">
        <v>96</v>
      </c>
      <c r="DU10" s="84" t="s">
        <v>97</v>
      </c>
      <c r="DV10" s="84" t="s">
        <v>98</v>
      </c>
      <c r="DW10" s="84" t="s">
        <v>99</v>
      </c>
      <c r="DX10" s="84" t="s">
        <v>100</v>
      </c>
      <c r="DY10" s="84" t="s">
        <v>5678</v>
      </c>
      <c r="DZ10" s="84" t="s">
        <v>101</v>
      </c>
      <c r="EA10" s="84" t="s">
        <v>5679</v>
      </c>
      <c r="EB10" s="295" t="s">
        <v>10</v>
      </c>
      <c r="EC10" s="84" t="s">
        <v>10</v>
      </c>
      <c r="ED10" s="84" t="s">
        <v>78</v>
      </c>
      <c r="EE10" s="84" t="s">
        <v>79</v>
      </c>
      <c r="EF10" s="84" t="s">
        <v>80</v>
      </c>
      <c r="EG10" s="84" t="s">
        <v>81</v>
      </c>
      <c r="EH10" s="84" t="s">
        <v>82</v>
      </c>
      <c r="EI10" s="84" t="s">
        <v>83</v>
      </c>
      <c r="EJ10" s="84" t="s">
        <v>84</v>
      </c>
      <c r="EK10" s="84" t="s">
        <v>85</v>
      </c>
      <c r="EL10" s="84" t="s">
        <v>86</v>
      </c>
      <c r="EM10" s="84" t="s">
        <v>87</v>
      </c>
      <c r="EN10" s="84" t="s">
        <v>88</v>
      </c>
      <c r="EO10" s="84" t="s">
        <v>89</v>
      </c>
      <c r="EP10" s="84" t="s">
        <v>90</v>
      </c>
      <c r="EQ10" s="84" t="s">
        <v>91</v>
      </c>
      <c r="ER10" s="84" t="s">
        <v>92</v>
      </c>
      <c r="ES10" s="84" t="s">
        <v>93</v>
      </c>
      <c r="ET10" s="84" t="s">
        <v>5675</v>
      </c>
      <c r="EU10" s="84" t="s">
        <v>94</v>
      </c>
      <c r="EV10" s="84" t="s">
        <v>12</v>
      </c>
      <c r="EW10" s="84" t="s">
        <v>95</v>
      </c>
      <c r="EX10" s="84" t="s">
        <v>96</v>
      </c>
      <c r="EY10" s="84" t="s">
        <v>97</v>
      </c>
      <c r="EZ10" s="84" t="s">
        <v>98</v>
      </c>
      <c r="FA10" s="84" t="s">
        <v>99</v>
      </c>
      <c r="FB10" s="84" t="s">
        <v>100</v>
      </c>
      <c r="FC10" s="84" t="s">
        <v>5678</v>
      </c>
      <c r="FD10" s="84" t="s">
        <v>101</v>
      </c>
      <c r="FE10" s="84" t="s">
        <v>5679</v>
      </c>
      <c r="FF10" s="295" t="s">
        <v>10</v>
      </c>
      <c r="FG10" s="84" t="s">
        <v>10</v>
      </c>
      <c r="FH10" s="84" t="s">
        <v>78</v>
      </c>
      <c r="FI10" s="84" t="s">
        <v>79</v>
      </c>
      <c r="FJ10" s="84" t="s">
        <v>80</v>
      </c>
      <c r="FK10" s="84" t="s">
        <v>81</v>
      </c>
      <c r="FL10" s="84" t="s">
        <v>82</v>
      </c>
      <c r="FM10" s="84" t="s">
        <v>83</v>
      </c>
      <c r="FN10" s="84" t="s">
        <v>84</v>
      </c>
      <c r="FO10" s="84" t="s">
        <v>85</v>
      </c>
      <c r="FP10" s="84" t="s">
        <v>86</v>
      </c>
      <c r="FQ10" s="84" t="s">
        <v>87</v>
      </c>
      <c r="FR10" s="84" t="s">
        <v>88</v>
      </c>
      <c r="FS10" s="84" t="s">
        <v>89</v>
      </c>
      <c r="FT10" s="84" t="s">
        <v>90</v>
      </c>
      <c r="FU10" s="84" t="s">
        <v>91</v>
      </c>
      <c r="FV10" s="84" t="s">
        <v>92</v>
      </c>
      <c r="FW10" s="84" t="s">
        <v>93</v>
      </c>
      <c r="FX10" s="84" t="s">
        <v>5675</v>
      </c>
      <c r="FY10" s="84" t="s">
        <v>94</v>
      </c>
      <c r="FZ10" s="84" t="s">
        <v>12</v>
      </c>
      <c r="GA10" s="84" t="s">
        <v>95</v>
      </c>
      <c r="GB10" s="84" t="s">
        <v>96</v>
      </c>
      <c r="GC10" s="84" t="s">
        <v>97</v>
      </c>
      <c r="GD10" s="84" t="s">
        <v>98</v>
      </c>
      <c r="GE10" s="84" t="s">
        <v>99</v>
      </c>
      <c r="GF10" s="84" t="s">
        <v>100</v>
      </c>
      <c r="GG10" s="84" t="s">
        <v>5678</v>
      </c>
      <c r="GH10" s="84" t="s">
        <v>101</v>
      </c>
      <c r="GI10" s="84" t="s">
        <v>5679</v>
      </c>
      <c r="GJ10" s="295" t="s">
        <v>10</v>
      </c>
      <c r="GK10" s="84" t="s">
        <v>10</v>
      </c>
      <c r="GL10" s="84" t="s">
        <v>78</v>
      </c>
      <c r="GM10" s="84" t="s">
        <v>79</v>
      </c>
      <c r="GN10" s="84" t="s">
        <v>80</v>
      </c>
      <c r="GO10" s="84" t="s">
        <v>81</v>
      </c>
      <c r="GP10" s="84" t="s">
        <v>82</v>
      </c>
      <c r="GQ10" s="84" t="s">
        <v>83</v>
      </c>
      <c r="GR10" s="84" t="s">
        <v>84</v>
      </c>
      <c r="GS10" s="84" t="s">
        <v>85</v>
      </c>
      <c r="GT10" s="84" t="s">
        <v>86</v>
      </c>
      <c r="GU10" s="84" t="s">
        <v>87</v>
      </c>
      <c r="GV10" s="84" t="s">
        <v>88</v>
      </c>
      <c r="GW10" s="84" t="s">
        <v>89</v>
      </c>
      <c r="GX10" s="84" t="s">
        <v>90</v>
      </c>
      <c r="GY10" s="84" t="s">
        <v>91</v>
      </c>
      <c r="GZ10" s="84" t="s">
        <v>92</v>
      </c>
      <c r="HA10" s="84" t="s">
        <v>93</v>
      </c>
      <c r="HB10" s="84" t="s">
        <v>5675</v>
      </c>
      <c r="HC10" s="84" t="s">
        <v>94</v>
      </c>
      <c r="HD10" s="84" t="s">
        <v>12</v>
      </c>
      <c r="HE10" s="84" t="s">
        <v>95</v>
      </c>
      <c r="HF10" s="84" t="s">
        <v>96</v>
      </c>
      <c r="HG10" s="84" t="s">
        <v>97</v>
      </c>
      <c r="HH10" s="84" t="s">
        <v>98</v>
      </c>
      <c r="HI10" s="84" t="s">
        <v>99</v>
      </c>
      <c r="HJ10" s="84" t="s">
        <v>100</v>
      </c>
      <c r="HK10" s="84" t="s">
        <v>5678</v>
      </c>
      <c r="HL10" s="84" t="s">
        <v>101</v>
      </c>
      <c r="HM10" s="84" t="s">
        <v>5679</v>
      </c>
      <c r="HN10" s="295" t="s">
        <v>10</v>
      </c>
      <c r="HO10" s="89"/>
      <c r="HP10" s="89"/>
    </row>
    <row r="11" spans="1:224" s="206" customFormat="1" ht="29.1" customHeight="1" thickBot="1">
      <c r="A11" s="181" t="s">
        <v>102</v>
      </c>
      <c r="B11" s="178" t="s">
        <v>10</v>
      </c>
      <c r="C11" s="197"/>
      <c r="D11" s="178" t="s">
        <v>6710</v>
      </c>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t="s">
        <v>6709</v>
      </c>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208">
        <v>44545</v>
      </c>
      <c r="BK11" s="198"/>
      <c r="BL11" s="181" t="s">
        <v>4763</v>
      </c>
      <c r="BM11" s="197"/>
      <c r="BN11" s="197"/>
      <c r="BO11" s="197"/>
      <c r="BP11" s="180" t="str">
        <f>INDEX(OrganisationNames,1)</f>
        <v>Tampere University Foundation sr</v>
      </c>
      <c r="BQ11" s="197"/>
      <c r="BR11" s="197"/>
      <c r="BS11" s="271"/>
      <c r="BT11" s="178"/>
      <c r="BU11" s="178" t="s">
        <v>6758</v>
      </c>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row>
    <row r="12" spans="1:224" s="123" customFormat="1" ht="29.1" hidden="1" customHeight="1" thickBot="1">
      <c r="A12" s="86"/>
      <c r="B12" s="86" t="s">
        <v>6665</v>
      </c>
      <c r="C12" s="86" t="s">
        <v>6666</v>
      </c>
      <c r="D12" s="86" t="s">
        <v>103</v>
      </c>
      <c r="E12" s="86" t="s">
        <v>104</v>
      </c>
      <c r="F12" s="86" t="s">
        <v>105</v>
      </c>
      <c r="G12" s="86" t="s">
        <v>106</v>
      </c>
      <c r="H12" s="86" t="s">
        <v>107</v>
      </c>
      <c r="I12" s="86" t="s">
        <v>108</v>
      </c>
      <c r="J12" s="86" t="s">
        <v>109</v>
      </c>
      <c r="K12" s="86" t="s">
        <v>110</v>
      </c>
      <c r="L12" s="86" t="s">
        <v>111</v>
      </c>
      <c r="M12" s="86" t="s">
        <v>112</v>
      </c>
      <c r="N12" s="86" t="s">
        <v>113</v>
      </c>
      <c r="O12" s="86" t="s">
        <v>114</v>
      </c>
      <c r="P12" s="86" t="s">
        <v>115</v>
      </c>
      <c r="Q12" s="86" t="s">
        <v>116</v>
      </c>
      <c r="R12" s="86" t="s">
        <v>117</v>
      </c>
      <c r="S12" s="86" t="s">
        <v>118</v>
      </c>
      <c r="T12" s="86" t="s">
        <v>119</v>
      </c>
      <c r="U12" s="86" t="s">
        <v>5680</v>
      </c>
      <c r="V12" s="86" t="s">
        <v>120</v>
      </c>
      <c r="W12" s="86" t="s">
        <v>121</v>
      </c>
      <c r="X12" s="86" t="s">
        <v>122</v>
      </c>
      <c r="Y12" s="86" t="s">
        <v>123</v>
      </c>
      <c r="Z12" s="86" t="s">
        <v>124</v>
      </c>
      <c r="AA12" s="86" t="s">
        <v>125</v>
      </c>
      <c r="AB12" s="86" t="s">
        <v>126</v>
      </c>
      <c r="AC12" s="86" t="s">
        <v>127</v>
      </c>
      <c r="AD12" s="86" t="s">
        <v>5682</v>
      </c>
      <c r="AE12" s="86" t="s">
        <v>128</v>
      </c>
      <c r="AF12" s="86" t="s">
        <v>5681</v>
      </c>
      <c r="AG12" s="86" t="s">
        <v>129</v>
      </c>
      <c r="AH12" s="86" t="s">
        <v>130</v>
      </c>
      <c r="AI12" s="86" t="s">
        <v>131</v>
      </c>
      <c r="AJ12" s="86" t="s">
        <v>132</v>
      </c>
      <c r="AK12" s="86" t="s">
        <v>133</v>
      </c>
      <c r="AL12" s="86" t="s">
        <v>134</v>
      </c>
      <c r="AM12" s="86" t="s">
        <v>135</v>
      </c>
      <c r="AN12" s="86" t="s">
        <v>136</v>
      </c>
      <c r="AO12" s="86" t="s">
        <v>137</v>
      </c>
      <c r="AP12" s="86" t="s">
        <v>138</v>
      </c>
      <c r="AQ12" s="86" t="s">
        <v>139</v>
      </c>
      <c r="AR12" s="86" t="s">
        <v>140</v>
      </c>
      <c r="AS12" s="86" t="s">
        <v>141</v>
      </c>
      <c r="AT12" s="86" t="s">
        <v>142</v>
      </c>
      <c r="AU12" s="86" t="s">
        <v>143</v>
      </c>
      <c r="AV12" s="86" t="s">
        <v>144</v>
      </c>
      <c r="AW12" s="86" t="s">
        <v>145</v>
      </c>
      <c r="AX12" s="86" t="s">
        <v>5683</v>
      </c>
      <c r="AY12" s="86" t="s">
        <v>146</v>
      </c>
      <c r="AZ12" s="86" t="s">
        <v>147</v>
      </c>
      <c r="BA12" s="86" t="s">
        <v>148</v>
      </c>
      <c r="BB12" s="86" t="s">
        <v>149</v>
      </c>
      <c r="BC12" s="86" t="s">
        <v>150</v>
      </c>
      <c r="BD12" s="86" t="s">
        <v>151</v>
      </c>
      <c r="BE12" s="86" t="s">
        <v>152</v>
      </c>
      <c r="BF12" s="86" t="s">
        <v>153</v>
      </c>
      <c r="BG12" s="86" t="s">
        <v>5685</v>
      </c>
      <c r="BH12" s="86" t="s">
        <v>154</v>
      </c>
      <c r="BI12" s="86" t="s">
        <v>5684</v>
      </c>
      <c r="BJ12" s="86" t="s">
        <v>155</v>
      </c>
      <c r="BK12" s="86" t="s">
        <v>156</v>
      </c>
      <c r="BL12" s="86" t="s">
        <v>157</v>
      </c>
      <c r="BM12" s="86" t="s">
        <v>158</v>
      </c>
      <c r="BN12" s="86" t="s">
        <v>159</v>
      </c>
      <c r="BO12" s="86" t="s">
        <v>160</v>
      </c>
      <c r="BP12" s="86" t="s">
        <v>161</v>
      </c>
      <c r="BQ12" s="86" t="s">
        <v>162</v>
      </c>
      <c r="BR12" s="86" t="s">
        <v>163</v>
      </c>
      <c r="BS12" s="272" t="s">
        <v>5656</v>
      </c>
      <c r="BT12" s="86" t="s">
        <v>164</v>
      </c>
      <c r="BU12" s="86" t="s">
        <v>5659</v>
      </c>
      <c r="BV12" s="86" t="s">
        <v>5843</v>
      </c>
      <c r="BW12" s="86" t="s">
        <v>5842</v>
      </c>
      <c r="BX12" s="86" t="s">
        <v>5841</v>
      </c>
      <c r="BY12" s="86" t="s">
        <v>5840</v>
      </c>
      <c r="BZ12" s="86" t="s">
        <v>5839</v>
      </c>
      <c r="CA12" s="86" t="s">
        <v>5660</v>
      </c>
      <c r="CB12" s="86" t="s">
        <v>5838</v>
      </c>
      <c r="CC12" s="86" t="s">
        <v>5837</v>
      </c>
      <c r="CD12" s="86" t="s">
        <v>5836</v>
      </c>
      <c r="CE12" s="86" t="s">
        <v>5835</v>
      </c>
      <c r="CF12" s="86" t="s">
        <v>5834</v>
      </c>
      <c r="CG12" s="86" t="s">
        <v>5833</v>
      </c>
      <c r="CH12" s="86" t="s">
        <v>5832</v>
      </c>
      <c r="CI12" s="86" t="s">
        <v>5831</v>
      </c>
      <c r="CJ12" s="86" t="s">
        <v>5830</v>
      </c>
      <c r="CK12" s="86" t="s">
        <v>5829</v>
      </c>
      <c r="CL12" s="86" t="s">
        <v>5828</v>
      </c>
      <c r="CM12" s="86" t="s">
        <v>5827</v>
      </c>
      <c r="CN12" s="86" t="s">
        <v>5826</v>
      </c>
      <c r="CO12" s="86" t="s">
        <v>5825</v>
      </c>
      <c r="CP12" s="86" t="s">
        <v>5824</v>
      </c>
      <c r="CQ12" s="86" t="s">
        <v>5823</v>
      </c>
      <c r="CR12" s="86" t="s">
        <v>5822</v>
      </c>
      <c r="CS12" s="86" t="s">
        <v>5821</v>
      </c>
      <c r="CT12" s="86" t="s">
        <v>5820</v>
      </c>
      <c r="CU12" s="86" t="s">
        <v>5819</v>
      </c>
      <c r="CV12" s="86" t="s">
        <v>5818</v>
      </c>
      <c r="CW12" s="86" t="s">
        <v>5817</v>
      </c>
      <c r="CX12" s="86" t="s">
        <v>5657</v>
      </c>
      <c r="CY12" s="86" t="s">
        <v>5658</v>
      </c>
      <c r="CZ12" s="86" t="s">
        <v>5845</v>
      </c>
      <c r="DA12" s="86" t="s">
        <v>5846</v>
      </c>
      <c r="DB12" s="86" t="s">
        <v>5847</v>
      </c>
      <c r="DC12" s="86" t="s">
        <v>5849</v>
      </c>
      <c r="DD12" s="86" t="s">
        <v>5848</v>
      </c>
      <c r="DE12" s="86" t="s">
        <v>5661</v>
      </c>
      <c r="DF12" s="86" t="s">
        <v>5850</v>
      </c>
      <c r="DG12" s="86" t="s">
        <v>5851</v>
      </c>
      <c r="DH12" s="86" t="s">
        <v>5852</v>
      </c>
      <c r="DI12" s="86" t="s">
        <v>5853</v>
      </c>
      <c r="DJ12" s="86" t="s">
        <v>5854</v>
      </c>
      <c r="DK12" s="86" t="s">
        <v>5855</v>
      </c>
      <c r="DL12" s="86" t="s">
        <v>5856</v>
      </c>
      <c r="DM12" s="86" t="s">
        <v>5857</v>
      </c>
      <c r="DN12" s="86" t="s">
        <v>5858</v>
      </c>
      <c r="DO12" s="86" t="s">
        <v>5859</v>
      </c>
      <c r="DP12" s="86" t="s">
        <v>5860</v>
      </c>
      <c r="DQ12" s="86" t="s">
        <v>5861</v>
      </c>
      <c r="DR12" s="86" t="s">
        <v>5862</v>
      </c>
      <c r="DS12" s="86" t="s">
        <v>5863</v>
      </c>
      <c r="DT12" s="86" t="s">
        <v>5864</v>
      </c>
      <c r="DU12" s="86" t="s">
        <v>5865</v>
      </c>
      <c r="DV12" s="86" t="s">
        <v>5866</v>
      </c>
      <c r="DW12" s="86" t="s">
        <v>5867</v>
      </c>
      <c r="DX12" s="86" t="s">
        <v>5868</v>
      </c>
      <c r="DY12" s="86" t="s">
        <v>5869</v>
      </c>
      <c r="DZ12" s="86" t="s">
        <v>5870</v>
      </c>
      <c r="EA12" s="86" t="s">
        <v>5871</v>
      </c>
      <c r="EB12" s="86" t="s">
        <v>5911</v>
      </c>
      <c r="EC12" s="86" t="s">
        <v>5882</v>
      </c>
      <c r="ED12" s="86" t="s">
        <v>5883</v>
      </c>
      <c r="EE12" s="86" t="s">
        <v>5884</v>
      </c>
      <c r="EF12" s="86" t="s">
        <v>5885</v>
      </c>
      <c r="EG12" s="86" t="s">
        <v>5886</v>
      </c>
      <c r="EH12" s="86" t="s">
        <v>5887</v>
      </c>
      <c r="EI12" s="86" t="s">
        <v>5888</v>
      </c>
      <c r="EJ12" s="86" t="s">
        <v>5889</v>
      </c>
      <c r="EK12" s="86" t="s">
        <v>5890</v>
      </c>
      <c r="EL12" s="86" t="s">
        <v>5891</v>
      </c>
      <c r="EM12" s="86" t="s">
        <v>5892</v>
      </c>
      <c r="EN12" s="86" t="s">
        <v>5893</v>
      </c>
      <c r="EO12" s="86" t="s">
        <v>5894</v>
      </c>
      <c r="EP12" s="86" t="s">
        <v>5895</v>
      </c>
      <c r="EQ12" s="86" t="s">
        <v>5896</v>
      </c>
      <c r="ER12" s="86" t="s">
        <v>5897</v>
      </c>
      <c r="ES12" s="86" t="s">
        <v>5898</v>
      </c>
      <c r="ET12" s="86" t="s">
        <v>5899</v>
      </c>
      <c r="EU12" s="86" t="s">
        <v>5900</v>
      </c>
      <c r="EV12" s="86" t="s">
        <v>5901</v>
      </c>
      <c r="EW12" s="86" t="s">
        <v>5902</v>
      </c>
      <c r="EX12" s="86" t="s">
        <v>5903</v>
      </c>
      <c r="EY12" s="86" t="s">
        <v>5904</v>
      </c>
      <c r="EZ12" s="86" t="s">
        <v>5905</v>
      </c>
      <c r="FA12" s="86" t="s">
        <v>5906</v>
      </c>
      <c r="FB12" s="86" t="s">
        <v>5907</v>
      </c>
      <c r="FC12" s="86" t="s">
        <v>5908</v>
      </c>
      <c r="FD12" s="86" t="s">
        <v>5909</v>
      </c>
      <c r="FE12" s="86" t="s">
        <v>5910</v>
      </c>
      <c r="FF12" s="86" t="s">
        <v>5912</v>
      </c>
      <c r="FG12" s="86" t="s">
        <v>5915</v>
      </c>
      <c r="FH12" s="86" t="s">
        <v>5916</v>
      </c>
      <c r="FI12" s="86" t="s">
        <v>5917</v>
      </c>
      <c r="FJ12" s="86" t="s">
        <v>5918</v>
      </c>
      <c r="FK12" s="86" t="s">
        <v>5919</v>
      </c>
      <c r="FL12" s="86" t="s">
        <v>5920</v>
      </c>
      <c r="FM12" s="86" t="s">
        <v>5921</v>
      </c>
      <c r="FN12" s="86" t="s">
        <v>5922</v>
      </c>
      <c r="FO12" s="86" t="s">
        <v>5923</v>
      </c>
      <c r="FP12" s="86" t="s">
        <v>5924</v>
      </c>
      <c r="FQ12" s="86" t="s">
        <v>5925</v>
      </c>
      <c r="FR12" s="86" t="s">
        <v>5926</v>
      </c>
      <c r="FS12" s="86" t="s">
        <v>5927</v>
      </c>
      <c r="FT12" s="86" t="s">
        <v>5928</v>
      </c>
      <c r="FU12" s="86" t="s">
        <v>5929</v>
      </c>
      <c r="FV12" s="86" t="s">
        <v>5930</v>
      </c>
      <c r="FW12" s="86" t="s">
        <v>5931</v>
      </c>
      <c r="FX12" s="86" t="s">
        <v>5932</v>
      </c>
      <c r="FY12" s="86" t="s">
        <v>5933</v>
      </c>
      <c r="FZ12" s="86" t="s">
        <v>5934</v>
      </c>
      <c r="GA12" s="86" t="s">
        <v>5935</v>
      </c>
      <c r="GB12" s="86" t="s">
        <v>5936</v>
      </c>
      <c r="GC12" s="86" t="s">
        <v>5937</v>
      </c>
      <c r="GD12" s="86" t="s">
        <v>5938</v>
      </c>
      <c r="GE12" s="86" t="s">
        <v>5939</v>
      </c>
      <c r="GF12" s="86" t="s">
        <v>5940</v>
      </c>
      <c r="GG12" s="86" t="s">
        <v>5941</v>
      </c>
      <c r="GH12" s="86" t="s">
        <v>5942</v>
      </c>
      <c r="GI12" s="86" t="s">
        <v>5943</v>
      </c>
      <c r="GJ12" s="86" t="s">
        <v>5946</v>
      </c>
      <c r="GK12" s="86" t="s">
        <v>5947</v>
      </c>
      <c r="GL12" s="86" t="s">
        <v>5976</v>
      </c>
      <c r="GM12" s="86" t="s">
        <v>5975</v>
      </c>
      <c r="GN12" s="86" t="s">
        <v>5974</v>
      </c>
      <c r="GO12" s="86" t="s">
        <v>5973</v>
      </c>
      <c r="GP12" s="86" t="s">
        <v>5972</v>
      </c>
      <c r="GQ12" s="86" t="s">
        <v>5971</v>
      </c>
      <c r="GR12" s="86" t="s">
        <v>5970</v>
      </c>
      <c r="GS12" s="86" t="s">
        <v>5969</v>
      </c>
      <c r="GT12" s="86" t="s">
        <v>5968</v>
      </c>
      <c r="GU12" s="86" t="s">
        <v>5967</v>
      </c>
      <c r="GV12" s="86" t="s">
        <v>5966</v>
      </c>
      <c r="GW12" s="86" t="s">
        <v>5965</v>
      </c>
      <c r="GX12" s="86" t="s">
        <v>5964</v>
      </c>
      <c r="GY12" s="86" t="s">
        <v>5963</v>
      </c>
      <c r="GZ12" s="86" t="s">
        <v>5962</v>
      </c>
      <c r="HA12" s="86" t="s">
        <v>5961</v>
      </c>
      <c r="HB12" s="86" t="s">
        <v>5960</v>
      </c>
      <c r="HC12" s="86" t="s">
        <v>5959</v>
      </c>
      <c r="HD12" s="86" t="s">
        <v>5958</v>
      </c>
      <c r="HE12" s="86" t="s">
        <v>5957</v>
      </c>
      <c r="HF12" s="86" t="s">
        <v>5956</v>
      </c>
      <c r="HG12" s="86" t="s">
        <v>5955</v>
      </c>
      <c r="HH12" s="86" t="s">
        <v>5954</v>
      </c>
      <c r="HI12" s="86" t="s">
        <v>5953</v>
      </c>
      <c r="HJ12" s="86" t="s">
        <v>5952</v>
      </c>
      <c r="HK12" s="86" t="s">
        <v>5951</v>
      </c>
      <c r="HL12" s="86" t="s">
        <v>5950</v>
      </c>
      <c r="HM12" s="86" t="s">
        <v>5949</v>
      </c>
      <c r="HN12" s="86" t="s">
        <v>5913</v>
      </c>
    </row>
    <row r="13" spans="1:224" ht="29.1" customHeight="1" thickBot="1">
      <c r="B13" s="216" t="s">
        <v>10</v>
      </c>
      <c r="C13" s="87" t="str">
        <f>IFERROR(VLOOKUP(Credentials[[#This Row],[EuropassCredential.primaryLanguage.Reference]],References!$A$13:$E$41,5,FALSE),"")</f>
        <v>en</v>
      </c>
      <c r="D13" s="216" t="s">
        <v>6710</v>
      </c>
      <c r="E13" s="87">
        <f t="shared" ref="E13:T16" si="6">E$11</f>
        <v>0</v>
      </c>
      <c r="F13" s="87">
        <f t="shared" si="6"/>
        <v>0</v>
      </c>
      <c r="G13" s="87">
        <f t="shared" si="6"/>
        <v>0</v>
      </c>
      <c r="H13" s="87">
        <f t="shared" si="6"/>
        <v>0</v>
      </c>
      <c r="I13" s="87">
        <f t="shared" si="6"/>
        <v>0</v>
      </c>
      <c r="J13" s="87">
        <f t="shared" si="6"/>
        <v>0</v>
      </c>
      <c r="K13" s="87">
        <f t="shared" si="6"/>
        <v>0</v>
      </c>
      <c r="L13" s="87">
        <f t="shared" si="6"/>
        <v>0</v>
      </c>
      <c r="M13" s="87">
        <f t="shared" si="6"/>
        <v>0</v>
      </c>
      <c r="N13" s="87">
        <f t="shared" si="6"/>
        <v>0</v>
      </c>
      <c r="O13" s="87">
        <f t="shared" si="6"/>
        <v>0</v>
      </c>
      <c r="P13" s="87">
        <f t="shared" si="6"/>
        <v>0</v>
      </c>
      <c r="Q13" s="87">
        <f t="shared" si="6"/>
        <v>0</v>
      </c>
      <c r="R13" s="87">
        <f t="shared" si="6"/>
        <v>0</v>
      </c>
      <c r="S13" s="87">
        <f t="shared" si="6"/>
        <v>0</v>
      </c>
      <c r="T13" s="87">
        <f t="shared" si="6"/>
        <v>0</v>
      </c>
      <c r="U13" s="87"/>
      <c r="V13" s="87">
        <f t="shared" ref="V13:AC16" si="7">V$11</f>
        <v>0</v>
      </c>
      <c r="W13" s="87">
        <f t="shared" si="7"/>
        <v>0</v>
      </c>
      <c r="X13" s="87">
        <f t="shared" si="7"/>
        <v>0</v>
      </c>
      <c r="Y13" s="87">
        <f t="shared" si="7"/>
        <v>0</v>
      </c>
      <c r="Z13" s="87">
        <f t="shared" si="7"/>
        <v>0</v>
      </c>
      <c r="AA13" s="87">
        <f t="shared" si="7"/>
        <v>0</v>
      </c>
      <c r="AB13" s="87">
        <f t="shared" si="7"/>
        <v>0</v>
      </c>
      <c r="AC13" s="87">
        <f t="shared" si="7"/>
        <v>0</v>
      </c>
      <c r="AD13" s="87"/>
      <c r="AE13" s="87"/>
      <c r="AF13" s="87">
        <f>AF$11</f>
        <v>0</v>
      </c>
      <c r="AG13" s="87" t="s">
        <v>6709</v>
      </c>
      <c r="AH13" s="87">
        <f t="shared" ref="AH13:AW16" si="8">AH$11</f>
        <v>0</v>
      </c>
      <c r="AI13" s="87">
        <f t="shared" si="8"/>
        <v>0</v>
      </c>
      <c r="AJ13" s="87">
        <f t="shared" si="8"/>
        <v>0</v>
      </c>
      <c r="AK13" s="87">
        <f t="shared" si="8"/>
        <v>0</v>
      </c>
      <c r="AL13" s="87">
        <f t="shared" si="8"/>
        <v>0</v>
      </c>
      <c r="AM13" s="87">
        <f t="shared" si="8"/>
        <v>0</v>
      </c>
      <c r="AN13" s="87">
        <f t="shared" si="8"/>
        <v>0</v>
      </c>
      <c r="AO13" s="87">
        <f t="shared" si="8"/>
        <v>0</v>
      </c>
      <c r="AP13" s="87">
        <f t="shared" si="8"/>
        <v>0</v>
      </c>
      <c r="AQ13" s="87">
        <f t="shared" si="8"/>
        <v>0</v>
      </c>
      <c r="AR13" s="87">
        <f t="shared" si="8"/>
        <v>0</v>
      </c>
      <c r="AS13" s="87">
        <f t="shared" si="8"/>
        <v>0</v>
      </c>
      <c r="AT13" s="87">
        <f t="shared" si="8"/>
        <v>0</v>
      </c>
      <c r="AU13" s="87">
        <f t="shared" si="8"/>
        <v>0</v>
      </c>
      <c r="AV13" s="87">
        <f t="shared" si="8"/>
        <v>0</v>
      </c>
      <c r="AW13" s="87">
        <f t="shared" si="8"/>
        <v>0</v>
      </c>
      <c r="AX13" s="87"/>
      <c r="AY13" s="87">
        <f t="shared" ref="AY13:BF16" si="9">AY$11</f>
        <v>0</v>
      </c>
      <c r="AZ13" s="87">
        <f t="shared" si="9"/>
        <v>0</v>
      </c>
      <c r="BA13" s="87">
        <f t="shared" si="9"/>
        <v>0</v>
      </c>
      <c r="BB13" s="87">
        <f t="shared" si="9"/>
        <v>0</v>
      </c>
      <c r="BC13" s="87">
        <f t="shared" si="9"/>
        <v>0</v>
      </c>
      <c r="BD13" s="87">
        <f t="shared" si="9"/>
        <v>0</v>
      </c>
      <c r="BE13" s="87">
        <f t="shared" si="9"/>
        <v>0</v>
      </c>
      <c r="BF13" s="87">
        <f t="shared" si="9"/>
        <v>0</v>
      </c>
      <c r="BG13" s="87"/>
      <c r="BH13" s="87"/>
      <c r="BI13" s="87">
        <f t="shared" ref="BI13:BJ16" si="10">BI$11</f>
        <v>0</v>
      </c>
      <c r="BJ13" s="312">
        <f t="shared" si="10"/>
        <v>44545</v>
      </c>
      <c r="BK13" s="316" t="str">
        <f t="shared" ref="BK13:BL16" si="11">IF(ISBLANK(BK$11),"",BK$11)</f>
        <v/>
      </c>
      <c r="BL13" s="217" t="str">
        <f t="shared" si="11"/>
        <v>Generic</v>
      </c>
      <c r="BM13" s="317" t="str" cm="1">
        <f t="array" ref="BM13">MultiMatch(Credentials[[#This Row],[EuropassCredential.type.Property.content.]],Vocabularies[name],0)</f>
        <v>42</v>
      </c>
      <c r="BN13" s="318" t="str">
        <f>Persons[[#This Row],[Person.fullName.Property.content.en]]</f>
        <v>Jane1 Doe1</v>
      </c>
      <c r="BO13" s="79" t="str" cm="1">
        <f t="array" ref="BO13">MultiMatch(Credentials[[#This Row],[EuropassCredential.credentialSubject.Reference.Person.]],PersonNames,0)</f>
        <v>13</v>
      </c>
      <c r="BP13" s="216" t="str">
        <f>BP$11</f>
        <v>Tampere University Foundation sr</v>
      </c>
      <c r="BQ13" s="79" t="str" cm="1">
        <f t="array" ref="BQ13">MultiMatch(Credentials[[#This Row],[EuropassCredential.issuer.Reference.Organisation.]],OrganisationNames,0)</f>
        <v>13</v>
      </c>
      <c r="BR13" s="328"/>
      <c r="BS13" s="273"/>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c r="HJ13" s="90"/>
      <c r="HK13" s="90"/>
      <c r="HL13" s="90"/>
      <c r="HM13" s="90"/>
      <c r="HN13" s="90"/>
    </row>
    <row r="14" spans="1:224" ht="29.1" customHeight="1" thickBot="1">
      <c r="B14" s="216" t="s">
        <v>10</v>
      </c>
      <c r="C14" s="87" t="str">
        <f>IFERROR(VLOOKUP(Credentials[[#This Row],[EuropassCredential.primaryLanguage.Reference]],References!$A$13:$E$41,5,FALSE),"")</f>
        <v>en</v>
      </c>
      <c r="D14" s="216" t="s">
        <v>6710</v>
      </c>
      <c r="E14" s="87">
        <f t="shared" si="6"/>
        <v>0</v>
      </c>
      <c r="F14" s="87">
        <f t="shared" si="6"/>
        <v>0</v>
      </c>
      <c r="G14" s="87">
        <f t="shared" si="6"/>
        <v>0</v>
      </c>
      <c r="H14" s="87">
        <f t="shared" si="6"/>
        <v>0</v>
      </c>
      <c r="I14" s="87">
        <f t="shared" si="6"/>
        <v>0</v>
      </c>
      <c r="J14" s="87">
        <f t="shared" si="6"/>
        <v>0</v>
      </c>
      <c r="K14" s="87">
        <f t="shared" si="6"/>
        <v>0</v>
      </c>
      <c r="L14" s="87">
        <f t="shared" si="6"/>
        <v>0</v>
      </c>
      <c r="M14" s="87">
        <f t="shared" si="6"/>
        <v>0</v>
      </c>
      <c r="N14" s="87">
        <f t="shared" si="6"/>
        <v>0</v>
      </c>
      <c r="O14" s="87">
        <f t="shared" si="6"/>
        <v>0</v>
      </c>
      <c r="P14" s="87">
        <f t="shared" si="6"/>
        <v>0</v>
      </c>
      <c r="Q14" s="87">
        <f t="shared" si="6"/>
        <v>0</v>
      </c>
      <c r="R14" s="87">
        <f t="shared" si="6"/>
        <v>0</v>
      </c>
      <c r="S14" s="87">
        <f t="shared" si="6"/>
        <v>0</v>
      </c>
      <c r="T14" s="87">
        <f t="shared" si="6"/>
        <v>0</v>
      </c>
      <c r="U14" s="87"/>
      <c r="V14" s="87">
        <f t="shared" si="7"/>
        <v>0</v>
      </c>
      <c r="W14" s="87">
        <f t="shared" si="7"/>
        <v>0</v>
      </c>
      <c r="X14" s="87">
        <f t="shared" si="7"/>
        <v>0</v>
      </c>
      <c r="Y14" s="87">
        <f t="shared" si="7"/>
        <v>0</v>
      </c>
      <c r="Z14" s="87">
        <f t="shared" si="7"/>
        <v>0</v>
      </c>
      <c r="AA14" s="87">
        <f t="shared" si="7"/>
        <v>0</v>
      </c>
      <c r="AB14" s="87">
        <f t="shared" si="7"/>
        <v>0</v>
      </c>
      <c r="AC14" s="87">
        <f t="shared" si="7"/>
        <v>0</v>
      </c>
      <c r="AD14" s="87"/>
      <c r="AE14" s="87"/>
      <c r="AF14" s="87">
        <f>AF$11</f>
        <v>0</v>
      </c>
      <c r="AG14" s="87"/>
      <c r="AH14" s="87">
        <f t="shared" si="8"/>
        <v>0</v>
      </c>
      <c r="AI14" s="87">
        <f t="shared" si="8"/>
        <v>0</v>
      </c>
      <c r="AJ14" s="87">
        <f t="shared" si="8"/>
        <v>0</v>
      </c>
      <c r="AK14" s="87">
        <f t="shared" si="8"/>
        <v>0</v>
      </c>
      <c r="AL14" s="87">
        <f t="shared" si="8"/>
        <v>0</v>
      </c>
      <c r="AM14" s="87">
        <f t="shared" si="8"/>
        <v>0</v>
      </c>
      <c r="AN14" s="87">
        <f t="shared" si="8"/>
        <v>0</v>
      </c>
      <c r="AO14" s="87">
        <f t="shared" si="8"/>
        <v>0</v>
      </c>
      <c r="AP14" s="87">
        <f t="shared" si="8"/>
        <v>0</v>
      </c>
      <c r="AQ14" s="87">
        <f t="shared" si="8"/>
        <v>0</v>
      </c>
      <c r="AR14" s="87">
        <f t="shared" si="8"/>
        <v>0</v>
      </c>
      <c r="AS14" s="87">
        <f t="shared" si="8"/>
        <v>0</v>
      </c>
      <c r="AT14" s="87">
        <f t="shared" si="8"/>
        <v>0</v>
      </c>
      <c r="AU14" s="87">
        <f t="shared" si="8"/>
        <v>0</v>
      </c>
      <c r="AV14" s="87">
        <f t="shared" si="8"/>
        <v>0</v>
      </c>
      <c r="AW14" s="87">
        <f t="shared" si="8"/>
        <v>0</v>
      </c>
      <c r="AX14" s="87"/>
      <c r="AY14" s="87">
        <f t="shared" si="9"/>
        <v>0</v>
      </c>
      <c r="AZ14" s="87">
        <f t="shared" si="9"/>
        <v>0</v>
      </c>
      <c r="BA14" s="87">
        <f t="shared" si="9"/>
        <v>0</v>
      </c>
      <c r="BB14" s="87">
        <f t="shared" si="9"/>
        <v>0</v>
      </c>
      <c r="BC14" s="87">
        <f t="shared" si="9"/>
        <v>0</v>
      </c>
      <c r="BD14" s="87">
        <f t="shared" si="9"/>
        <v>0</v>
      </c>
      <c r="BE14" s="87">
        <f t="shared" si="9"/>
        <v>0</v>
      </c>
      <c r="BF14" s="87">
        <f t="shared" si="9"/>
        <v>0</v>
      </c>
      <c r="BG14" s="87"/>
      <c r="BH14" s="87"/>
      <c r="BI14" s="87">
        <f t="shared" si="10"/>
        <v>0</v>
      </c>
      <c r="BJ14" s="312">
        <f t="shared" si="10"/>
        <v>44545</v>
      </c>
      <c r="BK14" s="316" t="str">
        <f t="shared" si="11"/>
        <v/>
      </c>
      <c r="BL14" s="217" t="str">
        <f t="shared" si="11"/>
        <v>Generic</v>
      </c>
      <c r="BM14" s="317" t="str" cm="1">
        <f t="array" ref="BM14">MultiMatch(Credentials[[#This Row],[EuropassCredential.type.Property.content.]],Vocabularies[name],0)</f>
        <v>42</v>
      </c>
      <c r="BN14" s="318" t="str">
        <f>Persons[[#This Row],[Person.fullName.Property.content.en]]</f>
        <v>Jane2 Doe2</v>
      </c>
      <c r="BO14" s="79" t="str" cm="1">
        <f t="array" ref="BO14">MultiMatch(Credentials[[#This Row],[EuropassCredential.credentialSubject.Reference.Person.]],PersonNames,0)</f>
        <v>14</v>
      </c>
      <c r="BP14" s="216" t="str">
        <f>BP$11</f>
        <v>Tampere University Foundation sr</v>
      </c>
      <c r="BQ14" s="79" t="str" cm="1">
        <f t="array" ref="BQ14">MultiMatch(Credentials[[#This Row],[EuropassCredential.issuer.Reference.Organisation.]],OrganisationNames,0)</f>
        <v>13</v>
      </c>
      <c r="BR14" s="328"/>
      <c r="BS14" s="273">
        <f t="shared" ref="BS14:BU16" si="12">BS$11</f>
        <v>0</v>
      </c>
      <c r="BT14" s="90">
        <f t="shared" si="12"/>
        <v>0</v>
      </c>
      <c r="BU14" s="90" t="str">
        <f t="shared" si="12"/>
        <v>Date and place of Issue: Tampere</v>
      </c>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f t="shared" ref="CW14:CY16" si="13">CW$11</f>
        <v>0</v>
      </c>
      <c r="CX14" s="90">
        <f t="shared" si="13"/>
        <v>0</v>
      </c>
      <c r="CY14" s="90">
        <f t="shared" si="13"/>
        <v>0</v>
      </c>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f t="shared" ref="EB14:EC16" si="14">EB$11</f>
        <v>0</v>
      </c>
      <c r="EC14" s="90">
        <f t="shared" si="14"/>
        <v>0</v>
      </c>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f t="shared" ref="FF14:FG16" si="15">FF$11</f>
        <v>0</v>
      </c>
      <c r="FG14" s="90">
        <f t="shared" si="15"/>
        <v>0</v>
      </c>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f t="shared" ref="GJ14:GK16" si="16">GJ$11</f>
        <v>0</v>
      </c>
      <c r="GK14" s="90">
        <f t="shared" si="16"/>
        <v>0</v>
      </c>
      <c r="GL14" s="90"/>
      <c r="GM14" s="90"/>
      <c r="GN14" s="90"/>
      <c r="GO14" s="90"/>
      <c r="GP14" s="90"/>
      <c r="GQ14" s="90"/>
      <c r="GR14" s="90"/>
      <c r="GS14" s="90"/>
      <c r="GT14" s="90"/>
      <c r="GU14" s="90"/>
      <c r="GV14" s="90"/>
      <c r="GW14" s="90"/>
      <c r="GX14" s="90"/>
      <c r="GY14" s="90"/>
      <c r="GZ14" s="90"/>
      <c r="HA14" s="90"/>
      <c r="HB14" s="90"/>
      <c r="HC14" s="90"/>
      <c r="HD14" s="90"/>
      <c r="HE14" s="90"/>
      <c r="HF14" s="90"/>
      <c r="HG14" s="90"/>
      <c r="HH14" s="90"/>
      <c r="HI14" s="90"/>
      <c r="HJ14" s="90"/>
      <c r="HK14" s="90"/>
      <c r="HL14" s="90"/>
      <c r="HM14" s="90"/>
      <c r="HN14" s="90">
        <f>HN$11</f>
        <v>0</v>
      </c>
    </row>
    <row r="15" spans="1:224" ht="29.1" customHeight="1" thickBot="1">
      <c r="B15" s="216" t="s">
        <v>10</v>
      </c>
      <c r="C15" s="87" t="str">
        <f>IFERROR(VLOOKUP(Credentials[[#This Row],[EuropassCredential.primaryLanguage.Reference]],References!$A$13:$E$41,5,FALSE),"")</f>
        <v>en</v>
      </c>
      <c r="D15" s="216" t="s">
        <v>6710</v>
      </c>
      <c r="E15" s="87">
        <f t="shared" si="6"/>
        <v>0</v>
      </c>
      <c r="F15" s="87">
        <f t="shared" si="6"/>
        <v>0</v>
      </c>
      <c r="G15" s="87">
        <f t="shared" si="6"/>
        <v>0</v>
      </c>
      <c r="H15" s="87">
        <f t="shared" si="6"/>
        <v>0</v>
      </c>
      <c r="I15" s="87">
        <f t="shared" si="6"/>
        <v>0</v>
      </c>
      <c r="J15" s="87">
        <f t="shared" si="6"/>
        <v>0</v>
      </c>
      <c r="K15" s="87">
        <f t="shared" si="6"/>
        <v>0</v>
      </c>
      <c r="L15" s="87">
        <f t="shared" si="6"/>
        <v>0</v>
      </c>
      <c r="M15" s="87">
        <f t="shared" si="6"/>
        <v>0</v>
      </c>
      <c r="N15" s="87">
        <f t="shared" si="6"/>
        <v>0</v>
      </c>
      <c r="O15" s="87">
        <f t="shared" si="6"/>
        <v>0</v>
      </c>
      <c r="P15" s="87">
        <f t="shared" si="6"/>
        <v>0</v>
      </c>
      <c r="Q15" s="87">
        <f t="shared" si="6"/>
        <v>0</v>
      </c>
      <c r="R15" s="87">
        <f t="shared" si="6"/>
        <v>0</v>
      </c>
      <c r="S15" s="87">
        <f t="shared" si="6"/>
        <v>0</v>
      </c>
      <c r="T15" s="87">
        <f t="shared" si="6"/>
        <v>0</v>
      </c>
      <c r="U15" s="87"/>
      <c r="V15" s="87">
        <f t="shared" si="7"/>
        <v>0</v>
      </c>
      <c r="W15" s="87">
        <f t="shared" si="7"/>
        <v>0</v>
      </c>
      <c r="X15" s="87">
        <f t="shared" si="7"/>
        <v>0</v>
      </c>
      <c r="Y15" s="87">
        <f t="shared" si="7"/>
        <v>0</v>
      </c>
      <c r="Z15" s="87">
        <f t="shared" si="7"/>
        <v>0</v>
      </c>
      <c r="AA15" s="87">
        <f t="shared" si="7"/>
        <v>0</v>
      </c>
      <c r="AB15" s="87">
        <f t="shared" si="7"/>
        <v>0</v>
      </c>
      <c r="AC15" s="87">
        <f t="shared" si="7"/>
        <v>0</v>
      </c>
      <c r="AD15" s="87"/>
      <c r="AE15" s="87"/>
      <c r="AF15" s="87">
        <f>AF$11</f>
        <v>0</v>
      </c>
      <c r="AG15" s="87"/>
      <c r="AH15" s="87">
        <f t="shared" si="8"/>
        <v>0</v>
      </c>
      <c r="AI15" s="87">
        <f t="shared" si="8"/>
        <v>0</v>
      </c>
      <c r="AJ15" s="87">
        <f t="shared" si="8"/>
        <v>0</v>
      </c>
      <c r="AK15" s="87">
        <f t="shared" si="8"/>
        <v>0</v>
      </c>
      <c r="AL15" s="87">
        <f t="shared" si="8"/>
        <v>0</v>
      </c>
      <c r="AM15" s="87">
        <f t="shared" si="8"/>
        <v>0</v>
      </c>
      <c r="AN15" s="87">
        <f t="shared" si="8"/>
        <v>0</v>
      </c>
      <c r="AO15" s="87">
        <f t="shared" si="8"/>
        <v>0</v>
      </c>
      <c r="AP15" s="87">
        <f t="shared" si="8"/>
        <v>0</v>
      </c>
      <c r="AQ15" s="87">
        <f t="shared" si="8"/>
        <v>0</v>
      </c>
      <c r="AR15" s="87">
        <f t="shared" si="8"/>
        <v>0</v>
      </c>
      <c r="AS15" s="87">
        <f t="shared" si="8"/>
        <v>0</v>
      </c>
      <c r="AT15" s="87">
        <f t="shared" si="8"/>
        <v>0</v>
      </c>
      <c r="AU15" s="87">
        <f t="shared" si="8"/>
        <v>0</v>
      </c>
      <c r="AV15" s="87">
        <f t="shared" si="8"/>
        <v>0</v>
      </c>
      <c r="AW15" s="87">
        <f t="shared" si="8"/>
        <v>0</v>
      </c>
      <c r="AX15" s="87"/>
      <c r="AY15" s="87">
        <f t="shared" si="9"/>
        <v>0</v>
      </c>
      <c r="AZ15" s="87">
        <f t="shared" si="9"/>
        <v>0</v>
      </c>
      <c r="BA15" s="87">
        <f t="shared" si="9"/>
        <v>0</v>
      </c>
      <c r="BB15" s="87">
        <f t="shared" si="9"/>
        <v>0</v>
      </c>
      <c r="BC15" s="87">
        <f t="shared" si="9"/>
        <v>0</v>
      </c>
      <c r="BD15" s="87">
        <f t="shared" si="9"/>
        <v>0</v>
      </c>
      <c r="BE15" s="87">
        <f t="shared" si="9"/>
        <v>0</v>
      </c>
      <c r="BF15" s="87">
        <f t="shared" si="9"/>
        <v>0</v>
      </c>
      <c r="BG15" s="87"/>
      <c r="BH15" s="87"/>
      <c r="BI15" s="87">
        <f t="shared" si="10"/>
        <v>0</v>
      </c>
      <c r="BJ15" s="312">
        <f t="shared" si="10"/>
        <v>44545</v>
      </c>
      <c r="BK15" s="316" t="str">
        <f t="shared" si="11"/>
        <v/>
      </c>
      <c r="BL15" s="217" t="str">
        <f t="shared" si="11"/>
        <v>Generic</v>
      </c>
      <c r="BM15" s="317" t="str" cm="1">
        <f t="array" ref="BM15">MultiMatch(Credentials[[#This Row],[EuropassCredential.type.Property.content.]],Vocabularies[name],0)</f>
        <v>42</v>
      </c>
      <c r="BN15" s="318" t="str">
        <f>Persons[[#This Row],[Person.fullName.Property.content.en]]</f>
        <v>John3 Doe3</v>
      </c>
      <c r="BO15" s="79" t="str" cm="1">
        <f t="array" ref="BO15">MultiMatch(Credentials[[#This Row],[EuropassCredential.credentialSubject.Reference.Person.]],PersonNames,0)</f>
        <v>15</v>
      </c>
      <c r="BP15" s="216" t="str">
        <f>BP$11</f>
        <v>Tampere University Foundation sr</v>
      </c>
      <c r="BQ15" s="79" t="str" cm="1">
        <f t="array" ref="BQ15">MultiMatch(Credentials[[#This Row],[EuropassCredential.issuer.Reference.Organisation.]],OrganisationNames,0)</f>
        <v>13</v>
      </c>
      <c r="BR15" s="328"/>
      <c r="BS15" s="273">
        <f t="shared" si="12"/>
        <v>0</v>
      </c>
      <c r="BT15" s="90">
        <f t="shared" si="12"/>
        <v>0</v>
      </c>
      <c r="BU15" s="90" t="str">
        <f t="shared" si="12"/>
        <v>Date and place of Issue: Tampere</v>
      </c>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f t="shared" si="13"/>
        <v>0</v>
      </c>
      <c r="CX15" s="90">
        <f t="shared" si="13"/>
        <v>0</v>
      </c>
      <c r="CY15" s="90">
        <f t="shared" si="13"/>
        <v>0</v>
      </c>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f t="shared" si="14"/>
        <v>0</v>
      </c>
      <c r="EC15" s="90">
        <f t="shared" si="14"/>
        <v>0</v>
      </c>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f t="shared" si="15"/>
        <v>0</v>
      </c>
      <c r="FG15" s="90">
        <f t="shared" si="15"/>
        <v>0</v>
      </c>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f t="shared" si="16"/>
        <v>0</v>
      </c>
      <c r="GK15" s="90">
        <f t="shared" si="16"/>
        <v>0</v>
      </c>
      <c r="GL15" s="90"/>
      <c r="GM15" s="90"/>
      <c r="GN15" s="90"/>
      <c r="GO15" s="90"/>
      <c r="GP15" s="90"/>
      <c r="GQ15" s="90"/>
      <c r="GR15" s="90"/>
      <c r="GS15" s="90"/>
      <c r="GT15" s="90"/>
      <c r="GU15" s="90"/>
      <c r="GV15" s="90"/>
      <c r="GW15" s="90"/>
      <c r="GX15" s="90"/>
      <c r="GY15" s="90"/>
      <c r="GZ15" s="90"/>
      <c r="HA15" s="90"/>
      <c r="HB15" s="90"/>
      <c r="HC15" s="90"/>
      <c r="HD15" s="90"/>
      <c r="HE15" s="90"/>
      <c r="HF15" s="90"/>
      <c r="HG15" s="90"/>
      <c r="HH15" s="90"/>
      <c r="HI15" s="90"/>
      <c r="HJ15" s="90"/>
      <c r="HK15" s="90"/>
      <c r="HL15" s="90"/>
      <c r="HM15" s="90"/>
      <c r="HN15" s="90">
        <f>HN$11</f>
        <v>0</v>
      </c>
    </row>
    <row r="16" spans="1:224" ht="29.1" customHeight="1" thickBot="1">
      <c r="B16" s="216" t="s">
        <v>10</v>
      </c>
      <c r="C16" s="87" t="str">
        <f>IFERROR(VLOOKUP(Credentials[[#This Row],[EuropassCredential.primaryLanguage.Reference]],References!$A$13:$E$41,5,FALSE),"")</f>
        <v>en</v>
      </c>
      <c r="D16" s="216" t="s">
        <v>6710</v>
      </c>
      <c r="E16" s="87">
        <f t="shared" si="6"/>
        <v>0</v>
      </c>
      <c r="F16" s="87">
        <f t="shared" si="6"/>
        <v>0</v>
      </c>
      <c r="G16" s="87">
        <f t="shared" si="6"/>
        <v>0</v>
      </c>
      <c r="H16" s="87">
        <f t="shared" si="6"/>
        <v>0</v>
      </c>
      <c r="I16" s="87">
        <f t="shared" si="6"/>
        <v>0</v>
      </c>
      <c r="J16" s="87">
        <f t="shared" si="6"/>
        <v>0</v>
      </c>
      <c r="K16" s="87">
        <f t="shared" si="6"/>
        <v>0</v>
      </c>
      <c r="L16" s="87">
        <f t="shared" si="6"/>
        <v>0</v>
      </c>
      <c r="M16" s="87">
        <f t="shared" si="6"/>
        <v>0</v>
      </c>
      <c r="N16" s="87">
        <f t="shared" si="6"/>
        <v>0</v>
      </c>
      <c r="O16" s="87">
        <f t="shared" si="6"/>
        <v>0</v>
      </c>
      <c r="P16" s="87">
        <f t="shared" si="6"/>
        <v>0</v>
      </c>
      <c r="Q16" s="87">
        <f t="shared" si="6"/>
        <v>0</v>
      </c>
      <c r="R16" s="87">
        <f t="shared" si="6"/>
        <v>0</v>
      </c>
      <c r="S16" s="87">
        <f t="shared" si="6"/>
        <v>0</v>
      </c>
      <c r="T16" s="87">
        <f t="shared" si="6"/>
        <v>0</v>
      </c>
      <c r="U16" s="87"/>
      <c r="V16" s="87">
        <f t="shared" si="7"/>
        <v>0</v>
      </c>
      <c r="W16" s="87">
        <f t="shared" si="7"/>
        <v>0</v>
      </c>
      <c r="X16" s="87">
        <f t="shared" si="7"/>
        <v>0</v>
      </c>
      <c r="Y16" s="87">
        <f t="shared" si="7"/>
        <v>0</v>
      </c>
      <c r="Z16" s="87">
        <f t="shared" si="7"/>
        <v>0</v>
      </c>
      <c r="AA16" s="87">
        <f t="shared" si="7"/>
        <v>0</v>
      </c>
      <c r="AB16" s="87">
        <f t="shared" si="7"/>
        <v>0</v>
      </c>
      <c r="AC16" s="87">
        <f t="shared" si="7"/>
        <v>0</v>
      </c>
      <c r="AD16" s="87"/>
      <c r="AE16" s="87"/>
      <c r="AF16" s="87">
        <f>AF$11</f>
        <v>0</v>
      </c>
      <c r="AG16" s="87"/>
      <c r="AH16" s="87">
        <f t="shared" si="8"/>
        <v>0</v>
      </c>
      <c r="AI16" s="87">
        <f t="shared" si="8"/>
        <v>0</v>
      </c>
      <c r="AJ16" s="87">
        <f t="shared" si="8"/>
        <v>0</v>
      </c>
      <c r="AK16" s="87">
        <f t="shared" si="8"/>
        <v>0</v>
      </c>
      <c r="AL16" s="87">
        <f t="shared" si="8"/>
        <v>0</v>
      </c>
      <c r="AM16" s="87">
        <f t="shared" si="8"/>
        <v>0</v>
      </c>
      <c r="AN16" s="87">
        <f t="shared" si="8"/>
        <v>0</v>
      </c>
      <c r="AO16" s="87">
        <f t="shared" si="8"/>
        <v>0</v>
      </c>
      <c r="AP16" s="87">
        <f t="shared" si="8"/>
        <v>0</v>
      </c>
      <c r="AQ16" s="87">
        <f t="shared" si="8"/>
        <v>0</v>
      </c>
      <c r="AR16" s="87">
        <f t="shared" si="8"/>
        <v>0</v>
      </c>
      <c r="AS16" s="87">
        <f t="shared" si="8"/>
        <v>0</v>
      </c>
      <c r="AT16" s="87">
        <f t="shared" si="8"/>
        <v>0</v>
      </c>
      <c r="AU16" s="87">
        <f t="shared" si="8"/>
        <v>0</v>
      </c>
      <c r="AV16" s="87">
        <f t="shared" si="8"/>
        <v>0</v>
      </c>
      <c r="AW16" s="87">
        <f t="shared" si="8"/>
        <v>0</v>
      </c>
      <c r="AX16" s="87"/>
      <c r="AY16" s="87">
        <f t="shared" si="9"/>
        <v>0</v>
      </c>
      <c r="AZ16" s="87">
        <f t="shared" si="9"/>
        <v>0</v>
      </c>
      <c r="BA16" s="87">
        <f t="shared" si="9"/>
        <v>0</v>
      </c>
      <c r="BB16" s="87">
        <f t="shared" si="9"/>
        <v>0</v>
      </c>
      <c r="BC16" s="87">
        <f t="shared" si="9"/>
        <v>0</v>
      </c>
      <c r="BD16" s="87">
        <f t="shared" si="9"/>
        <v>0</v>
      </c>
      <c r="BE16" s="87">
        <f t="shared" si="9"/>
        <v>0</v>
      </c>
      <c r="BF16" s="87">
        <f t="shared" si="9"/>
        <v>0</v>
      </c>
      <c r="BG16" s="87"/>
      <c r="BH16" s="87"/>
      <c r="BI16" s="87">
        <f t="shared" si="10"/>
        <v>0</v>
      </c>
      <c r="BJ16" s="312">
        <f t="shared" si="10"/>
        <v>44545</v>
      </c>
      <c r="BK16" s="316" t="str">
        <f t="shared" si="11"/>
        <v/>
      </c>
      <c r="BL16" s="217" t="str">
        <f t="shared" si="11"/>
        <v>Generic</v>
      </c>
      <c r="BM16" s="317" t="str" cm="1">
        <f t="array" ref="BM16">MultiMatch(Credentials[[#This Row],[EuropassCredential.type.Property.content.]],Vocabularies[name],0)</f>
        <v>42</v>
      </c>
      <c r="BN16" s="318" t="str">
        <f>Persons[[#This Row],[Person.fullName.Property.content.en]]</f>
        <v>John4 Doe4</v>
      </c>
      <c r="BO16" s="79" t="str" cm="1">
        <f t="array" ref="BO16">MultiMatch(Credentials[[#This Row],[EuropassCredential.credentialSubject.Reference.Person.]],PersonNames,0)</f>
        <v>16</v>
      </c>
      <c r="BP16" s="216" t="str">
        <f>BP$11</f>
        <v>Tampere University Foundation sr</v>
      </c>
      <c r="BQ16" s="79" t="str" cm="1">
        <f t="array" ref="BQ16">MultiMatch(Credentials[[#This Row],[EuropassCredential.issuer.Reference.Organisation.]],OrganisationNames,0)</f>
        <v>13</v>
      </c>
      <c r="BR16" s="328"/>
      <c r="BS16" s="273">
        <f t="shared" si="12"/>
        <v>0</v>
      </c>
      <c r="BT16" s="90">
        <f t="shared" si="12"/>
        <v>0</v>
      </c>
      <c r="BU16" s="90" t="str">
        <f t="shared" si="12"/>
        <v>Date and place of Issue: Tampere</v>
      </c>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f t="shared" si="13"/>
        <v>0</v>
      </c>
      <c r="CX16" s="90">
        <f t="shared" si="13"/>
        <v>0</v>
      </c>
      <c r="CY16" s="90">
        <f t="shared" si="13"/>
        <v>0</v>
      </c>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f t="shared" si="14"/>
        <v>0</v>
      </c>
      <c r="EC16" s="90">
        <f t="shared" si="14"/>
        <v>0</v>
      </c>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f t="shared" si="15"/>
        <v>0</v>
      </c>
      <c r="FG16" s="90">
        <f t="shared" si="15"/>
        <v>0</v>
      </c>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f t="shared" si="16"/>
        <v>0</v>
      </c>
      <c r="GK16" s="90">
        <f t="shared" si="16"/>
        <v>0</v>
      </c>
      <c r="GL16" s="90"/>
      <c r="GM16" s="90"/>
      <c r="GN16" s="90"/>
      <c r="GO16" s="90"/>
      <c r="GP16" s="90"/>
      <c r="GQ16" s="90"/>
      <c r="GR16" s="90"/>
      <c r="GS16" s="90"/>
      <c r="GT16" s="90"/>
      <c r="GU16" s="90"/>
      <c r="GV16" s="90"/>
      <c r="GW16" s="90"/>
      <c r="GX16" s="90"/>
      <c r="GY16" s="90"/>
      <c r="GZ16" s="90"/>
      <c r="HA16" s="90"/>
      <c r="HB16" s="90"/>
      <c r="HC16" s="90"/>
      <c r="HD16" s="90"/>
      <c r="HE16" s="90"/>
      <c r="HF16" s="90"/>
      <c r="HG16" s="90"/>
      <c r="HH16" s="90"/>
      <c r="HI16" s="90"/>
      <c r="HJ16" s="90"/>
      <c r="HK16" s="90"/>
      <c r="HL16" s="90"/>
      <c r="HM16" s="90"/>
      <c r="HN16" s="90">
        <f>HN$11</f>
        <v>0</v>
      </c>
    </row>
  </sheetData>
  <sheetProtection algorithmName="SHA-512" hashValue="46bJ57xQ41u38OBZDygBrn+oQ4BKy24cRYwM4AD1pHVE+clOYVl6yUy5nGNaA2xVDkgW+ZSGKZtHvWaBMfpW4w==" saltValue="ZVqPxFRg0hEmO/Lw2sbpbA==" spinCount="100000" sheet="1" objects="1" scenarios="1" formatColumns="0"/>
  <phoneticPr fontId="12" type="noConversion"/>
  <dataValidations count="6">
    <dataValidation type="list" allowBlank="1" showInputMessage="1" showErrorMessage="1" sqref="BL12" xr:uid="{00000000-0002-0000-0100-000000000000}">
      <formula1>CredentialTypeNames</formula1>
    </dataValidation>
    <dataValidation type="list" allowBlank="1" showInputMessage="1" showErrorMessage="1" sqref="BP11 BQ17 BP13:BP16" xr:uid="{00000000-0002-0000-0100-000001000000}">
      <formula1>OrganisationNames</formula1>
    </dataValidation>
    <dataValidation type="date" operator="greaterThan" allowBlank="1" showInputMessage="1" showErrorMessage="1" sqref="BJ11 BK17 BJ13:BJ16" xr:uid="{00000000-0002-0000-0100-000003000000}">
      <formula1>1</formula1>
    </dataValidation>
    <dataValidation type="date" operator="greaterThanOrEqual" allowBlank="1" showInputMessage="1" showErrorMessage="1" sqref="BK11 BL17 BK13:BK16" xr:uid="{00000000-0002-0000-0100-000004000000}">
      <formula1>BJ11</formula1>
    </dataValidation>
    <dataValidation type="list" allowBlank="1" showInputMessage="1" showErrorMessage="1" sqref="B11 B13:B16" xr:uid="{50E82DAA-180D-47D2-992C-2FF1D7C65433}">
      <formula1>EULanguageNames</formula1>
    </dataValidation>
    <dataValidation type="list" allowBlank="1" showInputMessage="1" showErrorMessage="1" sqref="BO17 BN13:BN16" xr:uid="{00000000-0002-0000-0100-000002000000}">
      <formula1>PersonNames</formula1>
    </dataValidation>
  </dataValidations>
  <hyperlinks>
    <hyperlink ref="BT8" r:id="rId1" location="3268" xr:uid="{C28A3DB0-916C-4D84-97F1-8511DAAA09D0}"/>
  </hyperlinks>
  <pageMargins left="0.7" right="0.7" top="0.75" bottom="0.75" header="0.3" footer="0.3"/>
  <pageSetup paperSize="9" orientation="portrait" horizontalDpi="300" verticalDpi="300" r:id="rId2"/>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743A2EA5-ECE3-4F96-B25D-83BA0978A7B6}">
          <x14:formula1>
            <xm:f>References!$D$42</xm:f>
          </x14:formula1>
          <xm:sqref>BL11 BM17 BL13:BL16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A16"/>
  <sheetViews>
    <sheetView zoomScale="90" zoomScaleNormal="90" workbookViewId="0">
      <pane xSplit="4" ySplit="12" topLeftCell="Q13" activePane="bottomRight" state="frozen"/>
      <selection pane="topRight" activeCell="E1" sqref="E1"/>
      <selection pane="bottomLeft" activeCell="A13" sqref="A13"/>
      <selection pane="bottomRight" activeCell="Q17" sqref="Q17"/>
    </sheetView>
  </sheetViews>
  <sheetFormatPr defaultColWidth="9.140625" defaultRowHeight="29.85" customHeight="1"/>
  <cols>
    <col min="1" max="1" width="23.85546875" style="79" customWidth="1"/>
    <col min="2" max="2" width="0.85546875" style="79" hidden="1" customWidth="1"/>
    <col min="3" max="4" width="16.85546875" style="79" customWidth="1"/>
    <col min="5" max="5" width="12.42578125" style="79" customWidth="1"/>
    <col min="6" max="7" width="23.7109375" style="79" hidden="1" customWidth="1"/>
    <col min="8" max="8" width="11.85546875" style="79" customWidth="1"/>
    <col min="9" max="9" width="11.85546875" style="79" hidden="1" customWidth="1"/>
    <col min="10" max="11" width="15.7109375" style="79" customWidth="1"/>
    <col min="12" max="12" width="17.42578125" style="79" hidden="1" customWidth="1"/>
    <col min="13" max="13" width="16.42578125" style="79" customWidth="1"/>
    <col min="14" max="14" width="18.140625" style="79" hidden="1" customWidth="1"/>
    <col min="15" max="15" width="16.42578125" style="79" customWidth="1"/>
    <col min="16" max="16" width="18" style="79" hidden="1" customWidth="1"/>
    <col min="17" max="17" width="26.85546875" style="79" customWidth="1"/>
    <col min="18" max="18" width="19.85546875" style="79" customWidth="1"/>
    <col min="19" max="19" width="26.85546875" style="79" customWidth="1"/>
    <col min="20" max="20" width="20.140625" style="79" customWidth="1"/>
    <col min="21" max="22" width="21" style="79" bestFit="1" customWidth="1"/>
    <col min="23" max="23" width="33.140625" style="79" customWidth="1"/>
    <col min="24" max="51" width="33.140625" style="79" hidden="1" customWidth="1"/>
    <col min="52" max="52" width="15.140625" style="79" customWidth="1"/>
    <col min="53" max="53" width="17.42578125" style="79" hidden="1" customWidth="1"/>
    <col min="54" max="54" width="40.85546875" style="79" customWidth="1"/>
    <col min="55" max="55" width="8.140625" style="79" hidden="1" customWidth="1"/>
    <col min="56" max="56" width="42.140625" style="79" customWidth="1"/>
    <col min="57" max="57" width="7.140625" style="79" hidden="1" customWidth="1"/>
    <col min="58" max="58" width="35.140625" style="79" customWidth="1"/>
    <col min="59" max="59" width="6.85546875" style="79" hidden="1" customWidth="1"/>
    <col min="60" max="60" width="9.140625" style="89" customWidth="1"/>
    <col min="61" max="16384" width="9.140625" style="89"/>
  </cols>
  <sheetData>
    <row r="1" spans="1:79" ht="23.25">
      <c r="A1" s="99" t="s">
        <v>165</v>
      </c>
      <c r="B1" s="77"/>
      <c r="C1" s="77"/>
      <c r="D1" s="77"/>
    </row>
    <row r="2" spans="1:79" ht="29.1" hidden="1" customHeight="1">
      <c r="A2" s="80" t="s">
        <v>166</v>
      </c>
      <c r="B2" s="80" t="s">
        <v>35</v>
      </c>
      <c r="C2" s="80" t="s">
        <v>35</v>
      </c>
      <c r="D2" s="80" t="s">
        <v>35</v>
      </c>
      <c r="E2" s="80" t="s">
        <v>35</v>
      </c>
      <c r="F2" s="80" t="s">
        <v>35</v>
      </c>
      <c r="G2" s="80" t="s">
        <v>35</v>
      </c>
      <c r="H2" s="80" t="s">
        <v>35</v>
      </c>
      <c r="I2" s="80" t="s">
        <v>35</v>
      </c>
      <c r="J2" s="80" t="s">
        <v>167</v>
      </c>
      <c r="K2" s="80" t="s">
        <v>167</v>
      </c>
      <c r="L2" s="80" t="s">
        <v>167</v>
      </c>
      <c r="M2" s="80" t="s">
        <v>168</v>
      </c>
      <c r="N2" s="80" t="s">
        <v>168</v>
      </c>
      <c r="O2" s="80" t="s">
        <v>35</v>
      </c>
      <c r="P2" s="80" t="s">
        <v>35</v>
      </c>
      <c r="Q2" s="80" t="s">
        <v>169</v>
      </c>
      <c r="R2" s="80" t="s">
        <v>169</v>
      </c>
      <c r="S2" s="80" t="s">
        <v>170</v>
      </c>
      <c r="T2" s="80" t="s">
        <v>170</v>
      </c>
      <c r="U2" s="80" t="s">
        <v>171</v>
      </c>
      <c r="V2" s="80" t="s">
        <v>171</v>
      </c>
      <c r="W2" s="93" t="s">
        <v>172</v>
      </c>
      <c r="X2" s="93" t="s">
        <v>172</v>
      </c>
      <c r="Y2" s="93" t="s">
        <v>172</v>
      </c>
      <c r="Z2" s="93" t="s">
        <v>172</v>
      </c>
      <c r="AA2" s="93" t="s">
        <v>172</v>
      </c>
      <c r="AB2" s="93" t="s">
        <v>172</v>
      </c>
      <c r="AC2" s="93" t="s">
        <v>172</v>
      </c>
      <c r="AD2" s="93" t="s">
        <v>172</v>
      </c>
      <c r="AE2" s="93" t="s">
        <v>172</v>
      </c>
      <c r="AF2" s="93" t="s">
        <v>172</v>
      </c>
      <c r="AG2" s="93" t="s">
        <v>172</v>
      </c>
      <c r="AH2" s="93" t="s">
        <v>172</v>
      </c>
      <c r="AI2" s="93" t="s">
        <v>172</v>
      </c>
      <c r="AJ2" s="93" t="s">
        <v>172</v>
      </c>
      <c r="AK2" s="93" t="s">
        <v>172</v>
      </c>
      <c r="AL2" s="93" t="s">
        <v>172</v>
      </c>
      <c r="AM2" s="93" t="s">
        <v>172</v>
      </c>
      <c r="AN2" s="93" t="s">
        <v>172</v>
      </c>
      <c r="AO2" s="93" t="s">
        <v>172</v>
      </c>
      <c r="AP2" s="93" t="s">
        <v>172</v>
      </c>
      <c r="AQ2" s="93" t="s">
        <v>172</v>
      </c>
      <c r="AR2" s="93" t="s">
        <v>172</v>
      </c>
      <c r="AS2" s="93" t="s">
        <v>172</v>
      </c>
      <c r="AT2" s="93" t="s">
        <v>172</v>
      </c>
      <c r="AU2" s="93" t="s">
        <v>172</v>
      </c>
      <c r="AV2" s="93" t="s">
        <v>172</v>
      </c>
      <c r="AW2" s="93" t="s">
        <v>172</v>
      </c>
      <c r="AX2" s="93" t="s">
        <v>172</v>
      </c>
      <c r="AY2" s="93" t="s">
        <v>172</v>
      </c>
      <c r="AZ2" s="93" t="s">
        <v>172</v>
      </c>
      <c r="BA2" s="93" t="s">
        <v>172</v>
      </c>
      <c r="BB2" s="80" t="s">
        <v>35</v>
      </c>
      <c r="BC2" s="80" t="s">
        <v>35</v>
      </c>
      <c r="BD2" s="80" t="s">
        <v>35</v>
      </c>
      <c r="BE2" s="80" t="s">
        <v>35</v>
      </c>
      <c r="BF2" s="80" t="s">
        <v>35</v>
      </c>
      <c r="BG2" s="80" t="s">
        <v>35</v>
      </c>
      <c r="BH2" s="80" t="s">
        <v>35</v>
      </c>
      <c r="BI2" s="80" t="s">
        <v>35</v>
      </c>
      <c r="BJ2" s="80" t="s">
        <v>35</v>
      </c>
      <c r="BK2" s="80" t="s">
        <v>35</v>
      </c>
      <c r="BL2" s="80" t="s">
        <v>35</v>
      </c>
      <c r="BM2" s="80" t="s">
        <v>35</v>
      </c>
      <c r="BN2" s="80" t="s">
        <v>35</v>
      </c>
      <c r="BO2" s="80" t="s">
        <v>35</v>
      </c>
      <c r="BP2" s="80" t="s">
        <v>35</v>
      </c>
      <c r="BQ2" s="80" t="s">
        <v>35</v>
      </c>
      <c r="BR2" s="80" t="s">
        <v>35</v>
      </c>
      <c r="BS2" s="80" t="s">
        <v>35</v>
      </c>
      <c r="BT2" s="80" t="s">
        <v>35</v>
      </c>
      <c r="BU2" s="80" t="s">
        <v>35</v>
      </c>
      <c r="BV2" s="80" t="s">
        <v>35</v>
      </c>
      <c r="BW2" s="80" t="s">
        <v>35</v>
      </c>
      <c r="BX2" s="80" t="s">
        <v>35</v>
      </c>
      <c r="BY2" s="80" t="s">
        <v>35</v>
      </c>
      <c r="BZ2" s="80" t="s">
        <v>35</v>
      </c>
      <c r="CA2" s="80" t="s">
        <v>35</v>
      </c>
    </row>
    <row r="3" spans="1:79" ht="29.1" hidden="1" customHeight="1">
      <c r="A3" s="80" t="s">
        <v>17</v>
      </c>
      <c r="B3" s="80" t="s">
        <v>173</v>
      </c>
      <c r="C3" s="80" t="s">
        <v>174</v>
      </c>
      <c r="D3" s="80" t="s">
        <v>175</v>
      </c>
      <c r="E3" s="80" t="s">
        <v>176</v>
      </c>
      <c r="F3" s="80" t="s">
        <v>5874</v>
      </c>
      <c r="G3" s="80" t="s">
        <v>5878</v>
      </c>
      <c r="H3" s="80" t="s">
        <v>177</v>
      </c>
      <c r="I3" s="80" t="s">
        <v>177</v>
      </c>
      <c r="J3" s="80" t="s">
        <v>33</v>
      </c>
      <c r="K3" s="80" t="s">
        <v>178</v>
      </c>
      <c r="L3" s="80" t="s">
        <v>179</v>
      </c>
      <c r="M3" s="80" t="s">
        <v>180</v>
      </c>
      <c r="N3" s="80" t="s">
        <v>180</v>
      </c>
      <c r="O3" s="80" t="s">
        <v>181</v>
      </c>
      <c r="P3" s="80" t="s">
        <v>181</v>
      </c>
      <c r="Q3" s="80" t="s">
        <v>182</v>
      </c>
      <c r="R3" s="93" t="s">
        <v>33</v>
      </c>
      <c r="S3" s="80" t="s">
        <v>182</v>
      </c>
      <c r="T3" s="93" t="s">
        <v>33</v>
      </c>
      <c r="U3" s="80" t="s">
        <v>183</v>
      </c>
      <c r="V3" s="80" t="s">
        <v>5648</v>
      </c>
      <c r="W3" s="93" t="s">
        <v>185</v>
      </c>
      <c r="X3" s="93" t="s">
        <v>185</v>
      </c>
      <c r="Y3" s="93" t="s">
        <v>185</v>
      </c>
      <c r="Z3" s="93" t="s">
        <v>185</v>
      </c>
      <c r="AA3" s="93" t="s">
        <v>185</v>
      </c>
      <c r="AB3" s="93" t="s">
        <v>185</v>
      </c>
      <c r="AC3" s="93" t="s">
        <v>185</v>
      </c>
      <c r="AD3" s="93" t="s">
        <v>185</v>
      </c>
      <c r="AE3" s="93" t="s">
        <v>185</v>
      </c>
      <c r="AF3" s="93" t="s">
        <v>185</v>
      </c>
      <c r="AG3" s="93" t="s">
        <v>185</v>
      </c>
      <c r="AH3" s="93" t="s">
        <v>185</v>
      </c>
      <c r="AI3" s="93" t="s">
        <v>185</v>
      </c>
      <c r="AJ3" s="93" t="s">
        <v>185</v>
      </c>
      <c r="AK3" s="93" t="s">
        <v>185</v>
      </c>
      <c r="AL3" s="93" t="s">
        <v>185</v>
      </c>
      <c r="AM3" s="93" t="s">
        <v>185</v>
      </c>
      <c r="AN3" s="93" t="s">
        <v>185</v>
      </c>
      <c r="AO3" s="93" t="s">
        <v>185</v>
      </c>
      <c r="AP3" s="93" t="s">
        <v>185</v>
      </c>
      <c r="AQ3" s="93" t="s">
        <v>185</v>
      </c>
      <c r="AR3" s="93" t="s">
        <v>185</v>
      </c>
      <c r="AS3" s="93" t="s">
        <v>185</v>
      </c>
      <c r="AT3" s="93" t="s">
        <v>185</v>
      </c>
      <c r="AU3" s="93" t="s">
        <v>185</v>
      </c>
      <c r="AV3" s="93" t="s">
        <v>185</v>
      </c>
      <c r="AW3" s="93" t="s">
        <v>185</v>
      </c>
      <c r="AX3" s="93" t="s">
        <v>185</v>
      </c>
      <c r="AY3" s="93" t="s">
        <v>185</v>
      </c>
      <c r="AZ3" s="93" t="s">
        <v>186</v>
      </c>
      <c r="BA3" s="93" t="s">
        <v>186</v>
      </c>
      <c r="BB3" s="80" t="s">
        <v>187</v>
      </c>
      <c r="BC3" s="80" t="s">
        <v>187</v>
      </c>
      <c r="BD3" s="80" t="s">
        <v>188</v>
      </c>
      <c r="BE3" s="80" t="s">
        <v>188</v>
      </c>
      <c r="BF3" s="80" t="s">
        <v>189</v>
      </c>
      <c r="BG3" s="80" t="s">
        <v>189</v>
      </c>
      <c r="BH3" s="80">
        <v>13</v>
      </c>
      <c r="BI3" s="80">
        <v>14</v>
      </c>
      <c r="BJ3" s="80">
        <v>15</v>
      </c>
      <c r="BK3" s="80">
        <v>16</v>
      </c>
      <c r="BL3" s="80">
        <v>17</v>
      </c>
      <c r="BM3" s="80">
        <v>18</v>
      </c>
      <c r="BN3" s="80">
        <v>19</v>
      </c>
      <c r="BO3" s="80">
        <v>20</v>
      </c>
      <c r="BP3" s="80">
        <v>21</v>
      </c>
      <c r="BQ3" s="80">
        <v>22</v>
      </c>
      <c r="BR3" s="80">
        <v>23</v>
      </c>
      <c r="BS3" s="80">
        <v>24</v>
      </c>
      <c r="BT3" s="80">
        <v>25</v>
      </c>
      <c r="BU3" s="80">
        <v>26</v>
      </c>
      <c r="BV3" s="80">
        <v>27</v>
      </c>
      <c r="BW3" s="80">
        <v>28</v>
      </c>
      <c r="BX3" s="80">
        <v>29</v>
      </c>
      <c r="BY3" s="80">
        <v>30</v>
      </c>
      <c r="BZ3" s="80">
        <v>31</v>
      </c>
      <c r="CA3" s="80">
        <v>32</v>
      </c>
    </row>
    <row r="4" spans="1:79" ht="29.1" hidden="1" customHeight="1">
      <c r="A4" s="80" t="s">
        <v>27</v>
      </c>
      <c r="B4" s="80" t="s">
        <v>28</v>
      </c>
      <c r="C4" s="80" t="s">
        <v>28</v>
      </c>
      <c r="D4" s="80" t="s">
        <v>28</v>
      </c>
      <c r="E4" s="80" t="s">
        <v>28</v>
      </c>
      <c r="F4" s="80" t="s">
        <v>28</v>
      </c>
      <c r="G4" s="80" t="s">
        <v>28</v>
      </c>
      <c r="H4" s="80" t="s">
        <v>29</v>
      </c>
      <c r="I4" s="80" t="s">
        <v>30</v>
      </c>
      <c r="J4" s="80" t="s">
        <v>31</v>
      </c>
      <c r="K4" s="80" t="s">
        <v>31</v>
      </c>
      <c r="L4" s="80" t="s">
        <v>31</v>
      </c>
      <c r="M4" s="80" t="s">
        <v>29</v>
      </c>
      <c r="N4" s="80" t="s">
        <v>190</v>
      </c>
      <c r="O4" s="80" t="s">
        <v>191</v>
      </c>
      <c r="P4" s="80" t="s">
        <v>30</v>
      </c>
      <c r="Q4" s="80" t="s">
        <v>31</v>
      </c>
      <c r="R4" s="80" t="s">
        <v>31</v>
      </c>
      <c r="S4" s="80" t="s">
        <v>31</v>
      </c>
      <c r="T4" s="80" t="s">
        <v>31</v>
      </c>
      <c r="U4" s="80" t="s">
        <v>31</v>
      </c>
      <c r="V4" s="80" t="s">
        <v>31</v>
      </c>
      <c r="W4" s="93" t="s">
        <v>31</v>
      </c>
      <c r="X4" s="93" t="s">
        <v>31</v>
      </c>
      <c r="Y4" s="93" t="s">
        <v>31</v>
      </c>
      <c r="Z4" s="93" t="s">
        <v>31</v>
      </c>
      <c r="AA4" s="93" t="s">
        <v>31</v>
      </c>
      <c r="AB4" s="93" t="s">
        <v>31</v>
      </c>
      <c r="AC4" s="93" t="s">
        <v>31</v>
      </c>
      <c r="AD4" s="93" t="s">
        <v>31</v>
      </c>
      <c r="AE4" s="93" t="s">
        <v>31</v>
      </c>
      <c r="AF4" s="93" t="s">
        <v>31</v>
      </c>
      <c r="AG4" s="93" t="s">
        <v>31</v>
      </c>
      <c r="AH4" s="93" t="s">
        <v>31</v>
      </c>
      <c r="AI4" s="93" t="s">
        <v>31</v>
      </c>
      <c r="AJ4" s="93" t="s">
        <v>31</v>
      </c>
      <c r="AK4" s="93" t="s">
        <v>31</v>
      </c>
      <c r="AL4" s="93" t="s">
        <v>31</v>
      </c>
      <c r="AM4" s="93" t="s">
        <v>31</v>
      </c>
      <c r="AN4" s="93" t="s">
        <v>31</v>
      </c>
      <c r="AO4" s="93" t="s">
        <v>31</v>
      </c>
      <c r="AP4" s="93" t="s">
        <v>31</v>
      </c>
      <c r="AQ4" s="93" t="s">
        <v>31</v>
      </c>
      <c r="AR4" s="93" t="s">
        <v>31</v>
      </c>
      <c r="AS4" s="93" t="s">
        <v>31</v>
      </c>
      <c r="AT4" s="93" t="s">
        <v>31</v>
      </c>
      <c r="AU4" s="93" t="s">
        <v>31</v>
      </c>
      <c r="AV4" s="93" t="s">
        <v>31</v>
      </c>
      <c r="AW4" s="93" t="s">
        <v>31</v>
      </c>
      <c r="AX4" s="93" t="s">
        <v>31</v>
      </c>
      <c r="AY4" s="93" t="s">
        <v>31</v>
      </c>
      <c r="AZ4" s="93" t="s">
        <v>29</v>
      </c>
      <c r="BA4" s="93" t="s">
        <v>190</v>
      </c>
      <c r="BB4" s="80" t="s">
        <v>191</v>
      </c>
      <c r="BC4" s="80" t="s">
        <v>30</v>
      </c>
      <c r="BD4" s="80" t="s">
        <v>191</v>
      </c>
      <c r="BE4" s="80" t="s">
        <v>30</v>
      </c>
      <c r="BF4" s="80" t="s">
        <v>191</v>
      </c>
      <c r="BG4" s="80" t="s">
        <v>30</v>
      </c>
      <c r="BH4" s="80" t="s">
        <v>192</v>
      </c>
      <c r="BI4" s="80" t="s">
        <v>192</v>
      </c>
      <c r="BJ4" s="80" t="s">
        <v>192</v>
      </c>
      <c r="BK4" s="80" t="s">
        <v>192</v>
      </c>
      <c r="BL4" s="80" t="s">
        <v>192</v>
      </c>
      <c r="BM4" s="80" t="s">
        <v>192</v>
      </c>
      <c r="BN4" s="80" t="s">
        <v>192</v>
      </c>
      <c r="BO4" s="80" t="s">
        <v>192</v>
      </c>
      <c r="BP4" s="80" t="s">
        <v>192</v>
      </c>
      <c r="BQ4" s="80" t="s">
        <v>192</v>
      </c>
      <c r="BR4" s="80" t="s">
        <v>192</v>
      </c>
      <c r="BS4" s="80" t="s">
        <v>192</v>
      </c>
      <c r="BT4" s="80" t="s">
        <v>192</v>
      </c>
      <c r="BU4" s="80" t="s">
        <v>192</v>
      </c>
      <c r="BV4" s="80" t="s">
        <v>192</v>
      </c>
      <c r="BW4" s="80" t="s">
        <v>192</v>
      </c>
      <c r="BX4" s="80" t="s">
        <v>192</v>
      </c>
      <c r="BY4" s="80" t="s">
        <v>192</v>
      </c>
      <c r="BZ4" s="80" t="s">
        <v>192</v>
      </c>
      <c r="CA4" s="80" t="s">
        <v>192</v>
      </c>
    </row>
    <row r="5" spans="1:79" ht="15" hidden="1" customHeight="1">
      <c r="A5" s="80" t="s">
        <v>32</v>
      </c>
      <c r="B5" s="80" t="s">
        <v>33</v>
      </c>
      <c r="C5" s="80" t="s">
        <v>33</v>
      </c>
      <c r="D5" s="80" t="s">
        <v>33</v>
      </c>
      <c r="I5" s="93" t="s">
        <v>34</v>
      </c>
      <c r="N5" s="93" t="s">
        <v>34</v>
      </c>
      <c r="P5" s="93" t="s">
        <v>34</v>
      </c>
      <c r="U5" s="80" t="s">
        <v>184</v>
      </c>
      <c r="V5" s="80"/>
      <c r="W5" s="93" t="s">
        <v>33</v>
      </c>
      <c r="X5" s="93" t="s">
        <v>33</v>
      </c>
      <c r="Y5" s="93" t="s">
        <v>33</v>
      </c>
      <c r="Z5" s="93" t="s">
        <v>33</v>
      </c>
      <c r="AA5" s="93" t="s">
        <v>33</v>
      </c>
      <c r="AB5" s="93" t="s">
        <v>33</v>
      </c>
      <c r="AC5" s="93" t="s">
        <v>33</v>
      </c>
      <c r="AD5" s="93" t="s">
        <v>33</v>
      </c>
      <c r="AE5" s="93" t="s">
        <v>33</v>
      </c>
      <c r="AF5" s="93" t="s">
        <v>33</v>
      </c>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c r="BA5" s="93" t="s">
        <v>34</v>
      </c>
      <c r="BB5" s="80" t="s">
        <v>193</v>
      </c>
      <c r="BC5" s="80" t="s">
        <v>193</v>
      </c>
      <c r="BD5" s="80" t="s">
        <v>194</v>
      </c>
      <c r="BE5" s="80" t="s">
        <v>194</v>
      </c>
      <c r="BF5" s="80" t="s">
        <v>195</v>
      </c>
      <c r="BG5" s="80" t="s">
        <v>195</v>
      </c>
      <c r="BH5" s="80"/>
      <c r="BI5" s="80"/>
      <c r="BJ5" s="80"/>
      <c r="BK5" s="80"/>
      <c r="BL5" s="80"/>
      <c r="BM5" s="80"/>
      <c r="BN5" s="80"/>
      <c r="BO5" s="80"/>
      <c r="BP5" s="80"/>
      <c r="BQ5" s="80"/>
      <c r="BR5" s="80"/>
      <c r="BS5" s="80"/>
      <c r="BT5" s="80"/>
      <c r="BU5" s="80"/>
      <c r="BV5" s="80"/>
      <c r="BW5" s="80"/>
      <c r="BX5" s="80"/>
      <c r="BY5" s="80"/>
      <c r="BZ5" s="80"/>
      <c r="CA5" s="80"/>
    </row>
    <row r="6" spans="1:79" ht="15" hidden="1" customHeight="1">
      <c r="A6" s="80" t="s">
        <v>39</v>
      </c>
      <c r="B6" s="80"/>
      <c r="C6" s="80"/>
      <c r="D6" s="80"/>
      <c r="U6" s="80">
        <v>1</v>
      </c>
      <c r="V6" s="80">
        <v>1</v>
      </c>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row>
    <row r="7" spans="1:79" ht="15" hidden="1" customHeight="1">
      <c r="A7" s="80" t="s">
        <v>40</v>
      </c>
      <c r="B7" s="80" t="s">
        <v>9</v>
      </c>
      <c r="C7" s="80" t="s">
        <v>9</v>
      </c>
      <c r="D7" s="80" t="s">
        <v>9</v>
      </c>
      <c r="U7" s="80"/>
      <c r="V7" s="80"/>
      <c r="W7" s="93" t="s">
        <v>9</v>
      </c>
      <c r="X7" s="80" t="s">
        <v>41</v>
      </c>
      <c r="Y7" s="80" t="s">
        <v>42</v>
      </c>
      <c r="Z7" s="80" t="s">
        <v>43</v>
      </c>
      <c r="AA7" s="80" t="s">
        <v>44</v>
      </c>
      <c r="AB7" s="80" t="s">
        <v>45</v>
      </c>
      <c r="AC7" s="80" t="s">
        <v>46</v>
      </c>
      <c r="AD7" s="80" t="s">
        <v>47</v>
      </c>
      <c r="AE7" s="80" t="s">
        <v>48</v>
      </c>
      <c r="AF7" s="80" t="s">
        <v>49</v>
      </c>
      <c r="AG7" s="80" t="s">
        <v>50</v>
      </c>
      <c r="AH7" s="80" t="s">
        <v>51</v>
      </c>
      <c r="AI7" s="80" t="s">
        <v>52</v>
      </c>
      <c r="AJ7" s="80" t="s">
        <v>53</v>
      </c>
      <c r="AK7" s="80" t="s">
        <v>54</v>
      </c>
      <c r="AL7" s="80" t="s">
        <v>55</v>
      </c>
      <c r="AM7" s="80" t="s">
        <v>56</v>
      </c>
      <c r="AN7" s="80" t="s">
        <v>5676</v>
      </c>
      <c r="AO7" s="80" t="s">
        <v>57</v>
      </c>
      <c r="AP7" s="80" t="s">
        <v>58</v>
      </c>
      <c r="AQ7" s="80" t="s">
        <v>59</v>
      </c>
      <c r="AR7" s="80" t="s">
        <v>60</v>
      </c>
      <c r="AS7" s="80" t="s">
        <v>61</v>
      </c>
      <c r="AT7" s="80" t="s">
        <v>62</v>
      </c>
      <c r="AU7" s="80" t="s">
        <v>63</v>
      </c>
      <c r="AV7" s="80" t="s">
        <v>64</v>
      </c>
      <c r="AW7" s="80" t="s">
        <v>5677</v>
      </c>
      <c r="AX7" s="80" t="s">
        <v>65</v>
      </c>
      <c r="AY7" s="80" t="s">
        <v>5674</v>
      </c>
      <c r="BB7" s="80"/>
      <c r="BC7" s="80"/>
      <c r="BD7" s="80"/>
      <c r="BE7" s="80"/>
      <c r="BF7" s="80"/>
      <c r="BG7" s="80"/>
      <c r="BH7" s="80"/>
      <c r="BI7" s="80"/>
      <c r="BJ7" s="80"/>
      <c r="BK7" s="80"/>
      <c r="BL7" s="80"/>
      <c r="BM7" s="80"/>
      <c r="BN7" s="80"/>
      <c r="BO7" s="80"/>
      <c r="BP7" s="80"/>
      <c r="BQ7" s="80"/>
      <c r="BR7" s="80"/>
      <c r="BS7" s="80"/>
      <c r="BT7" s="80"/>
      <c r="BU7" s="80"/>
      <c r="BV7" s="80"/>
      <c r="BW7" s="80"/>
      <c r="BX7" s="80"/>
      <c r="BY7" s="80"/>
      <c r="BZ7" s="80"/>
      <c r="CA7" s="80"/>
    </row>
    <row r="8" spans="1:79" s="118" customFormat="1" ht="29.45" customHeight="1">
      <c r="A8" s="5" t="s">
        <v>1483</v>
      </c>
      <c r="B8" s="5" t="s">
        <v>196</v>
      </c>
      <c r="C8" s="189" t="s">
        <v>197</v>
      </c>
      <c r="D8" s="189" t="s">
        <v>198</v>
      </c>
      <c r="E8" s="5" t="s">
        <v>199</v>
      </c>
      <c r="F8" s="5" t="s">
        <v>5875</v>
      </c>
      <c r="G8" s="5" t="s">
        <v>5877</v>
      </c>
      <c r="H8" s="5" t="s">
        <v>200</v>
      </c>
      <c r="I8" s="5"/>
      <c r="J8" s="329" t="s">
        <v>5994</v>
      </c>
      <c r="K8" s="330"/>
      <c r="L8" s="5"/>
      <c r="M8" s="5" t="s">
        <v>201</v>
      </c>
      <c r="N8" s="5"/>
      <c r="O8" s="5" t="s">
        <v>202</v>
      </c>
      <c r="P8" s="5"/>
      <c r="Q8" s="281" t="s">
        <v>203</v>
      </c>
      <c r="R8" s="282" t="s">
        <v>204</v>
      </c>
      <c r="S8" s="281" t="s">
        <v>205</v>
      </c>
      <c r="T8" s="282" t="s">
        <v>206</v>
      </c>
      <c r="U8" s="189" t="s">
        <v>207</v>
      </c>
      <c r="V8" s="189" t="s">
        <v>208</v>
      </c>
      <c r="W8" s="18" t="s">
        <v>209</v>
      </c>
      <c r="X8" s="18" t="s">
        <v>6348</v>
      </c>
      <c r="Y8" s="18" t="s">
        <v>6349</v>
      </c>
      <c r="Z8" s="18" t="s">
        <v>6350</v>
      </c>
      <c r="AA8" s="18" t="s">
        <v>6351</v>
      </c>
      <c r="AB8" s="18" t="s">
        <v>6352</v>
      </c>
      <c r="AC8" s="18" t="s">
        <v>6353</v>
      </c>
      <c r="AD8" s="18" t="s">
        <v>6354</v>
      </c>
      <c r="AE8" s="18" t="s">
        <v>6355</v>
      </c>
      <c r="AF8" s="18" t="s">
        <v>6356</v>
      </c>
      <c r="AG8" s="18" t="s">
        <v>6357</v>
      </c>
      <c r="AH8" s="18" t="s">
        <v>6358</v>
      </c>
      <c r="AI8" s="18" t="s">
        <v>6359</v>
      </c>
      <c r="AJ8" s="18" t="s">
        <v>6360</v>
      </c>
      <c r="AK8" s="18" t="s">
        <v>6361</v>
      </c>
      <c r="AL8" s="18" t="s">
        <v>6362</v>
      </c>
      <c r="AM8" s="18" t="s">
        <v>6363</v>
      </c>
      <c r="AN8" s="18" t="s">
        <v>6364</v>
      </c>
      <c r="AO8" s="18" t="s">
        <v>6365</v>
      </c>
      <c r="AP8" s="18" t="s">
        <v>6366</v>
      </c>
      <c r="AQ8" s="18" t="s">
        <v>6367</v>
      </c>
      <c r="AR8" s="18" t="s">
        <v>6368</v>
      </c>
      <c r="AS8" s="18" t="s">
        <v>6369</v>
      </c>
      <c r="AT8" s="18" t="s">
        <v>6370</v>
      </c>
      <c r="AU8" s="18" t="s">
        <v>6371</v>
      </c>
      <c r="AV8" s="18" t="s">
        <v>6372</v>
      </c>
      <c r="AW8" s="18" t="s">
        <v>6358</v>
      </c>
      <c r="AX8" s="18" t="s">
        <v>6373</v>
      </c>
      <c r="AY8" s="18" t="s">
        <v>6374</v>
      </c>
      <c r="AZ8" s="5" t="s">
        <v>210</v>
      </c>
      <c r="BA8" s="5"/>
      <c r="BB8" s="5" t="s">
        <v>211</v>
      </c>
      <c r="BC8" s="5"/>
      <c r="BD8" s="5" t="s">
        <v>212</v>
      </c>
      <c r="BE8" s="5"/>
      <c r="BF8" s="5" t="s">
        <v>213</v>
      </c>
      <c r="BG8" s="5"/>
      <c r="BH8" s="18" t="s">
        <v>214</v>
      </c>
      <c r="BI8" s="18" t="s">
        <v>214</v>
      </c>
      <c r="BJ8" s="18" t="s">
        <v>214</v>
      </c>
      <c r="BK8" s="18" t="s">
        <v>214</v>
      </c>
      <c r="BL8" s="18" t="s">
        <v>214</v>
      </c>
      <c r="BM8" s="18" t="s">
        <v>214</v>
      </c>
      <c r="BN8" s="18" t="s">
        <v>214</v>
      </c>
      <c r="BO8" s="18" t="s">
        <v>214</v>
      </c>
      <c r="BP8" s="18" t="s">
        <v>214</v>
      </c>
      <c r="BQ8" s="18" t="s">
        <v>214</v>
      </c>
      <c r="BR8" s="18" t="s">
        <v>214</v>
      </c>
      <c r="BS8" s="18" t="s">
        <v>214</v>
      </c>
      <c r="BT8" s="18" t="s">
        <v>214</v>
      </c>
      <c r="BU8" s="18" t="s">
        <v>214</v>
      </c>
      <c r="BV8" s="18" t="s">
        <v>214</v>
      </c>
      <c r="BW8" s="18" t="s">
        <v>214</v>
      </c>
      <c r="BX8" s="18" t="s">
        <v>214</v>
      </c>
      <c r="BY8" s="18" t="s">
        <v>214</v>
      </c>
      <c r="BZ8" s="18" t="s">
        <v>214</v>
      </c>
      <c r="CA8" s="18" t="s">
        <v>214</v>
      </c>
    </row>
    <row r="9" spans="1:79" s="71" customFormat="1" ht="56.25">
      <c r="A9" s="74" t="s">
        <v>66</v>
      </c>
      <c r="B9" s="7"/>
      <c r="C9" s="75" t="s">
        <v>5991</v>
      </c>
      <c r="D9" s="7" t="s">
        <v>5992</v>
      </c>
      <c r="E9" s="75" t="s">
        <v>215</v>
      </c>
      <c r="F9" s="7"/>
      <c r="G9" s="7"/>
      <c r="H9" s="7" t="s">
        <v>5993</v>
      </c>
      <c r="I9" s="7"/>
      <c r="J9" s="252" t="s">
        <v>5663</v>
      </c>
      <c r="K9" s="253" t="s">
        <v>5664</v>
      </c>
      <c r="L9" s="7"/>
      <c r="M9" s="75" t="s">
        <v>216</v>
      </c>
      <c r="N9" s="7"/>
      <c r="O9" s="7" t="s">
        <v>217</v>
      </c>
      <c r="P9" s="7"/>
      <c r="Q9" s="277" t="s">
        <v>218</v>
      </c>
      <c r="R9" s="283" t="s">
        <v>219</v>
      </c>
      <c r="S9" s="277" t="s">
        <v>218</v>
      </c>
      <c r="T9" s="283" t="s">
        <v>219</v>
      </c>
      <c r="U9" s="7"/>
      <c r="V9" s="75"/>
      <c r="W9" s="25" t="s">
        <v>5995</v>
      </c>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75" t="s">
        <v>220</v>
      </c>
      <c r="BA9" s="7"/>
      <c r="BB9" s="7" t="s">
        <v>221</v>
      </c>
      <c r="BC9" s="75"/>
      <c r="BD9" s="7" t="s">
        <v>222</v>
      </c>
      <c r="BE9" s="75"/>
      <c r="BF9" s="7" t="s">
        <v>223</v>
      </c>
      <c r="BG9" s="75"/>
      <c r="BH9" s="7" t="str">
        <f>IFERROR((CONCATENATE("Assessment -  ",INDEX(Assessments[],1,1))),"")</f>
        <v>Assessment -  Overall grade</v>
      </c>
      <c r="BI9" s="7" t="str">
        <f>IFERROR((CONCATENATE("Assessment -  ",INDEX(Assessments[],2,1))),"")</f>
        <v>Assessment -  Individual assignment1</v>
      </c>
      <c r="BJ9" s="7" t="str">
        <f>IFERROR((CONCATENATE("Assessment -  ",INDEX(Assessments[],3,1))),"")</f>
        <v>Assessment -  Individual assignment2</v>
      </c>
      <c r="BK9" s="7" t="str">
        <f>IFERROR((CONCATENATE("Assessment -  ",INDEX(Assessments[],4,1))),"")</f>
        <v>Assessment -  Project assignment</v>
      </c>
      <c r="BL9" s="7" t="str">
        <f>IFERROR((CONCATENATE("Assessment -  ",INDEX(Assessments[],5,1))),"")</f>
        <v xml:space="preserve">Assessment -  </v>
      </c>
      <c r="BM9" s="7" t="str">
        <f>IFERROR((CONCATENATE("Assessment -  ",INDEX(Assessments[],6,1))),"")</f>
        <v/>
      </c>
      <c r="BN9" s="7" t="str">
        <f>IFERROR((CONCATENATE("Assessment -  ",INDEX(Assessments[],7,1))),"")</f>
        <v/>
      </c>
      <c r="BO9" s="7" t="str">
        <f>IFERROR((CONCATENATE("Assessment -  ",INDEX(Assessments[],8,1))),"")</f>
        <v/>
      </c>
      <c r="BP9" s="7" t="str">
        <f>IFERROR((CONCATENATE("Assessment -  ",INDEX(Assessments[],9,1))),"")</f>
        <v/>
      </c>
      <c r="BQ9" s="7" t="str">
        <f>IFERROR((CONCATENATE("Assessment -  ",INDEX(Assessments[],10,1))),"")</f>
        <v/>
      </c>
      <c r="BR9" s="7" t="str">
        <f>IFERROR((CONCATENATE("Assessment -  ",INDEX(Assessments[],11,1))),"")</f>
        <v/>
      </c>
      <c r="BS9" s="7" t="str">
        <f>IFERROR((CONCATENATE("Assessment -  ",INDEX(Assessments[],12,1))),"")</f>
        <v/>
      </c>
      <c r="BT9" s="7" t="str">
        <f>IFERROR((CONCATENATE("Assessment -  ",INDEX(Assessments[],13,1))),"")</f>
        <v/>
      </c>
      <c r="BU9" s="7" t="str">
        <f>IFERROR((CONCATENATE("Assessment -  ",INDEX(Assessments[],14,1))),"")</f>
        <v/>
      </c>
      <c r="BV9" s="7" t="str">
        <f>IFERROR((CONCATENATE("Assessment -  ",INDEX(Assessments[],15,1))),"")</f>
        <v/>
      </c>
      <c r="BW9" s="7" t="str">
        <f>IFERROR((CONCATENATE("Assessment -  ",INDEX(Assessments[],16,1))),"")</f>
        <v/>
      </c>
      <c r="BX9" s="7" t="str">
        <f>IFERROR((CONCATENATE("Assessment -  ",INDEX(Assessments[],17,1))),"")</f>
        <v/>
      </c>
      <c r="BY9" s="7" t="str">
        <f>IFERROR((CONCATENATE("Assessment -  ",INDEX(Assessments[],18,1))),"")</f>
        <v/>
      </c>
      <c r="BZ9" s="7" t="str">
        <f>IFERROR((CONCATENATE("Assessment -  ",INDEX(Assessments[],19,1))),"")</f>
        <v/>
      </c>
      <c r="CA9" s="7" t="str">
        <f>IFERROR((CONCATENATE("Assessment -  ",INDEX(Assessments[],20,1))),"")</f>
        <v/>
      </c>
    </row>
    <row r="10" spans="1:79" ht="15" customHeight="1" thickBot="1">
      <c r="A10" s="94" t="s">
        <v>40</v>
      </c>
      <c r="B10" s="84" t="s">
        <v>10</v>
      </c>
      <c r="C10" s="84" t="s">
        <v>10</v>
      </c>
      <c r="D10" s="84" t="s">
        <v>10</v>
      </c>
      <c r="E10" s="94"/>
      <c r="F10" s="84"/>
      <c r="G10" s="84"/>
      <c r="H10" s="84"/>
      <c r="I10" s="84"/>
      <c r="J10" s="84"/>
      <c r="K10" s="94"/>
      <c r="L10" s="84"/>
      <c r="M10" s="94"/>
      <c r="N10" s="84"/>
      <c r="O10" s="84"/>
      <c r="P10" s="84"/>
      <c r="Q10" s="84"/>
      <c r="R10" s="94"/>
      <c r="S10" s="84"/>
      <c r="T10" s="94"/>
      <c r="U10" s="84"/>
      <c r="V10" s="94"/>
      <c r="W10" s="106" t="s">
        <v>10</v>
      </c>
      <c r="X10" s="84" t="s">
        <v>78</v>
      </c>
      <c r="Y10" s="84" t="s">
        <v>79</v>
      </c>
      <c r="Z10" s="84" t="s">
        <v>80</v>
      </c>
      <c r="AA10" s="84" t="s">
        <v>81</v>
      </c>
      <c r="AB10" s="84" t="s">
        <v>82</v>
      </c>
      <c r="AC10" s="84" t="s">
        <v>83</v>
      </c>
      <c r="AD10" s="84" t="s">
        <v>84</v>
      </c>
      <c r="AE10" s="84" t="s">
        <v>85</v>
      </c>
      <c r="AF10" s="84" t="s">
        <v>86</v>
      </c>
      <c r="AG10" s="84" t="s">
        <v>87</v>
      </c>
      <c r="AH10" s="84" t="s">
        <v>88</v>
      </c>
      <c r="AI10" s="84" t="s">
        <v>89</v>
      </c>
      <c r="AJ10" s="84" t="s">
        <v>90</v>
      </c>
      <c r="AK10" s="84" t="s">
        <v>91</v>
      </c>
      <c r="AL10" s="84" t="s">
        <v>92</v>
      </c>
      <c r="AM10" s="84" t="s">
        <v>93</v>
      </c>
      <c r="AN10" s="84" t="s">
        <v>5675</v>
      </c>
      <c r="AO10" s="84" t="s">
        <v>94</v>
      </c>
      <c r="AP10" s="84" t="s">
        <v>12</v>
      </c>
      <c r="AQ10" s="84" t="s">
        <v>95</v>
      </c>
      <c r="AR10" s="84" t="s">
        <v>96</v>
      </c>
      <c r="AS10" s="84" t="s">
        <v>97</v>
      </c>
      <c r="AT10" s="84" t="s">
        <v>98</v>
      </c>
      <c r="AU10" s="84" t="s">
        <v>99</v>
      </c>
      <c r="AV10" s="84" t="s">
        <v>100</v>
      </c>
      <c r="AW10" s="84" t="s">
        <v>5678</v>
      </c>
      <c r="AX10" s="84" t="s">
        <v>101</v>
      </c>
      <c r="AY10" s="84" t="s">
        <v>5679</v>
      </c>
      <c r="AZ10" s="94"/>
      <c r="BA10" s="84"/>
      <c r="BB10" s="84"/>
      <c r="BC10" s="94"/>
      <c r="BD10" s="84"/>
      <c r="BE10" s="94"/>
      <c r="BF10" s="84"/>
      <c r="BG10" s="94"/>
      <c r="BH10" s="84"/>
      <c r="BI10" s="84"/>
      <c r="BJ10" s="84"/>
      <c r="BK10" s="84"/>
      <c r="BL10" s="84"/>
      <c r="BM10" s="84"/>
      <c r="BN10" s="84"/>
      <c r="BO10" s="84"/>
      <c r="BP10" s="84"/>
      <c r="BQ10" s="84"/>
      <c r="BR10" s="84"/>
      <c r="BS10" s="84"/>
      <c r="BT10" s="84"/>
      <c r="BU10" s="84"/>
      <c r="BV10" s="84"/>
      <c r="BW10" s="84"/>
      <c r="BX10" s="84"/>
      <c r="BY10" s="84"/>
      <c r="BZ10" s="84"/>
      <c r="CA10" s="84"/>
    </row>
    <row r="11" spans="1:79" s="206" customFormat="1" ht="28.5" customHeight="1">
      <c r="A11" s="181" t="s">
        <v>102</v>
      </c>
      <c r="B11" s="197"/>
      <c r="C11" s="197"/>
      <c r="D11" s="197"/>
      <c r="E11" s="197"/>
      <c r="F11" s="197"/>
      <c r="G11" s="197"/>
      <c r="H11" s="197"/>
      <c r="I11" s="197"/>
      <c r="J11" s="197"/>
      <c r="K11" s="180"/>
      <c r="L11" s="197"/>
      <c r="M11" s="180"/>
      <c r="N11" s="197"/>
      <c r="O11" s="180"/>
      <c r="P11" s="197"/>
      <c r="Q11" s="180" t="s">
        <v>6763</v>
      </c>
      <c r="R11" s="197"/>
      <c r="S11" s="180"/>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80"/>
      <c r="BA11" s="197"/>
      <c r="BB11" s="180" t="s">
        <v>6720</v>
      </c>
      <c r="BC11" s="197"/>
      <c r="BD11" s="180" t="s">
        <v>6752</v>
      </c>
      <c r="BE11" s="197"/>
      <c r="BF11" s="180"/>
      <c r="BG11" s="197"/>
      <c r="BH11" s="197"/>
      <c r="BI11" s="197"/>
      <c r="BJ11" s="197"/>
      <c r="BK11" s="197"/>
      <c r="BL11" s="197"/>
      <c r="BM11" s="197"/>
      <c r="BN11" s="197"/>
      <c r="BO11" s="197"/>
      <c r="BP11" s="197"/>
      <c r="BQ11" s="197"/>
      <c r="BR11" s="197"/>
      <c r="BS11" s="197"/>
      <c r="BT11" s="197"/>
      <c r="BU11" s="197"/>
      <c r="BV11" s="197"/>
      <c r="BW11" s="197"/>
      <c r="BX11" s="197"/>
      <c r="BY11" s="197"/>
      <c r="BZ11" s="197"/>
      <c r="CA11" s="197"/>
    </row>
    <row r="12" spans="1:79" ht="29.85" hidden="1" customHeight="1">
      <c r="A12" s="96"/>
      <c r="B12" s="79" t="s">
        <v>224</v>
      </c>
      <c r="C12" s="79" t="s">
        <v>225</v>
      </c>
      <c r="D12" s="79" t="s">
        <v>226</v>
      </c>
      <c r="E12" s="79" t="s">
        <v>227</v>
      </c>
      <c r="F12" s="79" t="s">
        <v>5876</v>
      </c>
      <c r="G12" s="79" t="s">
        <v>5879</v>
      </c>
      <c r="H12" s="79" t="s">
        <v>5873</v>
      </c>
      <c r="I12" s="79" t="s">
        <v>229</v>
      </c>
      <c r="J12" s="79" t="s">
        <v>230</v>
      </c>
      <c r="K12" s="79" t="s">
        <v>231</v>
      </c>
      <c r="L12" s="79" t="s">
        <v>232</v>
      </c>
      <c r="M12" s="79" t="s">
        <v>233</v>
      </c>
      <c r="N12" s="79" t="s">
        <v>234</v>
      </c>
      <c r="O12" s="79" t="s">
        <v>235</v>
      </c>
      <c r="P12" s="79" t="s">
        <v>236</v>
      </c>
      <c r="Q12" s="79" t="s">
        <v>237</v>
      </c>
      <c r="R12" s="79" t="s">
        <v>238</v>
      </c>
      <c r="S12" s="79" t="s">
        <v>239</v>
      </c>
      <c r="T12" s="79" t="s">
        <v>240</v>
      </c>
      <c r="U12" s="79" t="s">
        <v>241</v>
      </c>
      <c r="V12" s="79" t="s">
        <v>242</v>
      </c>
      <c r="W12" s="79" t="s">
        <v>243</v>
      </c>
      <c r="X12" s="79" t="s">
        <v>244</v>
      </c>
      <c r="Y12" s="79" t="s">
        <v>245</v>
      </c>
      <c r="Z12" s="79" t="s">
        <v>246</v>
      </c>
      <c r="AA12" s="79" t="s">
        <v>247</v>
      </c>
      <c r="AB12" s="79" t="s">
        <v>248</v>
      </c>
      <c r="AC12" s="79" t="s">
        <v>249</v>
      </c>
      <c r="AD12" s="79" t="s">
        <v>250</v>
      </c>
      <c r="AE12" s="79" t="s">
        <v>251</v>
      </c>
      <c r="AF12" s="79" t="s">
        <v>252</v>
      </c>
      <c r="AG12" s="79" t="s">
        <v>253</v>
      </c>
      <c r="AH12" s="79" t="s">
        <v>254</v>
      </c>
      <c r="AI12" s="79" t="s">
        <v>255</v>
      </c>
      <c r="AJ12" s="79" t="s">
        <v>256</v>
      </c>
      <c r="AK12" s="79" t="s">
        <v>257</v>
      </c>
      <c r="AL12" s="79" t="s">
        <v>258</v>
      </c>
      <c r="AM12" s="79" t="s">
        <v>259</v>
      </c>
      <c r="AN12" s="79" t="s">
        <v>5686</v>
      </c>
      <c r="AO12" s="79" t="s">
        <v>260</v>
      </c>
      <c r="AP12" s="79" t="s">
        <v>261</v>
      </c>
      <c r="AQ12" s="79" t="s">
        <v>262</v>
      </c>
      <c r="AR12" s="79" t="s">
        <v>263</v>
      </c>
      <c r="AS12" s="79" t="s">
        <v>264</v>
      </c>
      <c r="AT12" s="79" t="s">
        <v>265</v>
      </c>
      <c r="AU12" s="79" t="s">
        <v>266</v>
      </c>
      <c r="AV12" s="79" t="s">
        <v>267</v>
      </c>
      <c r="AW12" s="79" t="s">
        <v>5687</v>
      </c>
      <c r="AX12" s="79" t="s">
        <v>268</v>
      </c>
      <c r="AY12" s="79" t="s">
        <v>5688</v>
      </c>
      <c r="AZ12" s="79" t="s">
        <v>269</v>
      </c>
      <c r="BA12" s="79" t="s">
        <v>270</v>
      </c>
      <c r="BB12" s="79" t="s">
        <v>271</v>
      </c>
      <c r="BC12" s="79" t="s">
        <v>272</v>
      </c>
      <c r="BD12" s="79" t="s">
        <v>273</v>
      </c>
      <c r="BE12" s="79" t="s">
        <v>274</v>
      </c>
      <c r="BF12" s="79" t="s">
        <v>275</v>
      </c>
      <c r="BG12" s="79" t="s">
        <v>276</v>
      </c>
      <c r="BH12" s="79" t="s">
        <v>277</v>
      </c>
      <c r="BI12" s="79" t="s">
        <v>278</v>
      </c>
      <c r="BJ12" s="79" t="s">
        <v>279</v>
      </c>
      <c r="BK12" s="129" t="s">
        <v>280</v>
      </c>
      <c r="BL12" s="129" t="s">
        <v>281</v>
      </c>
      <c r="BM12" s="129" t="s">
        <v>282</v>
      </c>
      <c r="BN12" s="129" t="s">
        <v>283</v>
      </c>
      <c r="BO12" s="129" t="s">
        <v>284</v>
      </c>
      <c r="BP12" s="129" t="s">
        <v>285</v>
      </c>
      <c r="BQ12" s="129" t="s">
        <v>286</v>
      </c>
      <c r="BR12" s="129" t="s">
        <v>287</v>
      </c>
      <c r="BS12" s="129" t="s">
        <v>288</v>
      </c>
      <c r="BT12" s="129" t="s">
        <v>289</v>
      </c>
      <c r="BU12" s="129" t="s">
        <v>290</v>
      </c>
      <c r="BV12" s="129" t="s">
        <v>291</v>
      </c>
      <c r="BW12" s="129" t="s">
        <v>292</v>
      </c>
      <c r="BX12" s="129" t="s">
        <v>293</v>
      </c>
      <c r="BY12" s="129" t="s">
        <v>294</v>
      </c>
      <c r="BZ12" s="129" t="s">
        <v>295</v>
      </c>
      <c r="CA12" s="129" t="s">
        <v>296</v>
      </c>
    </row>
    <row r="13" spans="1:79" ht="29.85" customHeight="1">
      <c r="B13" s="79" t="str">
        <f>TRIM(CONCATENATE(Persons[[#This Row],[Person.givenNames.Property.content.en]]," ",Persons[[#This Row],[Person.familyName.Property.content.en]]))</f>
        <v>Jane1 Doe1</v>
      </c>
      <c r="C13" s="216" t="s">
        <v>6711</v>
      </c>
      <c r="D13" s="216" t="s">
        <v>6712</v>
      </c>
      <c r="E13" s="303"/>
      <c r="F13" s="87"/>
      <c r="G13" s="87"/>
      <c r="H13" s="88"/>
      <c r="I13" s="170" t="str" cm="1">
        <f t="array" ref="I13">MultiMatch(Persons[[#This Row],[Column22]],Vocabularies[name],0)</f>
        <v/>
      </c>
      <c r="J13" s="87"/>
      <c r="K13" s="129" t="str">
        <f>IF(ISBLANK(K$11),"",K$11)</f>
        <v/>
      </c>
      <c r="L13" s="87" t="str">
        <f>IFERROR(VLOOKUP(Persons[[#This Row],[Person.nationalId.identifierSchemeAgencyName.NestedProperty.]],References!$A$47:$F$328,5),"")</f>
        <v/>
      </c>
      <c r="M13" s="129" t="str">
        <f t="shared" ref="M13" si="0">IF(ISBLANK(M$11),"",M$11)</f>
        <v/>
      </c>
      <c r="N13" s="79" t="str" cm="1">
        <f t="array" ref="N13">MultiMatch(Persons[[#This Row],[Person.placeOfBirth.spatialCode.Reference.]],Vocabularies[name],0)</f>
        <v/>
      </c>
      <c r="O13" s="129" t="str">
        <f t="shared" ref="O13" si="1">IF(ISBLANK(O$11),"",O$11)</f>
        <v/>
      </c>
      <c r="P13" s="79" t="str" cm="1">
        <f t="array" ref="P13">MultiMatch(Persons[[#This Row],[Person.citizenshipCountry.citizenshipCountry.MultiReference.]],Vocabularies[name],0)</f>
        <v/>
      </c>
      <c r="Q13" s="89" t="str">
        <f>IF(ISBLANK(Q$11),"",Q$11)</f>
        <v>Student identification number</v>
      </c>
      <c r="R13" s="87" t="s">
        <v>6760</v>
      </c>
      <c r="S13" s="79" t="str">
        <f t="shared" ref="S13" si="2">IF(ISBLANK(S$11),"",S$11)</f>
        <v/>
      </c>
      <c r="T13" s="87"/>
      <c r="U13" s="218" t="s">
        <v>6743</v>
      </c>
      <c r="V13" s="285"/>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129" t="s">
        <v>1796</v>
      </c>
      <c r="BA13" s="87" t="str" cm="1">
        <f t="array" ref="BA13">MultiMatch(Persons[[#This Row],[Person.contactPoint'#1.postalAddress'#1.countryCode.Reference.]],Vocabularies[name],0)</f>
        <v>135</v>
      </c>
      <c r="BB13" s="87" t="s">
        <v>6720</v>
      </c>
      <c r="BC13" s="79" t="str" cm="1">
        <f t="array" ref="BC13">MultiMatch(Persons[[#This Row],[Person.achieved.MultiReference.LearningAchievement.]],AchievementNames,0)</f>
        <v>13</v>
      </c>
      <c r="BD13" s="87" t="s">
        <v>6752</v>
      </c>
      <c r="BE13" s="79" t="str" cm="1">
        <f t="array" ref="BE13">MultiMatch(Persons[[#This Row],[Person.performed.MultiReference.LearningActivity.]],ActivityNames,0)</f>
        <v>14; 15; 16</v>
      </c>
      <c r="BF13" s="87" t="str">
        <f>IF(ISBLANK(BF$11),"",BF$11)</f>
        <v/>
      </c>
      <c r="BG13" s="79" t="str" cm="1">
        <f t="array" ref="BG13">MultiMatch(Persons[[#This Row],[Person.entitledTo.MultiReference.Entitlement.]],EntitlementNames,0)</f>
        <v/>
      </c>
      <c r="BH13" s="192">
        <v>5</v>
      </c>
      <c r="BI13" s="192">
        <v>4</v>
      </c>
      <c r="BJ13" s="192">
        <v>5</v>
      </c>
      <c r="BK13" s="192">
        <v>5</v>
      </c>
      <c r="BL13" s="192"/>
      <c r="BM13" s="192"/>
      <c r="BN13" s="192"/>
      <c r="BO13" s="192"/>
      <c r="BP13" s="192"/>
      <c r="BQ13" s="192"/>
      <c r="BR13" s="192"/>
      <c r="BS13" s="192"/>
      <c r="BT13" s="192"/>
      <c r="BU13" s="192"/>
      <c r="BV13" s="192"/>
      <c r="BW13" s="192"/>
      <c r="BX13" s="192"/>
      <c r="BY13" s="192"/>
      <c r="BZ13" s="192"/>
      <c r="CA13" s="192"/>
    </row>
    <row r="14" spans="1:79" ht="29.85" customHeight="1">
      <c r="B14" s="98" t="str">
        <f>TRIM(CONCATENATE(Persons[[#This Row],[Person.givenNames.Property.content.en]]," ",Persons[[#This Row],[Person.familyName.Property.content.en]]))</f>
        <v>Jane2 Doe2</v>
      </c>
      <c r="C14" s="216" t="s">
        <v>6744</v>
      </c>
      <c r="D14" s="216" t="s">
        <v>6713</v>
      </c>
      <c r="E14" s="303"/>
      <c r="F14" s="312"/>
      <c r="G14" s="87"/>
      <c r="H14" s="313"/>
      <c r="I14" s="314" t="str" cm="1">
        <f t="array" ref="I14">MultiMatch(Persons[[#This Row],[Column22]],Vocabularies[name],0)</f>
        <v/>
      </c>
      <c r="J14" s="87"/>
      <c r="K14" s="192" t="str">
        <f>IF(ISBLANK(K$11),"",K$11)</f>
        <v/>
      </c>
      <c r="L14" s="315" t="str">
        <f>IFERROR(VLOOKUP(Persons[[#This Row],[Person.nationalId.identifierSchemeAgencyName.NestedProperty.]],References!$A$47:$F$328,5),"")</f>
        <v/>
      </c>
      <c r="M14" s="192" t="str">
        <f>IF(ISBLANK(M$11),"",M$11)</f>
        <v/>
      </c>
      <c r="N14" s="98" t="str" cm="1">
        <f t="array" ref="N14">MultiMatch(Persons[[#This Row],[Person.placeOfBirth.spatialCode.Reference.]],Vocabularies[name],0)</f>
        <v/>
      </c>
      <c r="O14" s="192" t="str">
        <f>IF(ISBLANK(O$11),"",O$11)</f>
        <v/>
      </c>
      <c r="P14" s="98" t="str" cm="1">
        <f t="array" ref="P14">MultiMatch(Persons[[#This Row],[Person.citizenshipCountry.citizenshipCountry.MultiReference.]],Vocabularies[name],0)</f>
        <v/>
      </c>
      <c r="Q14" s="326" t="str">
        <f>IF(ISBLANK(Q$11),"",Q$11)</f>
        <v>Student identification number</v>
      </c>
      <c r="R14" s="87" t="s">
        <v>6759</v>
      </c>
      <c r="S14" s="98" t="str">
        <f>IF(ISBLANK(S$11),"",S$11)</f>
        <v/>
      </c>
      <c r="T14" s="87"/>
      <c r="U14" s="218" t="s">
        <v>6745</v>
      </c>
      <c r="V14" s="285"/>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129" t="str">
        <f>IF(ISBLANK(AZ$11),"",AZ$11)</f>
        <v/>
      </c>
      <c r="BA14" s="87" t="str" cm="1">
        <f t="array" ref="BA14">MultiMatch(Persons[[#This Row],[Person.contactPoint'#1.postalAddress'#1.countryCode.Reference.]],Vocabularies[name],0)</f>
        <v/>
      </c>
      <c r="BB14" s="315" t="s">
        <v>6720</v>
      </c>
      <c r="BC14" s="98" t="str" cm="1">
        <f t="array" ref="BC14">MultiMatch(Persons[[#This Row],[Person.achieved.MultiReference.LearningAchievement.]],AchievementNames,0)</f>
        <v>13</v>
      </c>
      <c r="BD14" s="315" t="s">
        <v>6752</v>
      </c>
      <c r="BE14" s="315" t="str" cm="1">
        <f t="array" ref="BE14">MultiMatch(Persons[[#This Row],[Person.performed.MultiReference.LearningActivity.]],ActivityNames,0)</f>
        <v>14; 15; 16</v>
      </c>
      <c r="BF14" s="87" t="str">
        <f>IF(ISBLANK(BF$11),"",BF$11)</f>
        <v/>
      </c>
      <c r="BG14" s="98" t="str" cm="1">
        <f t="array" ref="BG14">MultiMatch(Persons[[#This Row],[Person.entitledTo.MultiReference.Entitlement.]],EntitlementNames,0)</f>
        <v/>
      </c>
      <c r="BH14" s="192">
        <v>4</v>
      </c>
      <c r="BI14" s="192">
        <v>3</v>
      </c>
      <c r="BJ14" s="192">
        <v>5</v>
      </c>
      <c r="BK14" s="192">
        <v>4</v>
      </c>
      <c r="BL14" s="192"/>
      <c r="BM14" s="192"/>
      <c r="BN14" s="192"/>
      <c r="BO14" s="192"/>
      <c r="BP14" s="192"/>
      <c r="BQ14" s="192"/>
      <c r="BR14" s="192"/>
      <c r="BS14" s="192"/>
      <c r="BT14" s="192"/>
      <c r="BU14" s="192"/>
      <c r="BV14" s="192"/>
      <c r="BW14" s="192"/>
      <c r="BX14" s="192"/>
      <c r="BY14" s="192"/>
      <c r="BZ14" s="192"/>
      <c r="CA14" s="192"/>
    </row>
    <row r="15" spans="1:79" ht="29.85" customHeight="1">
      <c r="B15" s="98" t="str">
        <f>TRIM(CONCATENATE(Persons[[#This Row],[Person.givenNames.Property.content.en]]," ",Persons[[#This Row],[Person.familyName.Property.content.en]]))</f>
        <v>John3 Doe3</v>
      </c>
      <c r="C15" s="216" t="s">
        <v>6747</v>
      </c>
      <c r="D15" s="216" t="s">
        <v>6746</v>
      </c>
      <c r="E15" s="303"/>
      <c r="F15" s="312"/>
      <c r="G15" s="87"/>
      <c r="H15" s="313"/>
      <c r="I15" s="314" t="str" cm="1">
        <f t="array" ref="I15">MultiMatch(Persons[[#This Row],[Column22]],Vocabularies[name],0)</f>
        <v/>
      </c>
      <c r="J15" s="87"/>
      <c r="K15" s="192" t="str">
        <f>IF(ISBLANK(K$11),"",K$11)</f>
        <v/>
      </c>
      <c r="L15" s="315" t="str">
        <f>IFERROR(VLOOKUP(Persons[[#This Row],[Person.nationalId.identifierSchemeAgencyName.NestedProperty.]],References!$A$47:$F$328,5),"")</f>
        <v/>
      </c>
      <c r="M15" s="192" t="str">
        <f>IF(ISBLANK(M$11),"",M$11)</f>
        <v/>
      </c>
      <c r="N15" s="98" t="str" cm="1">
        <f t="array" ref="N15">MultiMatch(Persons[[#This Row],[Person.placeOfBirth.spatialCode.Reference.]],Vocabularies[name],0)</f>
        <v/>
      </c>
      <c r="O15" s="192" t="str">
        <f>IF(ISBLANK(O$11),"",O$11)</f>
        <v/>
      </c>
      <c r="P15" s="98" t="str" cm="1">
        <f t="array" ref="P15">MultiMatch(Persons[[#This Row],[Person.citizenshipCountry.citizenshipCountry.MultiReference.]],Vocabularies[name],0)</f>
        <v/>
      </c>
      <c r="Q15" s="326" t="str">
        <f>IF(ISBLANK(Q$11),"",Q$11)</f>
        <v>Student identification number</v>
      </c>
      <c r="R15" s="87" t="s">
        <v>6761</v>
      </c>
      <c r="S15" s="98" t="str">
        <f>IF(ISBLANK(S$11),"",S$11)</f>
        <v/>
      </c>
      <c r="T15" s="87"/>
      <c r="U15" s="218" t="s">
        <v>6750</v>
      </c>
      <c r="V15" s="285"/>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129" t="str">
        <f>IF(ISBLANK(AZ$11),"",AZ$11)</f>
        <v/>
      </c>
      <c r="BA15" s="87" t="str" cm="1">
        <f t="array" ref="BA15">MultiMatch(Persons[[#This Row],[Person.contactPoint'#1.postalAddress'#1.countryCode.Reference.]],Vocabularies[name],0)</f>
        <v/>
      </c>
      <c r="BB15" s="315" t="s">
        <v>6720</v>
      </c>
      <c r="BC15" s="98" t="str" cm="1">
        <f t="array" ref="BC15">MultiMatch(Persons[[#This Row],[Person.achieved.MultiReference.LearningAchievement.]],AchievementNames,0)</f>
        <v>13</v>
      </c>
      <c r="BD15" s="315" t="str">
        <f>IF(ISBLANK(BD$11),"",BD$11)</f>
        <v>Individual exercise; Course exercise; Zoom lectures</v>
      </c>
      <c r="BE15" s="315" t="str" cm="1">
        <f t="array" ref="BE15">MultiMatch(Persons[[#This Row],[Person.performed.MultiReference.LearningActivity.]],ActivityNames,0)</f>
        <v>14; 15; 16</v>
      </c>
      <c r="BF15" s="87" t="str">
        <f>IF(ISBLANK(BF$11),"",BF$11)</f>
        <v/>
      </c>
      <c r="BG15" s="98" t="str" cm="1">
        <f t="array" ref="BG15">MultiMatch(Persons[[#This Row],[Person.entitledTo.MultiReference.Entitlement.]],EntitlementNames,0)</f>
        <v/>
      </c>
      <c r="BH15" s="192">
        <v>3</v>
      </c>
      <c r="BI15" s="192">
        <v>3</v>
      </c>
      <c r="BJ15" s="192">
        <v>3</v>
      </c>
      <c r="BK15" s="192">
        <v>3</v>
      </c>
      <c r="BL15" s="192"/>
      <c r="BM15" s="192"/>
      <c r="BN15" s="192"/>
      <c r="BO15" s="192"/>
      <c r="BP15" s="192"/>
      <c r="BQ15" s="192"/>
      <c r="BR15" s="192"/>
      <c r="BS15" s="192"/>
      <c r="BT15" s="192"/>
      <c r="BU15" s="192"/>
      <c r="BV15" s="192"/>
      <c r="BW15" s="192"/>
      <c r="BX15" s="192"/>
      <c r="BY15" s="192"/>
      <c r="BZ15" s="192"/>
      <c r="CA15" s="192"/>
    </row>
    <row r="16" spans="1:79" ht="29.85" customHeight="1">
      <c r="B16" s="98" t="str">
        <f>TRIM(CONCATENATE(Persons[[#This Row],[Person.givenNames.Property.content.en]]," ",Persons[[#This Row],[Person.familyName.Property.content.en]]))</f>
        <v>John4 Doe4</v>
      </c>
      <c r="C16" s="216" t="s">
        <v>6748</v>
      </c>
      <c r="D16" s="216" t="s">
        <v>6749</v>
      </c>
      <c r="E16" s="303"/>
      <c r="F16" s="312"/>
      <c r="G16" s="87"/>
      <c r="H16" s="313"/>
      <c r="I16" s="314" t="str" cm="1">
        <f t="array" ref="I16">MultiMatch(Persons[[#This Row],[Column22]],Vocabularies[name],0)</f>
        <v/>
      </c>
      <c r="J16" s="87"/>
      <c r="K16" s="192" t="str">
        <f>IF(ISBLANK(K$11),"",K$11)</f>
        <v/>
      </c>
      <c r="L16" s="315" t="str">
        <f>IFERROR(VLOOKUP(Persons[[#This Row],[Person.nationalId.identifierSchemeAgencyName.NestedProperty.]],References!$A$47:$F$328,5),"")</f>
        <v/>
      </c>
      <c r="M16" s="192" t="str">
        <f>IF(ISBLANK(M$11),"",M$11)</f>
        <v/>
      </c>
      <c r="N16" s="98" t="str" cm="1">
        <f t="array" ref="N16">MultiMatch(Persons[[#This Row],[Person.placeOfBirth.spatialCode.Reference.]],Vocabularies[name],0)</f>
        <v/>
      </c>
      <c r="O16" s="192" t="str">
        <f>IF(ISBLANK(O$11),"",O$11)</f>
        <v/>
      </c>
      <c r="P16" s="98" t="str" cm="1">
        <f t="array" ref="P16">MultiMatch(Persons[[#This Row],[Person.citizenshipCountry.citizenshipCountry.MultiReference.]],Vocabularies[name],0)</f>
        <v/>
      </c>
      <c r="Q16" s="326" t="str">
        <f>IF(ISBLANK(Q$11),"",Q$11)</f>
        <v>Student identification number</v>
      </c>
      <c r="R16" s="87" t="s">
        <v>6762</v>
      </c>
      <c r="S16" s="98" t="str">
        <f>IF(ISBLANK(S$11),"",S$11)</f>
        <v/>
      </c>
      <c r="T16" s="87"/>
      <c r="U16" s="218" t="s">
        <v>6751</v>
      </c>
      <c r="V16" s="285"/>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129" t="str">
        <f>IF(ISBLANK(AZ$11),"",AZ$11)</f>
        <v/>
      </c>
      <c r="BA16" s="87" t="str" cm="1">
        <f t="array" ref="BA16">MultiMatch(Persons[[#This Row],[Person.contactPoint'#1.postalAddress'#1.countryCode.Reference.]],Vocabularies[name],0)</f>
        <v/>
      </c>
      <c r="BB16" s="315" t="s">
        <v>6720</v>
      </c>
      <c r="BC16" s="98" t="str" cm="1">
        <f t="array" ref="BC16">MultiMatch(Persons[[#This Row],[Person.achieved.MultiReference.LearningAchievement.]],AchievementNames,0)</f>
        <v>13</v>
      </c>
      <c r="BD16" s="315" t="str">
        <f>IF(ISBLANK(BD$11),"",BD$11)</f>
        <v>Individual exercise; Course exercise; Zoom lectures</v>
      </c>
      <c r="BE16" s="315" t="str" cm="1">
        <f t="array" ref="BE16">MultiMatch(Persons[[#This Row],[Person.performed.MultiReference.LearningActivity.]],ActivityNames,0)</f>
        <v>14; 15; 16</v>
      </c>
      <c r="BF16" s="87" t="str">
        <f>IF(ISBLANK(BF$11),"",BF$11)</f>
        <v/>
      </c>
      <c r="BG16" s="98" t="str" cm="1">
        <f t="array" ref="BG16">MultiMatch(Persons[[#This Row],[Person.entitledTo.MultiReference.Entitlement.]],EntitlementNames,0)</f>
        <v/>
      </c>
      <c r="BH16" s="192">
        <v>5</v>
      </c>
      <c r="BI16" s="192">
        <v>5</v>
      </c>
      <c r="BJ16" s="192">
        <v>5</v>
      </c>
      <c r="BK16" s="192">
        <v>4</v>
      </c>
      <c r="BL16" s="192"/>
      <c r="BM16" s="192"/>
      <c r="BN16" s="192"/>
      <c r="BO16" s="192"/>
      <c r="BP16" s="192"/>
      <c r="BQ16" s="192"/>
      <c r="BR16" s="192"/>
      <c r="BS16" s="192"/>
      <c r="BT16" s="192"/>
      <c r="BU16" s="192"/>
      <c r="BV16" s="192"/>
      <c r="BW16" s="192"/>
      <c r="BX16" s="192"/>
      <c r="BY16" s="192"/>
      <c r="BZ16" s="192"/>
      <c r="CA16" s="192"/>
    </row>
  </sheetData>
  <sheetProtection algorithmName="SHA-512" hashValue="LUcrlgF6BxbUmaldv1df/GarINn4IjYb9zXJv415mbSoDuhWkSq1B78CM/VKdlU1P3szBnJtQojTCz8EPaPQ2w==" saltValue="ogY6yjQnAKZdsQ/8F4KvQQ==" spinCount="100000" sheet="1" objects="1" scenarios="1" formatColumns="0"/>
  <mergeCells count="1">
    <mergeCell ref="J8:K8"/>
  </mergeCells>
  <phoneticPr fontId="12" type="noConversion"/>
  <dataValidations disablePrompts="1" count="7">
    <dataValidation type="list" allowBlank="1" showInputMessage="1" showErrorMessage="1" sqref="K11 M11 O11 AZ11 K13:K17 M13:M17 O13:O17 AZ13:AZ17" xr:uid="{00000000-0002-0000-0200-000000000000}">
      <formula1>CountryNames</formula1>
    </dataValidation>
    <dataValidation type="list" allowBlank="1" showInputMessage="1" showErrorMessage="1" sqref="BB11 BB13:BB17" xr:uid="{00000000-0002-0000-0200-000001000000}">
      <formula1>AchievementNames</formula1>
    </dataValidation>
    <dataValidation type="list" allowBlank="1" showInputMessage="1" showErrorMessage="1" sqref="BD11 BD13:BD17" xr:uid="{00000000-0002-0000-0200-000002000000}">
      <formula1>ActivityNames</formula1>
    </dataValidation>
    <dataValidation type="list" allowBlank="1" showInputMessage="1" showErrorMessage="1" sqref="BF11 BF13:BF17" xr:uid="{00000000-0002-0000-0200-000003000000}">
      <formula1>EntitlementNames</formula1>
    </dataValidation>
    <dataValidation type="custom" allowBlank="1" showInputMessage="1" showErrorMessage="1" sqref="U13:U16" xr:uid="{ED535971-997F-40F6-9048-76F087B20918}">
      <formula1>ISNUMBER(MATCH("*@*.?*",U13,0))</formula1>
    </dataValidation>
    <dataValidation type="list" allowBlank="1" showInputMessage="1" showErrorMessage="1" sqref="H13:H17" xr:uid="{00000000-0002-0000-0200-000004000000}">
      <formula1>GenderNames</formula1>
    </dataValidation>
    <dataValidation type="date" operator="greaterThan" allowBlank="1" showInputMessage="1" showErrorMessage="1" sqref="E13:E17" xr:uid="{00000000-0002-0000-0200-000005000000}">
      <formula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E13"/>
  <sheetViews>
    <sheetView zoomScale="90" zoomScaleNormal="90" workbookViewId="0">
      <pane xSplit="30" ySplit="12" topLeftCell="BJ13" activePane="bottomRight" state="frozen"/>
      <selection pane="topRight" activeCell="AB1" sqref="AB1"/>
      <selection pane="bottomLeft" activeCell="A13" sqref="A13"/>
      <selection pane="bottomRight" activeCell="DU9" sqref="DU9"/>
    </sheetView>
  </sheetViews>
  <sheetFormatPr defaultColWidth="9.140625" defaultRowHeight="28.5" customHeight="1"/>
  <cols>
    <col min="1" max="1" width="23.85546875" style="79" customWidth="1"/>
    <col min="2" max="2" width="38.85546875" style="79" customWidth="1"/>
    <col min="3" max="30" width="38.85546875" style="79" hidden="1" customWidth="1"/>
    <col min="31" max="31" width="38.85546875" style="79" customWidth="1"/>
    <col min="32" max="59" width="38.85546875" style="79" hidden="1" customWidth="1"/>
    <col min="60" max="60" width="24.140625" style="79" customWidth="1"/>
    <col min="61" max="62" width="35.85546875" style="79" customWidth="1"/>
    <col min="63" max="63" width="20.85546875" style="79" customWidth="1"/>
    <col min="64" max="91" width="20.85546875" style="79" hidden="1" customWidth="1"/>
    <col min="92" max="92" width="30.85546875" style="79" customWidth="1"/>
    <col min="93" max="120" width="30.85546875" style="79" hidden="1" customWidth="1"/>
    <col min="121" max="121" width="15.140625" style="79" customWidth="1"/>
    <col min="122" max="122" width="12.85546875" style="79" hidden="1" customWidth="1"/>
    <col min="123" max="123" width="21" style="79" customWidth="1"/>
    <col min="124" max="124" width="15.42578125" style="79" customWidth="1"/>
    <col min="125" max="125" width="20.85546875" style="79" customWidth="1"/>
    <col min="126" max="126" width="15.42578125" style="79" customWidth="1"/>
    <col min="127" max="131" width="20.85546875" style="79" customWidth="1"/>
    <col min="132" max="132" width="35.85546875" style="79" hidden="1" customWidth="1"/>
    <col min="133" max="133" width="10.85546875" style="79" hidden="1" customWidth="1"/>
    <col min="134" max="134" width="35.85546875" style="79" customWidth="1"/>
    <col min="135" max="135" width="10.85546875" style="79" hidden="1" customWidth="1"/>
    <col min="136" max="16384" width="9.140625" style="89"/>
  </cols>
  <sheetData>
    <row r="1" spans="1:135" s="122" customFormat="1" ht="23.25">
      <c r="A1" s="76" t="s">
        <v>5671</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row>
    <row r="2" spans="1:135" ht="60" hidden="1">
      <c r="A2" s="80" t="s">
        <v>14</v>
      </c>
      <c r="B2" s="80" t="s">
        <v>36</v>
      </c>
      <c r="C2" s="80" t="s">
        <v>36</v>
      </c>
      <c r="D2" s="80" t="s">
        <v>36</v>
      </c>
      <c r="E2" s="80" t="s">
        <v>36</v>
      </c>
      <c r="F2" s="80" t="s">
        <v>36</v>
      </c>
      <c r="G2" s="80" t="s">
        <v>36</v>
      </c>
      <c r="H2" s="80" t="s">
        <v>36</v>
      </c>
      <c r="I2" s="80" t="s">
        <v>36</v>
      </c>
      <c r="J2" s="80" t="s">
        <v>36</v>
      </c>
      <c r="K2" s="80" t="s">
        <v>36</v>
      </c>
      <c r="L2" s="80" t="s">
        <v>36</v>
      </c>
      <c r="M2" s="80" t="s">
        <v>36</v>
      </c>
      <c r="N2" s="80" t="s">
        <v>36</v>
      </c>
      <c r="O2" s="80" t="s">
        <v>36</v>
      </c>
      <c r="P2" s="80" t="s">
        <v>36</v>
      </c>
      <c r="Q2" s="80" t="s">
        <v>36</v>
      </c>
      <c r="R2" s="80" t="s">
        <v>36</v>
      </c>
      <c r="S2" s="80" t="s">
        <v>36</v>
      </c>
      <c r="T2" s="80" t="s">
        <v>36</v>
      </c>
      <c r="U2" s="80" t="s">
        <v>36</v>
      </c>
      <c r="V2" s="80" t="s">
        <v>36</v>
      </c>
      <c r="W2" s="80" t="s">
        <v>36</v>
      </c>
      <c r="X2" s="80" t="s">
        <v>36</v>
      </c>
      <c r="Y2" s="80" t="s">
        <v>36</v>
      </c>
      <c r="Z2" s="80" t="s">
        <v>36</v>
      </c>
      <c r="AA2" s="80" t="s">
        <v>36</v>
      </c>
      <c r="AB2" s="80" t="s">
        <v>36</v>
      </c>
      <c r="AC2" s="80" t="s">
        <v>36</v>
      </c>
      <c r="AD2" s="80" t="s">
        <v>36</v>
      </c>
      <c r="AE2" s="80" t="s">
        <v>36</v>
      </c>
      <c r="AF2" s="80" t="s">
        <v>36</v>
      </c>
      <c r="AG2" s="80" t="s">
        <v>36</v>
      </c>
      <c r="AH2" s="80" t="s">
        <v>36</v>
      </c>
      <c r="AI2" s="80" t="s">
        <v>36</v>
      </c>
      <c r="AJ2" s="80" t="s">
        <v>36</v>
      </c>
      <c r="AK2" s="80" t="s">
        <v>36</v>
      </c>
      <c r="AL2" s="80" t="s">
        <v>36</v>
      </c>
      <c r="AM2" s="80" t="s">
        <v>36</v>
      </c>
      <c r="AN2" s="80" t="s">
        <v>36</v>
      </c>
      <c r="AO2" s="80" t="s">
        <v>36</v>
      </c>
      <c r="AP2" s="80" t="s">
        <v>36</v>
      </c>
      <c r="AQ2" s="80" t="s">
        <v>36</v>
      </c>
      <c r="AR2" s="80" t="s">
        <v>36</v>
      </c>
      <c r="AS2" s="80" t="s">
        <v>36</v>
      </c>
      <c r="AT2" s="80" t="s">
        <v>36</v>
      </c>
      <c r="AU2" s="80" t="s">
        <v>36</v>
      </c>
      <c r="AV2" s="80" t="s">
        <v>36</v>
      </c>
      <c r="AW2" s="80" t="s">
        <v>36</v>
      </c>
      <c r="AX2" s="80" t="s">
        <v>36</v>
      </c>
      <c r="AY2" s="80" t="s">
        <v>36</v>
      </c>
      <c r="AZ2" s="80" t="s">
        <v>36</v>
      </c>
      <c r="BA2" s="80" t="s">
        <v>36</v>
      </c>
      <c r="BB2" s="80" t="s">
        <v>36</v>
      </c>
      <c r="BC2" s="80" t="s">
        <v>36</v>
      </c>
      <c r="BD2" s="80" t="s">
        <v>36</v>
      </c>
      <c r="BE2" s="80" t="s">
        <v>36</v>
      </c>
      <c r="BF2" s="80" t="s">
        <v>36</v>
      </c>
      <c r="BG2" s="80" t="s">
        <v>36</v>
      </c>
      <c r="BH2" s="80" t="s">
        <v>297</v>
      </c>
      <c r="BI2" s="80" t="s">
        <v>298</v>
      </c>
      <c r="BJ2" s="80" t="s">
        <v>299</v>
      </c>
      <c r="BK2" s="80" t="s">
        <v>300</v>
      </c>
      <c r="BL2" s="80" t="s">
        <v>300</v>
      </c>
      <c r="BM2" s="80" t="s">
        <v>300</v>
      </c>
      <c r="BN2" s="80" t="s">
        <v>300</v>
      </c>
      <c r="BO2" s="80" t="s">
        <v>300</v>
      </c>
      <c r="BP2" s="80" t="s">
        <v>300</v>
      </c>
      <c r="BQ2" s="80" t="s">
        <v>300</v>
      </c>
      <c r="BR2" s="80" t="s">
        <v>300</v>
      </c>
      <c r="BS2" s="80" t="s">
        <v>300</v>
      </c>
      <c r="BT2" s="80" t="s">
        <v>300</v>
      </c>
      <c r="BU2" s="80" t="s">
        <v>300</v>
      </c>
      <c r="BV2" s="80" t="s">
        <v>300</v>
      </c>
      <c r="BW2" s="80" t="s">
        <v>300</v>
      </c>
      <c r="BX2" s="80" t="s">
        <v>300</v>
      </c>
      <c r="BY2" s="80" t="s">
        <v>300</v>
      </c>
      <c r="BZ2" s="80" t="s">
        <v>300</v>
      </c>
      <c r="CA2" s="80" t="s">
        <v>300</v>
      </c>
      <c r="CB2" s="80" t="s">
        <v>300</v>
      </c>
      <c r="CC2" s="80" t="s">
        <v>300</v>
      </c>
      <c r="CD2" s="80" t="s">
        <v>300</v>
      </c>
      <c r="CE2" s="80" t="s">
        <v>300</v>
      </c>
      <c r="CF2" s="80" t="s">
        <v>300</v>
      </c>
      <c r="CG2" s="80" t="s">
        <v>300</v>
      </c>
      <c r="CH2" s="80" t="s">
        <v>300</v>
      </c>
      <c r="CI2" s="80" t="s">
        <v>300</v>
      </c>
      <c r="CJ2" s="80" t="s">
        <v>300</v>
      </c>
      <c r="CK2" s="80" t="s">
        <v>300</v>
      </c>
      <c r="CL2" s="80" t="s">
        <v>300</v>
      </c>
      <c r="CM2" s="80" t="s">
        <v>300</v>
      </c>
      <c r="CN2" s="80" t="s">
        <v>301</v>
      </c>
      <c r="CO2" s="80" t="s">
        <v>301</v>
      </c>
      <c r="CP2" s="80" t="s">
        <v>301</v>
      </c>
      <c r="CQ2" s="80" t="s">
        <v>301</v>
      </c>
      <c r="CR2" s="80" t="s">
        <v>301</v>
      </c>
      <c r="CS2" s="80" t="s">
        <v>301</v>
      </c>
      <c r="CT2" s="80" t="s">
        <v>301</v>
      </c>
      <c r="CU2" s="80" t="s">
        <v>301</v>
      </c>
      <c r="CV2" s="80" t="s">
        <v>301</v>
      </c>
      <c r="CW2" s="80" t="s">
        <v>301</v>
      </c>
      <c r="CX2" s="80" t="s">
        <v>301</v>
      </c>
      <c r="CY2" s="80" t="s">
        <v>301</v>
      </c>
      <c r="CZ2" s="80" t="s">
        <v>301</v>
      </c>
      <c r="DA2" s="80" t="s">
        <v>301</v>
      </c>
      <c r="DB2" s="80" t="s">
        <v>301</v>
      </c>
      <c r="DC2" s="80" t="s">
        <v>301</v>
      </c>
      <c r="DD2" s="80" t="s">
        <v>301</v>
      </c>
      <c r="DE2" s="80" t="s">
        <v>301</v>
      </c>
      <c r="DF2" s="80" t="s">
        <v>301</v>
      </c>
      <c r="DG2" s="80" t="s">
        <v>301</v>
      </c>
      <c r="DH2" s="80" t="s">
        <v>301</v>
      </c>
      <c r="DI2" s="80" t="s">
        <v>301</v>
      </c>
      <c r="DJ2" s="80" t="s">
        <v>301</v>
      </c>
      <c r="DK2" s="80" t="s">
        <v>301</v>
      </c>
      <c r="DL2" s="80" t="s">
        <v>301</v>
      </c>
      <c r="DM2" s="80" t="s">
        <v>301</v>
      </c>
      <c r="DN2" s="80" t="s">
        <v>301</v>
      </c>
      <c r="DO2" s="80" t="s">
        <v>301</v>
      </c>
      <c r="DP2" s="80" t="s">
        <v>301</v>
      </c>
      <c r="DQ2" s="80" t="s">
        <v>302</v>
      </c>
      <c r="DR2" s="80" t="s">
        <v>302</v>
      </c>
      <c r="DS2" s="80" t="s">
        <v>6491</v>
      </c>
      <c r="DT2" s="93" t="s">
        <v>303</v>
      </c>
      <c r="DU2" s="80" t="s">
        <v>303</v>
      </c>
      <c r="DV2" s="80" t="s">
        <v>304</v>
      </c>
      <c r="DW2" s="80" t="s">
        <v>304</v>
      </c>
      <c r="DX2" s="80" t="s">
        <v>305</v>
      </c>
      <c r="DY2" s="80" t="s">
        <v>305</v>
      </c>
      <c r="DZ2" s="80" t="s">
        <v>306</v>
      </c>
      <c r="EA2" s="80" t="s">
        <v>306</v>
      </c>
      <c r="EB2" s="80" t="s">
        <v>36</v>
      </c>
      <c r="EC2" s="80" t="s">
        <v>36</v>
      </c>
      <c r="ED2" s="80" t="s">
        <v>36</v>
      </c>
      <c r="EE2" s="80" t="s">
        <v>36</v>
      </c>
    </row>
    <row r="3" spans="1:135" ht="15" hidden="1">
      <c r="A3" s="80" t="s">
        <v>17</v>
      </c>
      <c r="B3" s="80" t="s">
        <v>307</v>
      </c>
      <c r="C3" s="80" t="s">
        <v>307</v>
      </c>
      <c r="D3" s="80" t="s">
        <v>307</v>
      </c>
      <c r="E3" s="80" t="s">
        <v>307</v>
      </c>
      <c r="F3" s="80" t="s">
        <v>307</v>
      </c>
      <c r="G3" s="80" t="s">
        <v>307</v>
      </c>
      <c r="H3" s="80" t="s">
        <v>307</v>
      </c>
      <c r="I3" s="80" t="s">
        <v>307</v>
      </c>
      <c r="J3" s="80" t="s">
        <v>307</v>
      </c>
      <c r="K3" s="80" t="s">
        <v>307</v>
      </c>
      <c r="L3" s="80" t="s">
        <v>307</v>
      </c>
      <c r="M3" s="80" t="s">
        <v>307</v>
      </c>
      <c r="N3" s="80" t="s">
        <v>307</v>
      </c>
      <c r="O3" s="80" t="s">
        <v>307</v>
      </c>
      <c r="P3" s="80" t="s">
        <v>307</v>
      </c>
      <c r="Q3" s="80" t="s">
        <v>307</v>
      </c>
      <c r="R3" s="80" t="s">
        <v>307</v>
      </c>
      <c r="S3" s="80" t="s">
        <v>307</v>
      </c>
      <c r="T3" s="80" t="s">
        <v>307</v>
      </c>
      <c r="U3" s="80" t="s">
        <v>307</v>
      </c>
      <c r="V3" s="80" t="s">
        <v>307</v>
      </c>
      <c r="W3" s="80" t="s">
        <v>307</v>
      </c>
      <c r="X3" s="80" t="s">
        <v>307</v>
      </c>
      <c r="Y3" s="80" t="s">
        <v>307</v>
      </c>
      <c r="Z3" s="80" t="s">
        <v>307</v>
      </c>
      <c r="AA3" s="80" t="s">
        <v>307</v>
      </c>
      <c r="AB3" s="80" t="s">
        <v>307</v>
      </c>
      <c r="AC3" s="80" t="s">
        <v>307</v>
      </c>
      <c r="AD3" s="80" t="s">
        <v>307</v>
      </c>
      <c r="AE3" s="80" t="s">
        <v>308</v>
      </c>
      <c r="AF3" s="80" t="s">
        <v>308</v>
      </c>
      <c r="AG3" s="80" t="s">
        <v>308</v>
      </c>
      <c r="AH3" s="80" t="s">
        <v>308</v>
      </c>
      <c r="AI3" s="80" t="s">
        <v>308</v>
      </c>
      <c r="AJ3" s="80" t="s">
        <v>308</v>
      </c>
      <c r="AK3" s="80" t="s">
        <v>308</v>
      </c>
      <c r="AL3" s="80" t="s">
        <v>308</v>
      </c>
      <c r="AM3" s="80" t="s">
        <v>308</v>
      </c>
      <c r="AN3" s="80" t="s">
        <v>308</v>
      </c>
      <c r="AO3" s="80" t="s">
        <v>308</v>
      </c>
      <c r="AP3" s="80" t="s">
        <v>308</v>
      </c>
      <c r="AQ3" s="80" t="s">
        <v>308</v>
      </c>
      <c r="AR3" s="80" t="s">
        <v>308</v>
      </c>
      <c r="AS3" s="80" t="s">
        <v>308</v>
      </c>
      <c r="AT3" s="80" t="s">
        <v>308</v>
      </c>
      <c r="AU3" s="80" t="s">
        <v>308</v>
      </c>
      <c r="AV3" s="80" t="s">
        <v>308</v>
      </c>
      <c r="AW3" s="80" t="s">
        <v>308</v>
      </c>
      <c r="AX3" s="80" t="s">
        <v>308</v>
      </c>
      <c r="AY3" s="80" t="s">
        <v>308</v>
      </c>
      <c r="AZ3" s="80" t="s">
        <v>308</v>
      </c>
      <c r="BA3" s="80" t="s">
        <v>308</v>
      </c>
      <c r="BB3" s="80" t="s">
        <v>308</v>
      </c>
      <c r="BC3" s="80" t="s">
        <v>308</v>
      </c>
      <c r="BD3" s="80" t="s">
        <v>308</v>
      </c>
      <c r="BE3" s="80" t="s">
        <v>308</v>
      </c>
      <c r="BF3" s="80" t="s">
        <v>308</v>
      </c>
      <c r="BG3" s="80" t="s">
        <v>308</v>
      </c>
      <c r="BH3" s="80" t="s">
        <v>33</v>
      </c>
      <c r="BI3" s="80" t="s">
        <v>37</v>
      </c>
      <c r="BJ3" s="80" t="s">
        <v>184</v>
      </c>
      <c r="BK3" s="80" t="s">
        <v>309</v>
      </c>
      <c r="BL3" s="80" t="s">
        <v>309</v>
      </c>
      <c r="BM3" s="80" t="s">
        <v>309</v>
      </c>
      <c r="BN3" s="80" t="s">
        <v>309</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185</v>
      </c>
      <c r="CO3" s="80" t="s">
        <v>185</v>
      </c>
      <c r="CP3" s="80" t="s">
        <v>185</v>
      </c>
      <c r="CQ3" s="80" t="s">
        <v>185</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186</v>
      </c>
      <c r="DR3" s="80" t="s">
        <v>186</v>
      </c>
      <c r="DS3" s="80" t="s">
        <v>183</v>
      </c>
      <c r="DT3" s="93" t="s">
        <v>179</v>
      </c>
      <c r="DU3" s="80" t="s">
        <v>33</v>
      </c>
      <c r="DV3" s="80" t="s">
        <v>179</v>
      </c>
      <c r="DW3" s="80" t="s">
        <v>33</v>
      </c>
      <c r="DX3" s="80" t="s">
        <v>182</v>
      </c>
      <c r="DY3" s="80" t="s">
        <v>33</v>
      </c>
      <c r="DZ3" s="80" t="s">
        <v>182</v>
      </c>
      <c r="EA3" s="80" t="s">
        <v>33</v>
      </c>
      <c r="EB3" s="80" t="s">
        <v>310</v>
      </c>
      <c r="EC3" s="80" t="s">
        <v>310</v>
      </c>
      <c r="ED3" s="80" t="s">
        <v>311</v>
      </c>
      <c r="EE3" s="80" t="s">
        <v>311</v>
      </c>
    </row>
    <row r="4" spans="1:135" ht="30" hidden="1">
      <c r="A4" s="80" t="s">
        <v>27</v>
      </c>
      <c r="B4" s="80" t="s">
        <v>28</v>
      </c>
      <c r="C4" s="80"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31</v>
      </c>
      <c r="BI4" s="80" t="s">
        <v>31</v>
      </c>
      <c r="BJ4" s="80" t="s">
        <v>31</v>
      </c>
      <c r="BK4" s="80" t="s">
        <v>31</v>
      </c>
      <c r="BL4" s="80" t="s">
        <v>31</v>
      </c>
      <c r="BM4" s="80" t="s">
        <v>31</v>
      </c>
      <c r="BN4" s="80" t="s">
        <v>31</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29</v>
      </c>
      <c r="DR4" s="186" t="s">
        <v>190</v>
      </c>
      <c r="DS4" s="80" t="s">
        <v>31</v>
      </c>
      <c r="DT4" s="93" t="s">
        <v>31</v>
      </c>
      <c r="DU4" s="186" t="s">
        <v>31</v>
      </c>
      <c r="DV4" s="186" t="s">
        <v>31</v>
      </c>
      <c r="DW4" s="80" t="s">
        <v>31</v>
      </c>
      <c r="DX4" s="80" t="s">
        <v>31</v>
      </c>
      <c r="DY4" s="80" t="s">
        <v>31</v>
      </c>
      <c r="DZ4" s="80" t="s">
        <v>31</v>
      </c>
      <c r="EA4" s="80" t="s">
        <v>31</v>
      </c>
      <c r="EB4" s="80" t="s">
        <v>191</v>
      </c>
      <c r="EC4" s="80" t="s">
        <v>30</v>
      </c>
      <c r="ED4" s="80" t="s">
        <v>29</v>
      </c>
      <c r="EE4" s="80" t="s">
        <v>30</v>
      </c>
    </row>
    <row r="5" spans="1:135" ht="30" hidden="1">
      <c r="A5" s="80" t="s">
        <v>32</v>
      </c>
      <c r="B5" s="80" t="s">
        <v>33</v>
      </c>
      <c r="C5" s="80" t="s">
        <v>33</v>
      </c>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c r="BI5" s="80"/>
      <c r="BJ5" s="80"/>
      <c r="BK5" s="80" t="s">
        <v>33</v>
      </c>
      <c r="BL5" s="80" t="s">
        <v>33</v>
      </c>
      <c r="BM5" s="80" t="s">
        <v>33</v>
      </c>
      <c r="BN5" s="80" t="s">
        <v>33</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c r="DR5" s="80" t="s">
        <v>34</v>
      </c>
      <c r="DS5" s="80" t="s">
        <v>184</v>
      </c>
      <c r="DT5" s="80"/>
      <c r="DU5" s="80"/>
      <c r="DV5" s="80"/>
      <c r="DW5" s="80"/>
      <c r="DX5" s="80"/>
      <c r="DY5" s="80"/>
      <c r="DZ5" s="80"/>
      <c r="EA5" s="80"/>
      <c r="EB5" s="80" t="s">
        <v>36</v>
      </c>
      <c r="EC5" s="80" t="s">
        <v>36</v>
      </c>
      <c r="ED5" s="80" t="s">
        <v>36</v>
      </c>
      <c r="EE5" s="80" t="s">
        <v>36</v>
      </c>
    </row>
    <row r="6" spans="1:135" ht="15" hidden="1">
      <c r="A6" s="80" t="s">
        <v>39</v>
      </c>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v>1</v>
      </c>
      <c r="AF6" s="80">
        <v>1</v>
      </c>
      <c r="AG6" s="80">
        <v>1</v>
      </c>
      <c r="AH6" s="80">
        <v>1</v>
      </c>
      <c r="AI6" s="80">
        <v>1</v>
      </c>
      <c r="AJ6" s="80">
        <v>1</v>
      </c>
      <c r="AK6" s="80">
        <v>1</v>
      </c>
      <c r="AL6" s="80">
        <v>1</v>
      </c>
      <c r="AM6" s="80">
        <v>1</v>
      </c>
      <c r="AN6" s="80">
        <v>1</v>
      </c>
      <c r="AO6" s="80">
        <v>1</v>
      </c>
      <c r="AP6" s="80">
        <v>1</v>
      </c>
      <c r="AQ6" s="80">
        <v>1</v>
      </c>
      <c r="AR6" s="80">
        <v>1</v>
      </c>
      <c r="AS6" s="80">
        <v>1</v>
      </c>
      <c r="AT6" s="80">
        <v>1</v>
      </c>
      <c r="AU6" s="80">
        <v>1</v>
      </c>
      <c r="AV6" s="80">
        <v>1</v>
      </c>
      <c r="AW6" s="80">
        <v>1</v>
      </c>
      <c r="AX6" s="80">
        <v>1</v>
      </c>
      <c r="AY6" s="80">
        <v>1</v>
      </c>
      <c r="AZ6" s="80">
        <v>1</v>
      </c>
      <c r="BA6" s="80">
        <v>1</v>
      </c>
      <c r="BB6" s="80">
        <v>1</v>
      </c>
      <c r="BC6" s="80">
        <v>1</v>
      </c>
      <c r="BD6" s="80">
        <v>1</v>
      </c>
      <c r="BE6" s="80">
        <v>1</v>
      </c>
      <c r="BF6" s="80">
        <v>1</v>
      </c>
      <c r="BG6" s="80">
        <v>1</v>
      </c>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c r="CP6" s="80"/>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v>1</v>
      </c>
      <c r="DT6" s="80"/>
      <c r="DU6" s="80"/>
      <c r="DV6" s="80"/>
      <c r="DW6" s="80"/>
      <c r="DX6" s="80"/>
      <c r="DY6" s="80"/>
      <c r="DZ6" s="80"/>
      <c r="EA6" s="80"/>
      <c r="EB6" s="80"/>
      <c r="EC6" s="80"/>
      <c r="ED6" s="80"/>
      <c r="EE6" s="80"/>
    </row>
    <row r="7" spans="1:135" ht="15" hidden="1">
      <c r="A7" s="80" t="s">
        <v>40</v>
      </c>
      <c r="B7" s="80"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E7" s="80" t="s">
        <v>9</v>
      </c>
      <c r="AF7" s="80" t="s">
        <v>41</v>
      </c>
      <c r="AG7" s="80" t="s">
        <v>42</v>
      </c>
      <c r="AH7" s="80" t="s">
        <v>43</v>
      </c>
      <c r="AI7" s="80" t="s">
        <v>44</v>
      </c>
      <c r="AJ7" s="80" t="s">
        <v>45</v>
      </c>
      <c r="AK7" s="80" t="s">
        <v>46</v>
      </c>
      <c r="AL7" s="80" t="s">
        <v>47</v>
      </c>
      <c r="AM7" s="80" t="s">
        <v>48</v>
      </c>
      <c r="AN7" s="80" t="s">
        <v>49</v>
      </c>
      <c r="AO7" s="80" t="s">
        <v>50</v>
      </c>
      <c r="AP7" s="80" t="s">
        <v>51</v>
      </c>
      <c r="AQ7" s="80" t="s">
        <v>52</v>
      </c>
      <c r="AR7" s="80" t="s">
        <v>53</v>
      </c>
      <c r="AS7" s="80" t="s">
        <v>54</v>
      </c>
      <c r="AT7" s="80" t="s">
        <v>55</v>
      </c>
      <c r="AU7" s="80" t="s">
        <v>56</v>
      </c>
      <c r="AV7" s="80" t="s">
        <v>5676</v>
      </c>
      <c r="AW7" s="80" t="s">
        <v>57</v>
      </c>
      <c r="AX7" s="80" t="s">
        <v>58</v>
      </c>
      <c r="AY7" s="80" t="s">
        <v>59</v>
      </c>
      <c r="AZ7" s="80" t="s">
        <v>60</v>
      </c>
      <c r="BA7" s="80" t="s">
        <v>61</v>
      </c>
      <c r="BB7" s="80" t="s">
        <v>62</v>
      </c>
      <c r="BC7" s="80" t="s">
        <v>63</v>
      </c>
      <c r="BD7" s="80" t="s">
        <v>64</v>
      </c>
      <c r="BE7" s="80" t="s">
        <v>5677</v>
      </c>
      <c r="BF7" s="80" t="s">
        <v>65</v>
      </c>
      <c r="BG7" s="80" t="s">
        <v>5674</v>
      </c>
      <c r="BH7" s="80"/>
      <c r="BI7" s="80"/>
      <c r="BJ7" s="80"/>
      <c r="BK7" s="80" t="s">
        <v>9</v>
      </c>
      <c r="BL7" s="80" t="s">
        <v>41</v>
      </c>
      <c r="BM7" s="80" t="s">
        <v>42</v>
      </c>
      <c r="BN7" s="80" t="s">
        <v>43</v>
      </c>
      <c r="BO7" s="80" t="s">
        <v>44</v>
      </c>
      <c r="BP7" s="80" t="s">
        <v>45</v>
      </c>
      <c r="BQ7" s="80" t="s">
        <v>46</v>
      </c>
      <c r="BR7" s="80" t="s">
        <v>47</v>
      </c>
      <c r="BS7" s="80" t="s">
        <v>48</v>
      </c>
      <c r="BT7" s="80" t="s">
        <v>49</v>
      </c>
      <c r="BU7" s="80" t="s">
        <v>50</v>
      </c>
      <c r="BV7" s="80" t="s">
        <v>51</v>
      </c>
      <c r="BW7" s="80" t="s">
        <v>52</v>
      </c>
      <c r="BX7" s="80" t="s">
        <v>53</v>
      </c>
      <c r="BY7" s="80" t="s">
        <v>54</v>
      </c>
      <c r="BZ7" s="80" t="s">
        <v>55</v>
      </c>
      <c r="CA7" s="80" t="s">
        <v>56</v>
      </c>
      <c r="CB7" s="80" t="s">
        <v>5676</v>
      </c>
      <c r="CC7" s="80" t="s">
        <v>57</v>
      </c>
      <c r="CD7" s="80" t="s">
        <v>58</v>
      </c>
      <c r="CE7" s="80" t="s">
        <v>59</v>
      </c>
      <c r="CF7" s="80" t="s">
        <v>60</v>
      </c>
      <c r="CG7" s="80" t="s">
        <v>61</v>
      </c>
      <c r="CH7" s="80" t="s">
        <v>62</v>
      </c>
      <c r="CI7" s="80" t="s">
        <v>63</v>
      </c>
      <c r="CJ7" s="80" t="s">
        <v>64</v>
      </c>
      <c r="CK7" s="80" t="s">
        <v>5677</v>
      </c>
      <c r="CL7" s="80" t="s">
        <v>65</v>
      </c>
      <c r="CM7" s="80" t="s">
        <v>5674</v>
      </c>
      <c r="CN7" s="80" t="s">
        <v>9</v>
      </c>
      <c r="CO7" s="80" t="s">
        <v>41</v>
      </c>
      <c r="CP7" s="80" t="s">
        <v>42</v>
      </c>
      <c r="CQ7" s="80" t="s">
        <v>43</v>
      </c>
      <c r="CR7" s="80" t="s">
        <v>44</v>
      </c>
      <c r="CS7" s="80" t="s">
        <v>45</v>
      </c>
      <c r="CT7" s="80" t="s">
        <v>46</v>
      </c>
      <c r="CU7" s="80" t="s">
        <v>47</v>
      </c>
      <c r="CV7" s="80" t="s">
        <v>48</v>
      </c>
      <c r="CW7" s="80" t="s">
        <v>49</v>
      </c>
      <c r="CX7" s="80" t="s">
        <v>50</v>
      </c>
      <c r="CY7" s="80" t="s">
        <v>51</v>
      </c>
      <c r="CZ7" s="80" t="s">
        <v>52</v>
      </c>
      <c r="DA7" s="80" t="s">
        <v>53</v>
      </c>
      <c r="DB7" s="80" t="s">
        <v>54</v>
      </c>
      <c r="DC7" s="80" t="s">
        <v>55</v>
      </c>
      <c r="DD7" s="80" t="s">
        <v>56</v>
      </c>
      <c r="DE7" s="80" t="s">
        <v>5676</v>
      </c>
      <c r="DF7" s="80" t="s">
        <v>57</v>
      </c>
      <c r="DG7" s="80" t="s">
        <v>58</v>
      </c>
      <c r="DH7" s="80" t="s">
        <v>59</v>
      </c>
      <c r="DI7" s="80" t="s">
        <v>60</v>
      </c>
      <c r="DJ7" s="80" t="s">
        <v>61</v>
      </c>
      <c r="DK7" s="80" t="s">
        <v>62</v>
      </c>
      <c r="DL7" s="80" t="s">
        <v>63</v>
      </c>
      <c r="DM7" s="80" t="s">
        <v>64</v>
      </c>
      <c r="DN7" s="80" t="s">
        <v>5677</v>
      </c>
      <c r="DO7" s="80" t="s">
        <v>65</v>
      </c>
      <c r="DP7" s="80" t="s">
        <v>5674</v>
      </c>
      <c r="DQ7" s="80"/>
      <c r="DR7" s="80"/>
      <c r="DS7" s="80"/>
      <c r="DT7" s="80"/>
      <c r="DU7" s="80"/>
      <c r="DV7" s="80"/>
      <c r="DW7" s="80"/>
      <c r="DX7" s="80"/>
      <c r="DY7" s="80"/>
      <c r="DZ7" s="80"/>
      <c r="EA7" s="80"/>
      <c r="EB7" s="80"/>
      <c r="EC7" s="80"/>
      <c r="ED7" s="80"/>
      <c r="EE7" s="80"/>
    </row>
    <row r="8" spans="1:135" s="118" customFormat="1" ht="30">
      <c r="A8" s="5" t="s">
        <v>1483</v>
      </c>
      <c r="B8" s="189" t="s">
        <v>312</v>
      </c>
      <c r="C8" s="189" t="s">
        <v>6431</v>
      </c>
      <c r="D8" s="189" t="s">
        <v>6432</v>
      </c>
      <c r="E8" s="189" t="s">
        <v>6433</v>
      </c>
      <c r="F8" s="189" t="s">
        <v>6434</v>
      </c>
      <c r="G8" s="189" t="s">
        <v>6435</v>
      </c>
      <c r="H8" s="189" t="s">
        <v>6436</v>
      </c>
      <c r="I8" s="189" t="s">
        <v>6437</v>
      </c>
      <c r="J8" s="189" t="s">
        <v>6438</v>
      </c>
      <c r="K8" s="189" t="s">
        <v>6439</v>
      </c>
      <c r="L8" s="189" t="s">
        <v>6440</v>
      </c>
      <c r="M8" s="189" t="s">
        <v>6441</v>
      </c>
      <c r="N8" s="189" t="s">
        <v>6442</v>
      </c>
      <c r="O8" s="189" t="s">
        <v>6443</v>
      </c>
      <c r="P8" s="189" t="s">
        <v>6444</v>
      </c>
      <c r="Q8" s="189" t="s">
        <v>6445</v>
      </c>
      <c r="R8" s="189" t="s">
        <v>6446</v>
      </c>
      <c r="S8" s="189" t="s">
        <v>6447</v>
      </c>
      <c r="T8" s="189" t="s">
        <v>6448</v>
      </c>
      <c r="U8" s="286" t="s">
        <v>6457</v>
      </c>
      <c r="V8" s="189" t="s">
        <v>6433</v>
      </c>
      <c r="W8" s="189" t="s">
        <v>6449</v>
      </c>
      <c r="X8" s="189" t="s">
        <v>6450</v>
      </c>
      <c r="Y8" s="189" t="s">
        <v>6451</v>
      </c>
      <c r="Z8" s="189" t="s">
        <v>6452</v>
      </c>
      <c r="AA8" s="189" t="s">
        <v>6453</v>
      </c>
      <c r="AB8" s="189" t="s">
        <v>6454</v>
      </c>
      <c r="AC8" s="189" t="s">
        <v>6455</v>
      </c>
      <c r="AD8" s="189" t="s">
        <v>6456</v>
      </c>
      <c r="AE8" s="5" t="s">
        <v>313</v>
      </c>
      <c r="AF8" s="5" t="s">
        <v>6459</v>
      </c>
      <c r="AG8" s="5" t="s">
        <v>6460</v>
      </c>
      <c r="AH8" s="5" t="s">
        <v>6461</v>
      </c>
      <c r="AI8" s="5" t="s">
        <v>6462</v>
      </c>
      <c r="AJ8" s="5" t="s">
        <v>6463</v>
      </c>
      <c r="AK8" s="5" t="s">
        <v>6464</v>
      </c>
      <c r="AL8" s="5" t="s">
        <v>6465</v>
      </c>
      <c r="AM8" s="5" t="s">
        <v>6466</v>
      </c>
      <c r="AN8" s="5" t="s">
        <v>6467</v>
      </c>
      <c r="AO8" s="5" t="s">
        <v>6468</v>
      </c>
      <c r="AP8" s="5" t="s">
        <v>6469</v>
      </c>
      <c r="AQ8" s="5" t="s">
        <v>6470</v>
      </c>
      <c r="AR8" s="5" t="s">
        <v>6484</v>
      </c>
      <c r="AS8" s="5" t="s">
        <v>6471</v>
      </c>
      <c r="AT8" s="5" t="s">
        <v>6472</v>
      </c>
      <c r="AU8" s="5" t="s">
        <v>6473</v>
      </c>
      <c r="AV8" s="5" t="s">
        <v>6474</v>
      </c>
      <c r="AW8" s="5" t="s">
        <v>6475</v>
      </c>
      <c r="AX8" s="5" t="s">
        <v>6486</v>
      </c>
      <c r="AY8" s="5" t="s">
        <v>6476</v>
      </c>
      <c r="AZ8" s="5" t="s">
        <v>6477</v>
      </c>
      <c r="BA8" s="5" t="s">
        <v>6478</v>
      </c>
      <c r="BB8" s="5" t="s">
        <v>6479</v>
      </c>
      <c r="BC8" s="5" t="s">
        <v>6480</v>
      </c>
      <c r="BD8" s="5" t="s">
        <v>6481</v>
      </c>
      <c r="BE8" s="5" t="s">
        <v>6469</v>
      </c>
      <c r="BF8" s="5" t="s">
        <v>6482</v>
      </c>
      <c r="BG8" s="5" t="s">
        <v>6483</v>
      </c>
      <c r="BH8" s="254" t="s">
        <v>314</v>
      </c>
      <c r="BI8" s="5" t="s">
        <v>315</v>
      </c>
      <c r="BJ8" s="5" t="s">
        <v>316</v>
      </c>
      <c r="BK8" s="5" t="s">
        <v>317</v>
      </c>
      <c r="BL8" s="18" t="s">
        <v>6377</v>
      </c>
      <c r="BM8" s="18" t="s">
        <v>6380</v>
      </c>
      <c r="BN8" s="18" t="s">
        <v>6382</v>
      </c>
      <c r="BO8" s="18" t="s">
        <v>6384</v>
      </c>
      <c r="BP8" s="18" t="s">
        <v>6388</v>
      </c>
      <c r="BQ8" s="18" t="s">
        <v>6375</v>
      </c>
      <c r="BR8" s="18" t="s">
        <v>6386</v>
      </c>
      <c r="BS8" s="18" t="s">
        <v>6395</v>
      </c>
      <c r="BT8" s="18" t="s">
        <v>6376</v>
      </c>
      <c r="BU8" s="18" t="s">
        <v>6392</v>
      </c>
      <c r="BV8" s="18" t="s">
        <v>6394</v>
      </c>
      <c r="BW8" s="18" t="s">
        <v>6381</v>
      </c>
      <c r="BX8" s="18" t="s">
        <v>6398</v>
      </c>
      <c r="BY8" s="18" t="s">
        <v>6396</v>
      </c>
      <c r="BZ8" s="18" t="s">
        <v>6379</v>
      </c>
      <c r="CA8" s="18" t="s">
        <v>6378</v>
      </c>
      <c r="CB8" s="18" t="s">
        <v>6399</v>
      </c>
      <c r="CC8" s="18" t="s">
        <v>6383</v>
      </c>
      <c r="CD8" s="18" t="s">
        <v>6385</v>
      </c>
      <c r="CE8" s="18" t="s">
        <v>6400</v>
      </c>
      <c r="CF8" s="18" t="s">
        <v>6387</v>
      </c>
      <c r="CG8" s="18" t="s">
        <v>6389</v>
      </c>
      <c r="CH8" s="18" t="s">
        <v>6390</v>
      </c>
      <c r="CI8" s="18" t="s">
        <v>6391</v>
      </c>
      <c r="CJ8" s="18" t="s">
        <v>6393</v>
      </c>
      <c r="CK8" s="18" t="s">
        <v>6402</v>
      </c>
      <c r="CL8" s="18" t="s">
        <v>6397</v>
      </c>
      <c r="CM8" s="18" t="s">
        <v>6401</v>
      </c>
      <c r="CN8" s="5" t="s">
        <v>209</v>
      </c>
      <c r="CO8" s="5" t="s">
        <v>6348</v>
      </c>
      <c r="CP8" s="5" t="s">
        <v>6349</v>
      </c>
      <c r="CQ8" s="5" t="s">
        <v>6350</v>
      </c>
      <c r="CR8" s="5" t="s">
        <v>6351</v>
      </c>
      <c r="CS8" s="5" t="s">
        <v>6352</v>
      </c>
      <c r="CT8" s="5" t="s">
        <v>6353</v>
      </c>
      <c r="CU8" s="5" t="s">
        <v>6354</v>
      </c>
      <c r="CV8" s="5" t="s">
        <v>6355</v>
      </c>
      <c r="CW8" s="5" t="s">
        <v>6356</v>
      </c>
      <c r="CX8" s="5" t="s">
        <v>6357</v>
      </c>
      <c r="CY8" s="5" t="s">
        <v>6358</v>
      </c>
      <c r="CZ8" s="5" t="s">
        <v>6359</v>
      </c>
      <c r="DA8" s="5" t="s">
        <v>6488</v>
      </c>
      <c r="DB8" s="5" t="s">
        <v>6361</v>
      </c>
      <c r="DC8" s="5" t="s">
        <v>6362</v>
      </c>
      <c r="DD8" s="5" t="s">
        <v>6363</v>
      </c>
      <c r="DE8" s="5" t="s">
        <v>6364</v>
      </c>
      <c r="DF8" s="5" t="s">
        <v>6365</v>
      </c>
      <c r="DG8" s="5" t="s">
        <v>6489</v>
      </c>
      <c r="DH8" s="5" t="s">
        <v>6367</v>
      </c>
      <c r="DI8" s="5" t="s">
        <v>6368</v>
      </c>
      <c r="DJ8" s="5" t="s">
        <v>6369</v>
      </c>
      <c r="DK8" s="5" t="s">
        <v>6370</v>
      </c>
      <c r="DL8" s="5" t="s">
        <v>6371</v>
      </c>
      <c r="DM8" s="5" t="s">
        <v>6372</v>
      </c>
      <c r="DN8" s="5" t="s">
        <v>6358</v>
      </c>
      <c r="DO8" s="5" t="s">
        <v>6373</v>
      </c>
      <c r="DP8" s="5" t="s">
        <v>6374</v>
      </c>
      <c r="DQ8" s="189" t="s">
        <v>318</v>
      </c>
      <c r="DR8" s="5"/>
      <c r="DS8" s="5" t="s">
        <v>207</v>
      </c>
      <c r="DT8" s="329" t="s">
        <v>319</v>
      </c>
      <c r="DU8" s="330"/>
      <c r="DV8" s="331" t="s">
        <v>320</v>
      </c>
      <c r="DW8" s="332"/>
      <c r="DX8" s="281" t="s">
        <v>321</v>
      </c>
      <c r="DY8" s="282" t="s">
        <v>204</v>
      </c>
      <c r="DZ8" s="281" t="s">
        <v>322</v>
      </c>
      <c r="EA8" s="282" t="s">
        <v>206</v>
      </c>
      <c r="EB8" s="18" t="s">
        <v>323</v>
      </c>
      <c r="EC8" s="18"/>
      <c r="ED8" s="18" t="s">
        <v>324</v>
      </c>
      <c r="EE8" s="18"/>
    </row>
    <row r="9" spans="1:135" s="71" customFormat="1" ht="56.85" customHeight="1" thickBot="1">
      <c r="A9" s="74" t="s">
        <v>66</v>
      </c>
      <c r="B9" s="7" t="s">
        <v>325</v>
      </c>
      <c r="C9" s="7" t="s">
        <v>6110</v>
      </c>
      <c r="D9" s="7" t="s">
        <v>6111</v>
      </c>
      <c r="E9" s="7" t="s">
        <v>6112</v>
      </c>
      <c r="F9" s="7" t="s">
        <v>6113</v>
      </c>
      <c r="G9" s="7" t="s">
        <v>6114</v>
      </c>
      <c r="H9" s="7" t="s">
        <v>6115</v>
      </c>
      <c r="I9" s="7" t="s">
        <v>6116</v>
      </c>
      <c r="J9" s="7" t="s">
        <v>6117</v>
      </c>
      <c r="K9" s="7" t="s">
        <v>6118</v>
      </c>
      <c r="L9" s="7" t="s">
        <v>6119</v>
      </c>
      <c r="M9" s="7" t="s">
        <v>6120</v>
      </c>
      <c r="N9" s="7" t="s">
        <v>6121</v>
      </c>
      <c r="O9" s="7" t="s">
        <v>6122</v>
      </c>
      <c r="P9" s="7" t="s">
        <v>6123</v>
      </c>
      <c r="Q9" s="7" t="s">
        <v>6124</v>
      </c>
      <c r="R9" s="7" t="s">
        <v>6125</v>
      </c>
      <c r="S9" s="7" t="s">
        <v>6126</v>
      </c>
      <c r="T9" s="7" t="s">
        <v>6127</v>
      </c>
      <c r="U9" s="287" t="s">
        <v>6458</v>
      </c>
      <c r="V9" s="7" t="s">
        <v>6128</v>
      </c>
      <c r="W9" s="7" t="s">
        <v>6129</v>
      </c>
      <c r="X9" s="7" t="s">
        <v>6130</v>
      </c>
      <c r="Y9" s="7" t="s">
        <v>6131</v>
      </c>
      <c r="Z9" s="7" t="s">
        <v>6132</v>
      </c>
      <c r="AA9" s="7" t="s">
        <v>6133</v>
      </c>
      <c r="AB9" s="7" t="s">
        <v>6134</v>
      </c>
      <c r="AC9" s="7" t="s">
        <v>6135</v>
      </c>
      <c r="AD9" s="7" t="s">
        <v>6136</v>
      </c>
      <c r="AE9" s="75" t="s">
        <v>326</v>
      </c>
      <c r="AF9" s="75" t="s">
        <v>6137</v>
      </c>
      <c r="AG9" s="75" t="s">
        <v>6138</v>
      </c>
      <c r="AH9" s="75" t="s">
        <v>6139</v>
      </c>
      <c r="AI9" s="75" t="s">
        <v>6140</v>
      </c>
      <c r="AJ9" s="75" t="s">
        <v>6141</v>
      </c>
      <c r="AK9" s="75" t="s">
        <v>6142</v>
      </c>
      <c r="AL9" s="75" t="s">
        <v>6143</v>
      </c>
      <c r="AM9" s="75" t="s">
        <v>6144</v>
      </c>
      <c r="AN9" s="75" t="s">
        <v>6145</v>
      </c>
      <c r="AO9" s="75" t="s">
        <v>6146</v>
      </c>
      <c r="AP9" s="75" t="s">
        <v>6147</v>
      </c>
      <c r="AQ9" s="75" t="s">
        <v>6148</v>
      </c>
      <c r="AR9" s="75" t="s">
        <v>6485</v>
      </c>
      <c r="AS9" s="75" t="s">
        <v>6149</v>
      </c>
      <c r="AT9" s="75" t="s">
        <v>6150</v>
      </c>
      <c r="AU9" s="75" t="s">
        <v>6151</v>
      </c>
      <c r="AV9" s="75" t="s">
        <v>6152</v>
      </c>
      <c r="AW9" s="75" t="s">
        <v>6153</v>
      </c>
      <c r="AX9" s="75" t="s">
        <v>6487</v>
      </c>
      <c r="AY9" s="75" t="s">
        <v>6154</v>
      </c>
      <c r="AZ9" s="75" t="s">
        <v>6155</v>
      </c>
      <c r="BA9" s="75" t="s">
        <v>6156</v>
      </c>
      <c r="BB9" s="75" t="s">
        <v>6157</v>
      </c>
      <c r="BC9" s="75" t="s">
        <v>6158</v>
      </c>
      <c r="BD9" s="75" t="s">
        <v>6159</v>
      </c>
      <c r="BE9" s="75" t="s">
        <v>6160</v>
      </c>
      <c r="BF9" s="75" t="s">
        <v>6161</v>
      </c>
      <c r="BG9" s="75" t="s">
        <v>6162</v>
      </c>
      <c r="BH9" s="67" t="s">
        <v>327</v>
      </c>
      <c r="BI9" s="7" t="s">
        <v>328</v>
      </c>
      <c r="BJ9" s="75" t="s">
        <v>5996</v>
      </c>
      <c r="BK9" s="7" t="s">
        <v>5997</v>
      </c>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5" t="s">
        <v>5995</v>
      </c>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 t="s">
        <v>5998</v>
      </c>
      <c r="DR9" s="75"/>
      <c r="DS9" s="75"/>
      <c r="DT9" s="209" t="s">
        <v>329</v>
      </c>
      <c r="DU9" s="210" t="s">
        <v>330</v>
      </c>
      <c r="DV9" s="219" t="s">
        <v>331</v>
      </c>
      <c r="DW9" s="220" t="s">
        <v>332</v>
      </c>
      <c r="DX9" s="277" t="s">
        <v>333</v>
      </c>
      <c r="DY9" s="283" t="s">
        <v>5999</v>
      </c>
      <c r="DZ9" s="277" t="s">
        <v>333</v>
      </c>
      <c r="EA9" s="220" t="s">
        <v>5999</v>
      </c>
      <c r="EB9" s="25" t="s">
        <v>334</v>
      </c>
      <c r="EC9" s="25"/>
      <c r="ED9" s="25" t="s">
        <v>334</v>
      </c>
      <c r="EE9" s="25"/>
    </row>
    <row r="10" spans="1:135" ht="15.75" thickBot="1">
      <c r="A10" s="94"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t="s">
        <v>10</v>
      </c>
      <c r="AF10" s="84" t="s">
        <v>78</v>
      </c>
      <c r="AG10" s="84" t="s">
        <v>79</v>
      </c>
      <c r="AH10" s="84" t="s">
        <v>80</v>
      </c>
      <c r="AI10" s="84" t="s">
        <v>81</v>
      </c>
      <c r="AJ10" s="84" t="s">
        <v>82</v>
      </c>
      <c r="AK10" s="84" t="s">
        <v>83</v>
      </c>
      <c r="AL10" s="84" t="s">
        <v>84</v>
      </c>
      <c r="AM10" s="84" t="s">
        <v>85</v>
      </c>
      <c r="AN10" s="84" t="s">
        <v>86</v>
      </c>
      <c r="AO10" s="84" t="s">
        <v>87</v>
      </c>
      <c r="AP10" s="84" t="s">
        <v>88</v>
      </c>
      <c r="AQ10" s="84" t="s">
        <v>89</v>
      </c>
      <c r="AR10" s="84" t="s">
        <v>90</v>
      </c>
      <c r="AS10" s="84" t="s">
        <v>91</v>
      </c>
      <c r="AT10" s="84" t="s">
        <v>92</v>
      </c>
      <c r="AU10" s="84" t="s">
        <v>93</v>
      </c>
      <c r="AV10" s="84" t="s">
        <v>5675</v>
      </c>
      <c r="AW10" s="84" t="s">
        <v>94</v>
      </c>
      <c r="AX10" s="84" t="s">
        <v>12</v>
      </c>
      <c r="AY10" s="84" t="s">
        <v>95</v>
      </c>
      <c r="AZ10" s="84" t="s">
        <v>96</v>
      </c>
      <c r="BA10" s="84" t="s">
        <v>97</v>
      </c>
      <c r="BB10" s="84" t="s">
        <v>98</v>
      </c>
      <c r="BC10" s="84" t="s">
        <v>99</v>
      </c>
      <c r="BD10" s="84" t="s">
        <v>100</v>
      </c>
      <c r="BE10" s="84" t="s">
        <v>5678</v>
      </c>
      <c r="BF10" s="84" t="s">
        <v>101</v>
      </c>
      <c r="BG10" s="84" t="s">
        <v>5679</v>
      </c>
      <c r="BH10" s="84"/>
      <c r="BI10" s="84"/>
      <c r="BJ10" s="94"/>
      <c r="BK10" s="84" t="s">
        <v>10</v>
      </c>
      <c r="BL10" s="84" t="s">
        <v>78</v>
      </c>
      <c r="BM10" s="84" t="s">
        <v>79</v>
      </c>
      <c r="BN10" s="84" t="s">
        <v>80</v>
      </c>
      <c r="BO10" s="84" t="s">
        <v>81</v>
      </c>
      <c r="BP10" s="84" t="s">
        <v>82</v>
      </c>
      <c r="BQ10" s="84" t="s">
        <v>83</v>
      </c>
      <c r="BR10" s="84" t="s">
        <v>84</v>
      </c>
      <c r="BS10" s="84" t="s">
        <v>85</v>
      </c>
      <c r="BT10" s="84" t="s">
        <v>86</v>
      </c>
      <c r="BU10" s="84" t="s">
        <v>87</v>
      </c>
      <c r="BV10" s="84" t="s">
        <v>88</v>
      </c>
      <c r="BW10" s="84" t="s">
        <v>89</v>
      </c>
      <c r="BX10" s="84" t="s">
        <v>90</v>
      </c>
      <c r="BY10" s="84" t="s">
        <v>91</v>
      </c>
      <c r="BZ10" s="84" t="s">
        <v>92</v>
      </c>
      <c r="CA10" s="84" t="s">
        <v>93</v>
      </c>
      <c r="CB10" s="84" t="s">
        <v>5675</v>
      </c>
      <c r="CC10" s="84" t="s">
        <v>94</v>
      </c>
      <c r="CD10" s="84" t="s">
        <v>12</v>
      </c>
      <c r="CE10" s="84" t="s">
        <v>95</v>
      </c>
      <c r="CF10" s="84" t="s">
        <v>96</v>
      </c>
      <c r="CG10" s="84" t="s">
        <v>97</v>
      </c>
      <c r="CH10" s="84" t="s">
        <v>98</v>
      </c>
      <c r="CI10" s="84" t="s">
        <v>99</v>
      </c>
      <c r="CJ10" s="84" t="s">
        <v>100</v>
      </c>
      <c r="CK10" s="84" t="s">
        <v>5678</v>
      </c>
      <c r="CL10" s="84" t="s">
        <v>101</v>
      </c>
      <c r="CM10" s="84" t="s">
        <v>5679</v>
      </c>
      <c r="CN10" s="84" t="s">
        <v>10</v>
      </c>
      <c r="CO10" s="84" t="s">
        <v>78</v>
      </c>
      <c r="CP10" s="84" t="s">
        <v>79</v>
      </c>
      <c r="CQ10" s="84" t="s">
        <v>80</v>
      </c>
      <c r="CR10" s="84" t="s">
        <v>81</v>
      </c>
      <c r="CS10" s="84" t="s">
        <v>82</v>
      </c>
      <c r="CT10" s="84" t="s">
        <v>83</v>
      </c>
      <c r="CU10" s="84" t="s">
        <v>84</v>
      </c>
      <c r="CV10" s="84" t="s">
        <v>85</v>
      </c>
      <c r="CW10" s="84" t="s">
        <v>86</v>
      </c>
      <c r="CX10" s="84" t="s">
        <v>87</v>
      </c>
      <c r="CY10" s="84" t="s">
        <v>88</v>
      </c>
      <c r="CZ10" s="84" t="s">
        <v>89</v>
      </c>
      <c r="DA10" s="84" t="s">
        <v>90</v>
      </c>
      <c r="DB10" s="84" t="s">
        <v>91</v>
      </c>
      <c r="DC10" s="84" t="s">
        <v>92</v>
      </c>
      <c r="DD10" s="84" t="s">
        <v>93</v>
      </c>
      <c r="DE10" s="84" t="s">
        <v>5675</v>
      </c>
      <c r="DF10" s="84" t="s">
        <v>94</v>
      </c>
      <c r="DG10" s="84" t="s">
        <v>12</v>
      </c>
      <c r="DH10" s="84" t="s">
        <v>95</v>
      </c>
      <c r="DI10" s="84" t="s">
        <v>96</v>
      </c>
      <c r="DJ10" s="84" t="s">
        <v>97</v>
      </c>
      <c r="DK10" s="84" t="s">
        <v>98</v>
      </c>
      <c r="DL10" s="84" t="s">
        <v>99</v>
      </c>
      <c r="DM10" s="84" t="s">
        <v>100</v>
      </c>
      <c r="DN10" s="84" t="s">
        <v>5678</v>
      </c>
      <c r="DO10" s="84" t="s">
        <v>101</v>
      </c>
      <c r="DP10" s="84" t="s">
        <v>5679</v>
      </c>
      <c r="DQ10" s="84"/>
      <c r="DR10" s="94"/>
      <c r="DS10" s="94"/>
      <c r="DT10" s="94"/>
      <c r="DU10" s="84"/>
      <c r="DV10" s="84"/>
      <c r="DW10" s="94"/>
      <c r="DX10" s="84"/>
      <c r="DY10" s="94"/>
      <c r="DZ10" s="95"/>
      <c r="EA10" s="84"/>
      <c r="EB10" s="84"/>
      <c r="EC10" s="84"/>
      <c r="ED10" s="84"/>
      <c r="EE10" s="84"/>
    </row>
    <row r="11" spans="1:135" s="206" customFormat="1" ht="28.5"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79"/>
      <c r="DR11" s="197"/>
      <c r="DS11" s="197"/>
      <c r="DT11" s="197"/>
      <c r="DU11" s="197"/>
      <c r="DV11" s="197"/>
      <c r="DW11" s="197"/>
      <c r="DX11" s="179"/>
      <c r="DY11" s="197"/>
      <c r="DZ11" s="179"/>
      <c r="EA11" s="197"/>
      <c r="EB11" s="197"/>
      <c r="EC11" s="197"/>
      <c r="ED11" s="197"/>
      <c r="EE11" s="197"/>
    </row>
    <row r="12" spans="1:135" ht="28.5" hidden="1" customHeight="1">
      <c r="A12" s="96"/>
      <c r="B12" s="79" t="s">
        <v>335</v>
      </c>
      <c r="C12" s="79" t="s">
        <v>336</v>
      </c>
      <c r="D12" s="79" t="s">
        <v>337</v>
      </c>
      <c r="E12" s="79" t="s">
        <v>338</v>
      </c>
      <c r="F12" s="79" t="s">
        <v>339</v>
      </c>
      <c r="G12" s="79" t="s">
        <v>340</v>
      </c>
      <c r="H12" s="79" t="s">
        <v>341</v>
      </c>
      <c r="I12" s="79" t="s">
        <v>342</v>
      </c>
      <c r="J12" s="79" t="s">
        <v>343</v>
      </c>
      <c r="K12" s="79" t="s">
        <v>344</v>
      </c>
      <c r="L12" s="79" t="s">
        <v>345</v>
      </c>
      <c r="M12" s="79" t="s">
        <v>346</v>
      </c>
      <c r="N12" s="79" t="s">
        <v>347</v>
      </c>
      <c r="O12" s="79" t="s">
        <v>348</v>
      </c>
      <c r="P12" s="79" t="s">
        <v>349</v>
      </c>
      <c r="Q12" s="79" t="s">
        <v>350</v>
      </c>
      <c r="R12" s="79" t="s">
        <v>351</v>
      </c>
      <c r="S12" s="79" t="s">
        <v>5689</v>
      </c>
      <c r="T12" s="79" t="s">
        <v>352</v>
      </c>
      <c r="U12" s="79" t="s">
        <v>353</v>
      </c>
      <c r="V12" s="79" t="s">
        <v>354</v>
      </c>
      <c r="W12" s="79" t="s">
        <v>355</v>
      </c>
      <c r="X12" s="79" t="s">
        <v>356</v>
      </c>
      <c r="Y12" s="79" t="s">
        <v>357</v>
      </c>
      <c r="Z12" s="79" t="s">
        <v>358</v>
      </c>
      <c r="AA12" s="79" t="s">
        <v>359</v>
      </c>
      <c r="AB12" s="79" t="s">
        <v>5691</v>
      </c>
      <c r="AC12" s="79" t="s">
        <v>360</v>
      </c>
      <c r="AD12" s="79" t="s">
        <v>5690</v>
      </c>
      <c r="AE12" s="79" t="s">
        <v>361</v>
      </c>
      <c r="AF12" s="79" t="s">
        <v>362</v>
      </c>
      <c r="AG12" s="79" t="s">
        <v>363</v>
      </c>
      <c r="AH12" s="79" t="s">
        <v>364</v>
      </c>
      <c r="AI12" s="79" t="s">
        <v>365</v>
      </c>
      <c r="AJ12" s="79" t="s">
        <v>366</v>
      </c>
      <c r="AK12" s="79" t="s">
        <v>367</v>
      </c>
      <c r="AL12" s="79" t="s">
        <v>368</v>
      </c>
      <c r="AM12" s="79" t="s">
        <v>369</v>
      </c>
      <c r="AN12" s="79" t="s">
        <v>370</v>
      </c>
      <c r="AO12" s="79" t="s">
        <v>371</v>
      </c>
      <c r="AP12" s="79" t="s">
        <v>372</v>
      </c>
      <c r="AQ12" s="79" t="s">
        <v>373</v>
      </c>
      <c r="AR12" s="79" t="s">
        <v>374</v>
      </c>
      <c r="AS12" s="79" t="s">
        <v>375</v>
      </c>
      <c r="AT12" s="79" t="s">
        <v>376</v>
      </c>
      <c r="AU12" s="79" t="s">
        <v>377</v>
      </c>
      <c r="AV12" s="79" t="s">
        <v>5692</v>
      </c>
      <c r="AW12" s="79" t="s">
        <v>5693</v>
      </c>
      <c r="AX12" s="79" t="s">
        <v>5694</v>
      </c>
      <c r="AY12" s="79" t="s">
        <v>5695</v>
      </c>
      <c r="AZ12" s="79" t="s">
        <v>5696</v>
      </c>
      <c r="BA12" s="79" t="s">
        <v>5697</v>
      </c>
      <c r="BB12" s="79" t="s">
        <v>5698</v>
      </c>
      <c r="BC12" s="79" t="s">
        <v>5699</v>
      </c>
      <c r="BD12" s="79" t="s">
        <v>5700</v>
      </c>
      <c r="BE12" s="79" t="s">
        <v>5701</v>
      </c>
      <c r="BF12" s="79" t="s">
        <v>5702</v>
      </c>
      <c r="BG12" s="79" t="s">
        <v>5703</v>
      </c>
      <c r="BH12" s="79" t="s">
        <v>378</v>
      </c>
      <c r="BI12" s="79" t="s">
        <v>379</v>
      </c>
      <c r="BJ12" s="97" t="s">
        <v>380</v>
      </c>
      <c r="BK12" s="79" t="s">
        <v>381</v>
      </c>
      <c r="BL12" s="79" t="s">
        <v>382</v>
      </c>
      <c r="BM12" s="79" t="s">
        <v>383</v>
      </c>
      <c r="BN12" s="79" t="s">
        <v>384</v>
      </c>
      <c r="BO12" s="79" t="s">
        <v>385</v>
      </c>
      <c r="BP12" s="79" t="s">
        <v>386</v>
      </c>
      <c r="BQ12" s="79" t="s">
        <v>387</v>
      </c>
      <c r="BR12" s="79" t="s">
        <v>388</v>
      </c>
      <c r="BS12" s="79" t="s">
        <v>389</v>
      </c>
      <c r="BT12" s="79" t="s">
        <v>390</v>
      </c>
      <c r="BU12" s="79" t="s">
        <v>391</v>
      </c>
      <c r="BV12" s="79" t="s">
        <v>392</v>
      </c>
      <c r="BW12" s="79" t="s">
        <v>393</v>
      </c>
      <c r="BX12" s="79" t="s">
        <v>394</v>
      </c>
      <c r="BY12" s="79" t="s">
        <v>395</v>
      </c>
      <c r="BZ12" s="79" t="s">
        <v>396</v>
      </c>
      <c r="CA12" s="79" t="s">
        <v>397</v>
      </c>
      <c r="CB12" s="79" t="s">
        <v>5704</v>
      </c>
      <c r="CC12" s="79" t="s">
        <v>5705</v>
      </c>
      <c r="CD12" s="79" t="s">
        <v>5706</v>
      </c>
      <c r="CE12" s="79" t="s">
        <v>5707</v>
      </c>
      <c r="CF12" s="79" t="s">
        <v>5708</v>
      </c>
      <c r="CG12" s="79" t="s">
        <v>5709</v>
      </c>
      <c r="CH12" s="79" t="s">
        <v>5710</v>
      </c>
      <c r="CI12" s="79" t="s">
        <v>5711</v>
      </c>
      <c r="CJ12" s="79" t="s">
        <v>5712</v>
      </c>
      <c r="CK12" s="79" t="s">
        <v>5713</v>
      </c>
      <c r="CL12" s="79" t="s">
        <v>5714</v>
      </c>
      <c r="CM12" s="79" t="s">
        <v>5715</v>
      </c>
      <c r="CN12" s="79" t="s">
        <v>398</v>
      </c>
      <c r="CO12" s="79" t="s">
        <v>399</v>
      </c>
      <c r="CP12" s="79" t="s">
        <v>400</v>
      </c>
      <c r="CQ12" s="79" t="s">
        <v>401</v>
      </c>
      <c r="CR12" s="79" t="s">
        <v>402</v>
      </c>
      <c r="CS12" s="79" t="s">
        <v>403</v>
      </c>
      <c r="CT12" s="79" t="s">
        <v>404</v>
      </c>
      <c r="CU12" s="79" t="s">
        <v>405</v>
      </c>
      <c r="CV12" s="79" t="s">
        <v>406</v>
      </c>
      <c r="CW12" s="79" t="s">
        <v>407</v>
      </c>
      <c r="CX12" s="79" t="s">
        <v>408</v>
      </c>
      <c r="CY12" s="79" t="s">
        <v>409</v>
      </c>
      <c r="CZ12" s="79" t="s">
        <v>410</v>
      </c>
      <c r="DA12" s="79" t="s">
        <v>411</v>
      </c>
      <c r="DB12" s="79" t="s">
        <v>412</v>
      </c>
      <c r="DC12" s="79" t="s">
        <v>413</v>
      </c>
      <c r="DD12" s="79" t="s">
        <v>414</v>
      </c>
      <c r="DE12" s="79" t="s">
        <v>5716</v>
      </c>
      <c r="DF12" s="79" t="s">
        <v>5717</v>
      </c>
      <c r="DG12" s="79" t="s">
        <v>5718</v>
      </c>
      <c r="DH12" s="79" t="s">
        <v>5719</v>
      </c>
      <c r="DI12" s="79" t="s">
        <v>5720</v>
      </c>
      <c r="DJ12" s="79" t="s">
        <v>5721</v>
      </c>
      <c r="DK12" s="79" t="s">
        <v>5722</v>
      </c>
      <c r="DL12" s="79" t="s">
        <v>5723</v>
      </c>
      <c r="DM12" s="79" t="s">
        <v>5724</v>
      </c>
      <c r="DN12" s="79" t="s">
        <v>5725</v>
      </c>
      <c r="DO12" s="79" t="s">
        <v>5726</v>
      </c>
      <c r="DP12" s="79" t="s">
        <v>5727</v>
      </c>
      <c r="DQ12" s="79" t="s">
        <v>415</v>
      </c>
      <c r="DR12" s="98" t="s">
        <v>416</v>
      </c>
      <c r="DS12" s="98" t="s">
        <v>6492</v>
      </c>
      <c r="DT12" s="98" t="s">
        <v>417</v>
      </c>
      <c r="DU12" s="79" t="s">
        <v>418</v>
      </c>
      <c r="DV12" s="79" t="s">
        <v>419</v>
      </c>
      <c r="DW12" s="79" t="s">
        <v>420</v>
      </c>
      <c r="DX12" s="79" t="s">
        <v>421</v>
      </c>
      <c r="DY12" s="79" t="s">
        <v>422</v>
      </c>
      <c r="DZ12" s="79" t="s">
        <v>423</v>
      </c>
      <c r="EA12" s="79" t="s">
        <v>424</v>
      </c>
      <c r="EB12" s="79" t="s">
        <v>425</v>
      </c>
      <c r="EC12" s="98" t="s">
        <v>426</v>
      </c>
      <c r="ED12" s="79" t="s">
        <v>427</v>
      </c>
      <c r="EE12" s="98" t="s">
        <v>428</v>
      </c>
    </row>
    <row r="13" spans="1:135" ht="28.5" customHeight="1">
      <c r="B13" s="216" t="s">
        <v>6714</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
        <v>6715</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216" t="s">
        <v>6716</v>
      </c>
      <c r="BI13" s="103" t="s">
        <v>6717</v>
      </c>
      <c r="BJ13" s="103" t="s">
        <v>6718</v>
      </c>
      <c r="BK13" s="87" t="s">
        <v>6719</v>
      </c>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87"/>
      <c r="DM13" s="87"/>
      <c r="DN13" s="87"/>
      <c r="DO13" s="87"/>
      <c r="DP13" s="87"/>
      <c r="DQ13" s="216" t="s">
        <v>1796</v>
      </c>
      <c r="DR13" s="79" t="str" cm="1">
        <f t="array" ref="DR13">MultiMatch(Organisations[[#This Row],[Organisation.hasLocation'#1.hasAddress'#1.countryCode.Reference.]],Vocabularies[name],0)</f>
        <v>135</v>
      </c>
      <c r="DU13" s="87"/>
      <c r="DV13" s="87"/>
      <c r="DW13" s="87"/>
      <c r="DX13" s="104" t="str">
        <f t="shared" ref="DX13" si="0">IF(ISBLANK(DX$11),"",DX$11)</f>
        <v/>
      </c>
      <c r="DY13" s="87"/>
      <c r="DZ13" s="90" t="str">
        <f t="shared" ref="DZ13" si="1">IF(ISBLANK(DZ$11),"",DZ$11)</f>
        <v/>
      </c>
      <c r="EA13" s="87"/>
      <c r="EB13" s="87"/>
      <c r="EC13" s="87" t="str" cm="1">
        <f t="array" ref="EC13">MultiMatch(Organisations[[#This Row],[Organisation.hasUnit.Reference.Organisation.]],OrganisationNames,0)</f>
        <v/>
      </c>
      <c r="ED13" s="87"/>
      <c r="EE13" s="79" t="str" cm="1">
        <f t="array" ref="EE13">MultiMatch(Organisations[[#This Row],[Organisation.unitOf.Reference.Organisation.]],OrganisationNames,0)</f>
        <v/>
      </c>
    </row>
  </sheetData>
  <sheetProtection formatColumns="0"/>
  <mergeCells count="2">
    <mergeCell ref="DT8:DU8"/>
    <mergeCell ref="DV8:DW8"/>
  </mergeCells>
  <phoneticPr fontId="12" type="noConversion"/>
  <dataValidations count="2">
    <dataValidation type="list" allowBlank="1" showInputMessage="1" showErrorMessage="1" sqref="DQ11 DQ13:DQ15" xr:uid="{00000000-0002-0000-0300-000000000000}">
      <formula1>CountryNames</formula1>
    </dataValidation>
    <dataValidation type="list" allowBlank="1" showInputMessage="1" showErrorMessage="1" sqref="EB13:EB15 ED13:ED15" xr:uid="{00000000-0002-0000-0300-000001000000}">
      <formula1>OrganisationNames</formula1>
    </dataValidation>
  </dataValidations>
  <hyperlinks>
    <hyperlink ref="BI13" r:id="rId1" xr:uid="{EB889640-6ECE-FD4B-9BC9-0D401199ABB1}"/>
    <hyperlink ref="BJ13" r:id="rId2" xr:uid="{B9DC3779-2EDB-B447-9C9B-3468C9097E56}"/>
  </hyperlinks>
  <pageMargins left="0.7" right="0.7" top="0.75" bottom="0.75" header="0.3" footer="0.3"/>
  <pageSetup paperSize="9" orientation="portrait" horizontalDpi="300" verticalDpi="300" r:id="rId3"/>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Y13"/>
  <sheetViews>
    <sheetView zoomScale="90" zoomScaleNormal="90" workbookViewId="0">
      <pane xSplit="30" ySplit="12" topLeftCell="EK13" activePane="bottomRight" state="frozen"/>
      <selection pane="topRight" activeCell="AB1" sqref="AB1"/>
      <selection pane="bottomLeft" activeCell="A13" sqref="A13"/>
      <selection pane="bottomRight" activeCell="EO13" sqref="EO13"/>
    </sheetView>
  </sheetViews>
  <sheetFormatPr defaultColWidth="9.140625" defaultRowHeight="29.1" customHeight="1"/>
  <cols>
    <col min="1" max="1" width="23.85546875" style="79" customWidth="1"/>
    <col min="2" max="2" width="28.85546875" style="79" customWidth="1"/>
    <col min="3" max="30" width="28.85546875" style="79" hidden="1" customWidth="1"/>
    <col min="31" max="31" width="25.85546875" style="79" customWidth="1"/>
    <col min="32" max="33" width="20.85546875" style="79" customWidth="1"/>
    <col min="34" max="34" width="25.42578125" style="79" customWidth="1"/>
    <col min="35" max="35" width="10.85546875" style="79" hidden="1" customWidth="1"/>
    <col min="36" max="36" width="38.85546875" style="79" customWidth="1"/>
    <col min="37" max="64" width="38.85546875" style="79" hidden="1" customWidth="1"/>
    <col min="65" max="65" width="25.85546875" style="79" customWidth="1"/>
    <col min="66" max="66" width="7.85546875" style="79" hidden="1" customWidth="1"/>
    <col min="67" max="67" width="25.85546875" style="79" customWidth="1"/>
    <col min="68" max="68" width="7.85546875" style="79" hidden="1" customWidth="1"/>
    <col min="69" max="69" width="25.85546875" style="79" customWidth="1"/>
    <col min="70" max="70" width="7.85546875" style="79" hidden="1" customWidth="1"/>
    <col min="71" max="71" width="25.85546875" style="79" customWidth="1"/>
    <col min="72" max="72" width="7.85546875" style="108" hidden="1" customWidth="1"/>
    <col min="73" max="73" width="15.140625" style="169" customWidth="1"/>
    <col min="74" max="74" width="18.85546875" style="247" customWidth="1"/>
    <col min="75" max="75" width="15.42578125" style="79" hidden="1" customWidth="1"/>
    <col min="76" max="76" width="30.42578125" style="79" customWidth="1"/>
    <col min="77" max="77" width="16.140625" style="79" hidden="1" customWidth="1"/>
    <col min="78" max="78" width="18.85546875" style="79" customWidth="1"/>
    <col min="79" max="79" width="18.85546875" style="79" hidden="1" customWidth="1"/>
    <col min="80" max="80" width="25.85546875" style="158" customWidth="1"/>
    <col min="81" max="108" width="25.85546875" style="108" hidden="1" customWidth="1"/>
    <col min="109" max="109" width="35.85546875" style="108" customWidth="1"/>
    <col min="110" max="137" width="35.85546875" style="108" hidden="1" customWidth="1"/>
    <col min="138" max="138" width="30.42578125" customWidth="1"/>
    <col min="139" max="139" width="22.85546875" style="79" customWidth="1"/>
    <col min="140" max="140" width="35.42578125" style="79" customWidth="1"/>
    <col min="141" max="141" width="31.85546875" style="108" customWidth="1"/>
    <col min="142" max="142" width="15.42578125" style="79" hidden="1" customWidth="1"/>
    <col min="143" max="143" width="30.42578125" style="79" customWidth="1"/>
    <col min="144" max="146" width="30.85546875" style="79" customWidth="1"/>
    <col min="147" max="147" width="35.42578125" style="79" customWidth="1"/>
    <col min="148" max="148" width="35.85546875" style="79" hidden="1" customWidth="1"/>
    <col min="149" max="149" width="25.42578125" style="79" customWidth="1"/>
    <col min="150" max="150" width="15.42578125" style="79" hidden="1" customWidth="1"/>
    <col min="151" max="151" width="25.42578125" style="79" customWidth="1"/>
    <col min="152" max="152" width="15.42578125" style="79" hidden="1" customWidth="1"/>
    <col min="153" max="153" width="25.42578125" style="79" customWidth="1"/>
    <col min="154" max="154" width="15.42578125" style="79" hidden="1" customWidth="1"/>
    <col min="155" max="155" width="25.42578125" style="79" customWidth="1"/>
    <col min="156" max="156" width="15.42578125" style="79" hidden="1" customWidth="1"/>
    <col min="157" max="157" width="30.42578125" style="79" customWidth="1"/>
    <col min="158" max="158" width="30.42578125" style="79" hidden="1" customWidth="1"/>
    <col min="159" max="185" width="30.85546875" style="79" hidden="1" customWidth="1"/>
    <col min="186" max="187" width="30.85546875" style="79" customWidth="1"/>
    <col min="188" max="188" width="35.85546875" style="79" customWidth="1"/>
    <col min="189" max="216" width="35.85546875" style="79" hidden="1" customWidth="1"/>
    <col min="217" max="218" width="35.85546875" style="79" customWidth="1"/>
    <col min="219" max="246" width="30.85546875" style="79" hidden="1" customWidth="1"/>
    <col min="247" max="247" width="8.42578125" style="114" customWidth="1"/>
    <col min="248" max="252" width="9.140625" style="114"/>
    <col min="253" max="254" width="13.85546875" style="114" customWidth="1"/>
    <col min="255" max="16384" width="9.140625" style="114"/>
  </cols>
  <sheetData>
    <row r="1" spans="1:337" s="131" customFormat="1" ht="23.25">
      <c r="A1" s="99" t="s">
        <v>5672</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47"/>
      <c r="BU1" s="166" t="s">
        <v>429</v>
      </c>
      <c r="BV1" s="148"/>
      <c r="BW1" s="148"/>
      <c r="BX1" s="148"/>
      <c r="BY1" s="148"/>
      <c r="BZ1" s="148"/>
      <c r="CA1" s="148"/>
      <c r="CB1" s="333" t="s">
        <v>430</v>
      </c>
      <c r="CC1" s="334"/>
      <c r="CD1" s="334"/>
      <c r="CE1" s="334"/>
      <c r="CF1" s="334"/>
      <c r="CG1" s="334"/>
      <c r="CH1" s="334"/>
      <c r="CI1" s="334"/>
      <c r="CJ1" s="334"/>
      <c r="CK1" s="334"/>
      <c r="CL1" s="334"/>
      <c r="CM1" s="334"/>
      <c r="CN1" s="334"/>
      <c r="CO1" s="334"/>
      <c r="CP1" s="334"/>
      <c r="CQ1" s="334"/>
      <c r="CR1" s="334"/>
      <c r="CS1" s="334"/>
      <c r="CT1" s="334"/>
      <c r="CU1" s="334"/>
      <c r="CV1" s="334"/>
      <c r="CW1" s="334"/>
      <c r="CX1" s="334"/>
      <c r="CY1" s="334"/>
      <c r="CZ1" s="334"/>
      <c r="DA1" s="334"/>
      <c r="DB1" s="334"/>
      <c r="DC1" s="334"/>
      <c r="DD1" s="334"/>
      <c r="DE1" s="334"/>
      <c r="DF1" s="334"/>
      <c r="DG1" s="334"/>
      <c r="DH1" s="334"/>
      <c r="DI1" s="334"/>
      <c r="DJ1" s="334"/>
      <c r="DK1" s="334"/>
      <c r="DL1" s="334"/>
      <c r="DM1" s="334"/>
      <c r="DN1" s="334"/>
      <c r="DO1" s="334"/>
      <c r="DP1" s="334"/>
      <c r="DQ1" s="334"/>
      <c r="DR1" s="334"/>
      <c r="DS1" s="334"/>
      <c r="DT1" s="334"/>
      <c r="DU1" s="334"/>
      <c r="DV1" s="334"/>
      <c r="DW1" s="334"/>
      <c r="DX1" s="334"/>
      <c r="DY1" s="334"/>
      <c r="DZ1" s="334"/>
      <c r="EA1" s="334"/>
      <c r="EB1" s="334"/>
      <c r="EC1" s="334"/>
      <c r="ED1" s="334"/>
      <c r="EE1" s="334"/>
      <c r="EF1" s="334"/>
      <c r="EG1" s="334"/>
      <c r="EH1" s="334"/>
      <c r="EI1" s="334"/>
      <c r="EJ1" s="334"/>
      <c r="EK1" s="334"/>
      <c r="EL1" s="334"/>
      <c r="EM1" s="334"/>
      <c r="EN1" s="334"/>
      <c r="EO1" s="334"/>
      <c r="EP1" s="334"/>
      <c r="EQ1" s="334"/>
      <c r="ER1" s="334"/>
      <c r="ES1" s="334"/>
      <c r="ET1" s="334"/>
      <c r="EU1" s="334"/>
      <c r="EV1" s="334"/>
      <c r="EW1" s="334"/>
      <c r="EX1" s="334"/>
      <c r="EY1" s="334"/>
      <c r="EZ1" s="334"/>
      <c r="FA1" s="334"/>
      <c r="FB1" s="334"/>
      <c r="FC1" s="334"/>
      <c r="FD1" s="334"/>
      <c r="FE1" s="334"/>
      <c r="FF1" s="334"/>
      <c r="FG1" s="334"/>
      <c r="FH1" s="334"/>
      <c r="FI1" s="334"/>
      <c r="FJ1" s="334"/>
      <c r="FK1" s="334"/>
      <c r="FL1" s="334"/>
      <c r="FM1" s="334"/>
      <c r="FN1" s="334"/>
      <c r="FO1" s="334"/>
      <c r="FP1" s="334"/>
      <c r="FQ1" s="334"/>
      <c r="FR1" s="334"/>
      <c r="FS1" s="334"/>
      <c r="FT1" s="334"/>
      <c r="FU1" s="334"/>
      <c r="FV1" s="334"/>
      <c r="FW1" s="334"/>
      <c r="FX1" s="334"/>
      <c r="FY1" s="334"/>
      <c r="FZ1" s="334"/>
      <c r="GA1" s="334"/>
      <c r="GB1" s="334"/>
      <c r="GC1" s="334"/>
      <c r="GD1" s="334"/>
      <c r="GE1" s="334"/>
      <c r="GF1" s="334"/>
      <c r="GG1" s="334"/>
      <c r="GH1" s="334"/>
      <c r="GI1" s="334"/>
      <c r="GJ1" s="334"/>
      <c r="GK1" s="334"/>
      <c r="GL1" s="334"/>
      <c r="GM1" s="334"/>
      <c r="GN1" s="334"/>
      <c r="GO1" s="334"/>
      <c r="GP1" s="334"/>
      <c r="GQ1" s="334"/>
      <c r="GR1" s="334"/>
      <c r="GS1" s="334"/>
      <c r="GT1" s="334"/>
      <c r="GU1" s="334"/>
      <c r="GV1" s="334"/>
      <c r="GW1" s="334"/>
      <c r="GX1" s="334"/>
      <c r="GY1" s="334"/>
      <c r="GZ1" s="334"/>
      <c r="HA1" s="334"/>
      <c r="HB1" s="334"/>
      <c r="HC1" s="334"/>
      <c r="HD1" s="334"/>
      <c r="HE1" s="334"/>
      <c r="HF1" s="334"/>
      <c r="HG1" s="334"/>
      <c r="HH1" s="334"/>
      <c r="HI1" s="334"/>
      <c r="HJ1" s="334"/>
      <c r="HK1" s="334"/>
      <c r="HL1" s="334"/>
      <c r="HM1" s="334"/>
      <c r="HN1" s="334"/>
      <c r="HO1" s="334"/>
      <c r="HP1" s="334"/>
      <c r="HQ1" s="334"/>
      <c r="HR1" s="334"/>
      <c r="HS1" s="334"/>
      <c r="HT1" s="334"/>
      <c r="HU1" s="334"/>
      <c r="HV1" s="334"/>
      <c r="HW1" s="334"/>
      <c r="HX1" s="334"/>
      <c r="HY1" s="334"/>
      <c r="HZ1" s="334"/>
      <c r="IA1" s="334"/>
      <c r="IB1" s="334"/>
      <c r="IC1" s="334"/>
      <c r="ID1" s="334"/>
      <c r="IE1" s="334"/>
      <c r="IF1" s="334"/>
      <c r="IG1" s="334"/>
      <c r="IH1" s="334"/>
      <c r="II1" s="334"/>
      <c r="IJ1" s="334"/>
      <c r="IK1" s="334"/>
      <c r="IL1" s="334"/>
    </row>
    <row r="2" spans="1:337" ht="30" hidden="1" customHeight="1">
      <c r="A2" s="80" t="s">
        <v>14</v>
      </c>
      <c r="B2" s="110" t="s">
        <v>193</v>
      </c>
      <c r="C2" s="110" t="s">
        <v>193</v>
      </c>
      <c r="D2" s="110" t="s">
        <v>193</v>
      </c>
      <c r="E2" s="110" t="s">
        <v>193</v>
      </c>
      <c r="F2" s="110" t="s">
        <v>193</v>
      </c>
      <c r="G2" s="110" t="s">
        <v>193</v>
      </c>
      <c r="H2" s="110" t="s">
        <v>193</v>
      </c>
      <c r="I2" s="110" t="s">
        <v>193</v>
      </c>
      <c r="J2" s="110" t="s">
        <v>193</v>
      </c>
      <c r="K2" s="110" t="s">
        <v>193</v>
      </c>
      <c r="L2" s="110" t="s">
        <v>193</v>
      </c>
      <c r="M2" s="110" t="s">
        <v>193</v>
      </c>
      <c r="N2" s="110" t="s">
        <v>193</v>
      </c>
      <c r="O2" s="110" t="s">
        <v>193</v>
      </c>
      <c r="P2" s="110" t="s">
        <v>193</v>
      </c>
      <c r="Q2" s="110" t="s">
        <v>193</v>
      </c>
      <c r="R2" s="110" t="s">
        <v>193</v>
      </c>
      <c r="S2" s="110" t="s">
        <v>193</v>
      </c>
      <c r="T2" s="110" t="s">
        <v>193</v>
      </c>
      <c r="U2" s="110" t="s">
        <v>193</v>
      </c>
      <c r="V2" s="110" t="s">
        <v>193</v>
      </c>
      <c r="W2" s="110" t="s">
        <v>193</v>
      </c>
      <c r="X2" s="110" t="s">
        <v>193</v>
      </c>
      <c r="Y2" s="110" t="s">
        <v>193</v>
      </c>
      <c r="Z2" s="110" t="s">
        <v>193</v>
      </c>
      <c r="AA2" s="110" t="s">
        <v>193</v>
      </c>
      <c r="AB2" s="110" t="s">
        <v>193</v>
      </c>
      <c r="AC2" s="110" t="s">
        <v>193</v>
      </c>
      <c r="AD2" s="110" t="s">
        <v>193</v>
      </c>
      <c r="AE2" s="80" t="s">
        <v>431</v>
      </c>
      <c r="AF2" s="80" t="s">
        <v>431</v>
      </c>
      <c r="AG2" s="110" t="s">
        <v>432</v>
      </c>
      <c r="AH2" s="110" t="s">
        <v>432</v>
      </c>
      <c r="AI2" s="110" t="s">
        <v>432</v>
      </c>
      <c r="AJ2" s="110" t="s">
        <v>193</v>
      </c>
      <c r="AK2" s="110" t="s">
        <v>193</v>
      </c>
      <c r="AL2" s="110" t="s">
        <v>193</v>
      </c>
      <c r="AM2" s="110" t="s">
        <v>193</v>
      </c>
      <c r="AN2" s="110" t="s">
        <v>193</v>
      </c>
      <c r="AO2" s="110" t="s">
        <v>193</v>
      </c>
      <c r="AP2" s="110" t="s">
        <v>193</v>
      </c>
      <c r="AQ2" s="110" t="s">
        <v>193</v>
      </c>
      <c r="AR2" s="110" t="s">
        <v>193</v>
      </c>
      <c r="AS2" s="110" t="s">
        <v>193</v>
      </c>
      <c r="AT2" s="110" t="s">
        <v>193</v>
      </c>
      <c r="AU2" s="110" t="s">
        <v>193</v>
      </c>
      <c r="AV2" s="110" t="s">
        <v>193</v>
      </c>
      <c r="AW2" s="110" t="s">
        <v>193</v>
      </c>
      <c r="AX2" s="110" t="s">
        <v>193</v>
      </c>
      <c r="AY2" s="110" t="s">
        <v>193</v>
      </c>
      <c r="AZ2" s="110" t="s">
        <v>193</v>
      </c>
      <c r="BA2" s="110" t="s">
        <v>193</v>
      </c>
      <c r="BB2" s="110" t="s">
        <v>193</v>
      </c>
      <c r="BC2" s="110" t="s">
        <v>193</v>
      </c>
      <c r="BD2" s="110" t="s">
        <v>193</v>
      </c>
      <c r="BE2" s="110" t="s">
        <v>193</v>
      </c>
      <c r="BF2" s="110" t="s">
        <v>193</v>
      </c>
      <c r="BG2" s="110" t="s">
        <v>193</v>
      </c>
      <c r="BH2" s="110" t="s">
        <v>193</v>
      </c>
      <c r="BI2" s="110" t="s">
        <v>193</v>
      </c>
      <c r="BJ2" s="110" t="s">
        <v>193</v>
      </c>
      <c r="BK2" s="110" t="s">
        <v>193</v>
      </c>
      <c r="BL2" s="110" t="s">
        <v>193</v>
      </c>
      <c r="BM2" s="110" t="s">
        <v>193</v>
      </c>
      <c r="BN2" s="110" t="s">
        <v>193</v>
      </c>
      <c r="BO2" s="110" t="s">
        <v>193</v>
      </c>
      <c r="BP2" s="110" t="s">
        <v>193</v>
      </c>
      <c r="BQ2" s="93" t="s">
        <v>193</v>
      </c>
      <c r="BR2" s="93" t="s">
        <v>193</v>
      </c>
      <c r="BS2" s="93" t="s">
        <v>193</v>
      </c>
      <c r="BT2" s="110" t="s">
        <v>193</v>
      </c>
      <c r="BU2" s="257" t="s">
        <v>433</v>
      </c>
      <c r="BV2" s="110" t="s">
        <v>433</v>
      </c>
      <c r="BW2" s="110" t="s">
        <v>433</v>
      </c>
      <c r="BX2" s="110" t="s">
        <v>433</v>
      </c>
      <c r="BY2" s="110" t="s">
        <v>433</v>
      </c>
      <c r="BZ2" s="110" t="s">
        <v>433</v>
      </c>
      <c r="CA2" s="110" t="s">
        <v>433</v>
      </c>
      <c r="CB2" s="149" t="s">
        <v>433</v>
      </c>
      <c r="CC2" s="111" t="s">
        <v>433</v>
      </c>
      <c r="CD2" s="111" t="s">
        <v>433</v>
      </c>
      <c r="CE2" s="111" t="s">
        <v>433</v>
      </c>
      <c r="CF2" s="111" t="s">
        <v>433</v>
      </c>
      <c r="CG2" s="111" t="s">
        <v>433</v>
      </c>
      <c r="CH2" s="111" t="s">
        <v>433</v>
      </c>
      <c r="CI2" s="111" t="s">
        <v>433</v>
      </c>
      <c r="CJ2" s="111" t="s">
        <v>433</v>
      </c>
      <c r="CK2" s="111" t="s">
        <v>433</v>
      </c>
      <c r="CL2" s="111" t="s">
        <v>433</v>
      </c>
      <c r="CM2" s="111" t="s">
        <v>433</v>
      </c>
      <c r="CN2" s="111" t="s">
        <v>433</v>
      </c>
      <c r="CO2" s="111" t="s">
        <v>433</v>
      </c>
      <c r="CP2" s="111" t="s">
        <v>433</v>
      </c>
      <c r="CQ2" s="111" t="s">
        <v>433</v>
      </c>
      <c r="CR2" s="111" t="s">
        <v>433</v>
      </c>
      <c r="CS2" s="111" t="s">
        <v>433</v>
      </c>
      <c r="CT2" s="111" t="s">
        <v>433</v>
      </c>
      <c r="CU2" s="111" t="s">
        <v>433</v>
      </c>
      <c r="CV2" s="111" t="s">
        <v>433</v>
      </c>
      <c r="CW2" s="111" t="s">
        <v>433</v>
      </c>
      <c r="CX2" s="111" t="s">
        <v>433</v>
      </c>
      <c r="CY2" s="111" t="s">
        <v>433</v>
      </c>
      <c r="CZ2" s="111" t="s">
        <v>433</v>
      </c>
      <c r="DA2" s="111" t="s">
        <v>433</v>
      </c>
      <c r="DB2" s="111" t="s">
        <v>433</v>
      </c>
      <c r="DC2" s="111" t="s">
        <v>433</v>
      </c>
      <c r="DD2" s="111" t="s">
        <v>433</v>
      </c>
      <c r="DE2" s="111" t="s">
        <v>433</v>
      </c>
      <c r="DF2" s="111" t="s">
        <v>433</v>
      </c>
      <c r="DG2" s="111" t="s">
        <v>433</v>
      </c>
      <c r="DH2" s="111" t="s">
        <v>433</v>
      </c>
      <c r="DI2" s="111" t="s">
        <v>433</v>
      </c>
      <c r="DJ2" s="111" t="s">
        <v>433</v>
      </c>
      <c r="DK2" s="111" t="s">
        <v>433</v>
      </c>
      <c r="DL2" s="111" t="s">
        <v>433</v>
      </c>
      <c r="DM2" s="111" t="s">
        <v>433</v>
      </c>
      <c r="DN2" s="111" t="s">
        <v>433</v>
      </c>
      <c r="DO2" s="111" t="s">
        <v>433</v>
      </c>
      <c r="DP2" s="111" t="s">
        <v>433</v>
      </c>
      <c r="DQ2" s="111" t="s">
        <v>433</v>
      </c>
      <c r="DR2" s="111" t="s">
        <v>433</v>
      </c>
      <c r="DS2" s="111" t="s">
        <v>433</v>
      </c>
      <c r="DT2" s="111" t="s">
        <v>433</v>
      </c>
      <c r="DU2" s="111" t="s">
        <v>433</v>
      </c>
      <c r="DV2" s="111" t="s">
        <v>433</v>
      </c>
      <c r="DW2" s="111" t="s">
        <v>433</v>
      </c>
      <c r="DX2" s="111" t="s">
        <v>433</v>
      </c>
      <c r="DY2" s="111" t="s">
        <v>433</v>
      </c>
      <c r="DZ2" s="111" t="s">
        <v>433</v>
      </c>
      <c r="EA2" s="111" t="s">
        <v>433</v>
      </c>
      <c r="EB2" s="111" t="s">
        <v>433</v>
      </c>
      <c r="EC2" s="111" t="s">
        <v>433</v>
      </c>
      <c r="ED2" s="111" t="s">
        <v>433</v>
      </c>
      <c r="EE2" s="111" t="s">
        <v>433</v>
      </c>
      <c r="EF2" s="111" t="s">
        <v>433</v>
      </c>
      <c r="EG2" s="111" t="s">
        <v>433</v>
      </c>
      <c r="EH2" s="80" t="s">
        <v>434</v>
      </c>
      <c r="EI2" s="80" t="s">
        <v>434</v>
      </c>
      <c r="EJ2" s="111" t="s">
        <v>435</v>
      </c>
      <c r="EK2" s="111" t="s">
        <v>433</v>
      </c>
      <c r="EL2" s="111" t="s">
        <v>433</v>
      </c>
      <c r="EM2" s="110" t="s">
        <v>433</v>
      </c>
      <c r="EN2" s="110" t="s">
        <v>433</v>
      </c>
      <c r="EO2" s="110" t="s">
        <v>436</v>
      </c>
      <c r="EP2" s="93" t="s">
        <v>6672</v>
      </c>
      <c r="EQ2" s="110" t="s">
        <v>433</v>
      </c>
      <c r="ER2" s="110" t="s">
        <v>433</v>
      </c>
      <c r="ES2" s="110" t="s">
        <v>433</v>
      </c>
      <c r="ET2" s="110" t="s">
        <v>433</v>
      </c>
      <c r="EU2" s="110" t="s">
        <v>433</v>
      </c>
      <c r="EV2" s="110" t="s">
        <v>433</v>
      </c>
      <c r="EW2" s="110" t="s">
        <v>433</v>
      </c>
      <c r="EX2" s="110" t="s">
        <v>433</v>
      </c>
      <c r="EY2" s="110" t="s">
        <v>433</v>
      </c>
      <c r="EZ2" s="110" t="s">
        <v>433</v>
      </c>
      <c r="FA2" s="110" t="s">
        <v>433</v>
      </c>
      <c r="FB2" s="110" t="s">
        <v>433</v>
      </c>
      <c r="FC2" s="110" t="s">
        <v>433</v>
      </c>
      <c r="FD2" s="110" t="s">
        <v>433</v>
      </c>
      <c r="FE2" s="110" t="s">
        <v>433</v>
      </c>
      <c r="FF2" s="110" t="s">
        <v>433</v>
      </c>
      <c r="FG2" s="110" t="s">
        <v>433</v>
      </c>
      <c r="FH2" s="110" t="s">
        <v>433</v>
      </c>
      <c r="FI2" s="110" t="s">
        <v>433</v>
      </c>
      <c r="FJ2" s="110" t="s">
        <v>433</v>
      </c>
      <c r="FK2" s="110" t="s">
        <v>433</v>
      </c>
      <c r="FL2" s="110" t="s">
        <v>433</v>
      </c>
      <c r="FM2" s="110" t="s">
        <v>433</v>
      </c>
      <c r="FN2" s="110" t="s">
        <v>433</v>
      </c>
      <c r="FO2" s="110" t="s">
        <v>433</v>
      </c>
      <c r="FP2" s="110" t="s">
        <v>433</v>
      </c>
      <c r="FQ2" s="110" t="s">
        <v>433</v>
      </c>
      <c r="FR2" s="110" t="s">
        <v>433</v>
      </c>
      <c r="FS2" s="110" t="s">
        <v>433</v>
      </c>
      <c r="FT2" s="110" t="s">
        <v>433</v>
      </c>
      <c r="FU2" s="110" t="s">
        <v>433</v>
      </c>
      <c r="FV2" s="110" t="s">
        <v>433</v>
      </c>
      <c r="FW2" s="110" t="s">
        <v>433</v>
      </c>
      <c r="FX2" s="110" t="s">
        <v>433</v>
      </c>
      <c r="FY2" s="110" t="s">
        <v>433</v>
      </c>
      <c r="FZ2" s="110" t="s">
        <v>433</v>
      </c>
      <c r="GA2" s="110" t="s">
        <v>433</v>
      </c>
      <c r="GB2" s="110" t="s">
        <v>433</v>
      </c>
      <c r="GC2" s="110" t="s">
        <v>433</v>
      </c>
      <c r="GD2" s="110" t="s">
        <v>437</v>
      </c>
      <c r="GE2" s="110" t="s">
        <v>433</v>
      </c>
      <c r="GF2" s="110" t="s">
        <v>433</v>
      </c>
      <c r="GG2" s="110" t="s">
        <v>433</v>
      </c>
      <c r="GH2" s="110" t="s">
        <v>433</v>
      </c>
      <c r="GI2" s="110" t="s">
        <v>433</v>
      </c>
      <c r="GJ2" s="110" t="s">
        <v>433</v>
      </c>
      <c r="GK2" s="110" t="s">
        <v>433</v>
      </c>
      <c r="GL2" s="110" t="s">
        <v>433</v>
      </c>
      <c r="GM2" s="110" t="s">
        <v>433</v>
      </c>
      <c r="GN2" s="110" t="s">
        <v>433</v>
      </c>
      <c r="GO2" s="110" t="s">
        <v>433</v>
      </c>
      <c r="GP2" s="110" t="s">
        <v>433</v>
      </c>
      <c r="GQ2" s="110" t="s">
        <v>433</v>
      </c>
      <c r="GR2" s="110" t="s">
        <v>433</v>
      </c>
      <c r="GS2" s="110" t="s">
        <v>433</v>
      </c>
      <c r="GT2" s="110" t="s">
        <v>433</v>
      </c>
      <c r="GU2" s="110" t="s">
        <v>433</v>
      </c>
      <c r="GV2" s="110" t="s">
        <v>433</v>
      </c>
      <c r="GW2" s="110" t="s">
        <v>433</v>
      </c>
      <c r="GX2" s="110" t="s">
        <v>433</v>
      </c>
      <c r="GY2" s="110" t="s">
        <v>433</v>
      </c>
      <c r="GZ2" s="110" t="s">
        <v>433</v>
      </c>
      <c r="HA2" s="110" t="s">
        <v>433</v>
      </c>
      <c r="HB2" s="110" t="s">
        <v>433</v>
      </c>
      <c r="HC2" s="110" t="s">
        <v>433</v>
      </c>
      <c r="HD2" s="110" t="s">
        <v>433</v>
      </c>
      <c r="HE2" s="110" t="s">
        <v>433</v>
      </c>
      <c r="HF2" s="110" t="s">
        <v>433</v>
      </c>
      <c r="HG2" s="110" t="s">
        <v>433</v>
      </c>
      <c r="HH2" s="110" t="s">
        <v>433</v>
      </c>
      <c r="HI2" s="110" t="s">
        <v>433</v>
      </c>
      <c r="HJ2" s="110" t="s">
        <v>433</v>
      </c>
      <c r="HK2" s="110" t="s">
        <v>433</v>
      </c>
      <c r="HL2" s="110" t="s">
        <v>433</v>
      </c>
      <c r="HM2" s="110" t="s">
        <v>433</v>
      </c>
      <c r="HN2" s="110" t="s">
        <v>433</v>
      </c>
      <c r="HO2" s="110" t="s">
        <v>433</v>
      </c>
      <c r="HP2" s="110" t="s">
        <v>433</v>
      </c>
      <c r="HQ2" s="110" t="s">
        <v>433</v>
      </c>
      <c r="HR2" s="110" t="s">
        <v>433</v>
      </c>
      <c r="HS2" s="110" t="s">
        <v>433</v>
      </c>
      <c r="HT2" s="110" t="s">
        <v>433</v>
      </c>
      <c r="HU2" s="110" t="s">
        <v>433</v>
      </c>
      <c r="HV2" s="110" t="s">
        <v>433</v>
      </c>
      <c r="HW2" s="110" t="s">
        <v>433</v>
      </c>
      <c r="HX2" s="110" t="s">
        <v>433</v>
      </c>
      <c r="HY2" s="110" t="s">
        <v>433</v>
      </c>
      <c r="HZ2" s="110" t="s">
        <v>433</v>
      </c>
      <c r="IA2" s="110" t="s">
        <v>433</v>
      </c>
      <c r="IB2" s="110" t="s">
        <v>433</v>
      </c>
      <c r="IC2" s="110" t="s">
        <v>433</v>
      </c>
      <c r="ID2" s="110" t="s">
        <v>433</v>
      </c>
      <c r="IE2" s="110" t="s">
        <v>433</v>
      </c>
      <c r="IF2" s="110" t="s">
        <v>433</v>
      </c>
      <c r="IG2" s="110" t="s">
        <v>433</v>
      </c>
      <c r="IH2" s="110" t="s">
        <v>433</v>
      </c>
      <c r="II2" s="110" t="s">
        <v>433</v>
      </c>
      <c r="IJ2" s="110" t="s">
        <v>433</v>
      </c>
      <c r="IK2" s="110" t="s">
        <v>433</v>
      </c>
      <c r="IL2" s="110" t="s">
        <v>433</v>
      </c>
    </row>
    <row r="3" spans="1:337" ht="30"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438</v>
      </c>
      <c r="AH3" s="93" t="s">
        <v>439</v>
      </c>
      <c r="AI3" s="93" t="s">
        <v>439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19</v>
      </c>
      <c r="BM3" s="80" t="s">
        <v>440</v>
      </c>
      <c r="BN3" s="80" t="s">
        <v>440</v>
      </c>
      <c r="BO3" s="80" t="s">
        <v>441</v>
      </c>
      <c r="BP3" s="80" t="s">
        <v>441</v>
      </c>
      <c r="BQ3" s="93" t="s">
        <v>442</v>
      </c>
      <c r="BR3" s="93" t="s">
        <v>442</v>
      </c>
      <c r="BS3" s="93" t="s">
        <v>443</v>
      </c>
      <c r="BT3" s="105" t="s">
        <v>443</v>
      </c>
      <c r="BU3" s="257" t="s">
        <v>444</v>
      </c>
      <c r="BV3" s="110" t="s">
        <v>445</v>
      </c>
      <c r="BW3" s="93" t="s">
        <v>445</v>
      </c>
      <c r="BX3" s="110" t="s">
        <v>446</v>
      </c>
      <c r="BY3" s="110" t="s">
        <v>446</v>
      </c>
      <c r="BZ3" s="93" t="s">
        <v>446</v>
      </c>
      <c r="CA3" s="93" t="s">
        <v>446</v>
      </c>
      <c r="CB3" s="149" t="s">
        <v>18</v>
      </c>
      <c r="CC3" s="150" t="s">
        <v>18</v>
      </c>
      <c r="CD3" s="150" t="s">
        <v>18</v>
      </c>
      <c r="CE3" s="150" t="s">
        <v>18</v>
      </c>
      <c r="CF3" s="150" t="s">
        <v>18</v>
      </c>
      <c r="CG3" s="150" t="s">
        <v>18</v>
      </c>
      <c r="CH3" s="150" t="s">
        <v>18</v>
      </c>
      <c r="CI3" s="150" t="s">
        <v>18</v>
      </c>
      <c r="CJ3" s="150" t="s">
        <v>18</v>
      </c>
      <c r="CK3" s="150" t="s">
        <v>18</v>
      </c>
      <c r="CL3" s="150" t="s">
        <v>18</v>
      </c>
      <c r="CM3" s="150" t="s">
        <v>18</v>
      </c>
      <c r="CN3" s="150" t="s">
        <v>18</v>
      </c>
      <c r="CO3" s="150" t="s">
        <v>18</v>
      </c>
      <c r="CP3" s="150" t="s">
        <v>18</v>
      </c>
      <c r="CQ3" s="150" t="s">
        <v>18</v>
      </c>
      <c r="CR3" s="150" t="s">
        <v>18</v>
      </c>
      <c r="CS3" s="150" t="s">
        <v>18</v>
      </c>
      <c r="CT3" s="150" t="s">
        <v>18</v>
      </c>
      <c r="CU3" s="150" t="s">
        <v>18</v>
      </c>
      <c r="CV3" s="150" t="s">
        <v>18</v>
      </c>
      <c r="CW3" s="150" t="s">
        <v>18</v>
      </c>
      <c r="CX3" s="150" t="s">
        <v>18</v>
      </c>
      <c r="CY3" s="150" t="s">
        <v>18</v>
      </c>
      <c r="CZ3" s="150" t="s">
        <v>18</v>
      </c>
      <c r="DA3" s="150" t="s">
        <v>18</v>
      </c>
      <c r="DB3" s="150" t="s">
        <v>18</v>
      </c>
      <c r="DC3" s="150" t="s">
        <v>18</v>
      </c>
      <c r="DD3" s="150" t="s">
        <v>18</v>
      </c>
      <c r="DE3" s="150" t="s">
        <v>447</v>
      </c>
      <c r="DF3" s="150" t="s">
        <v>19</v>
      </c>
      <c r="DG3" s="150" t="s">
        <v>19</v>
      </c>
      <c r="DH3" s="150" t="s">
        <v>19</v>
      </c>
      <c r="DI3" s="150" t="s">
        <v>19</v>
      </c>
      <c r="DJ3" s="150" t="s">
        <v>19</v>
      </c>
      <c r="DK3" s="150" t="s">
        <v>19</v>
      </c>
      <c r="DL3" s="150" t="s">
        <v>19</v>
      </c>
      <c r="DM3" s="150" t="s">
        <v>19</v>
      </c>
      <c r="DN3" s="150" t="s">
        <v>19</v>
      </c>
      <c r="DO3" s="150" t="s">
        <v>19</v>
      </c>
      <c r="DP3" s="150" t="s">
        <v>19</v>
      </c>
      <c r="DQ3" s="150" t="s">
        <v>19</v>
      </c>
      <c r="DR3" s="150" t="s">
        <v>19</v>
      </c>
      <c r="DS3" s="150" t="s">
        <v>19</v>
      </c>
      <c r="DT3" s="150" t="s">
        <v>19</v>
      </c>
      <c r="DU3" s="150" t="s">
        <v>19</v>
      </c>
      <c r="DV3" s="150" t="s">
        <v>19</v>
      </c>
      <c r="DW3" s="150" t="s">
        <v>19</v>
      </c>
      <c r="DX3" s="150" t="s">
        <v>19</v>
      </c>
      <c r="DY3" s="150" t="s">
        <v>19</v>
      </c>
      <c r="DZ3" s="150" t="s">
        <v>19</v>
      </c>
      <c r="EA3" s="150" t="s">
        <v>19</v>
      </c>
      <c r="EB3" s="150" t="s">
        <v>19</v>
      </c>
      <c r="EC3" s="150" t="s">
        <v>19</v>
      </c>
      <c r="ED3" s="150" t="s">
        <v>19</v>
      </c>
      <c r="EE3" s="150" t="s">
        <v>19</v>
      </c>
      <c r="EF3" s="150" t="s">
        <v>19</v>
      </c>
      <c r="EG3" s="150" t="s">
        <v>19</v>
      </c>
      <c r="EH3" s="80" t="s">
        <v>182</v>
      </c>
      <c r="EI3" s="80" t="s">
        <v>33</v>
      </c>
      <c r="EJ3" s="150" t="s">
        <v>184</v>
      </c>
      <c r="EK3" s="150" t="s">
        <v>448</v>
      </c>
      <c r="EL3" s="150" t="s">
        <v>448</v>
      </c>
      <c r="EM3" s="93" t="s">
        <v>449</v>
      </c>
      <c r="EN3" s="93" t="s">
        <v>450</v>
      </c>
      <c r="EO3" s="93" t="s">
        <v>33</v>
      </c>
      <c r="EP3" s="93" t="s">
        <v>33</v>
      </c>
      <c r="EQ3" s="93" t="s">
        <v>451</v>
      </c>
      <c r="ER3" s="80" t="s">
        <v>451</v>
      </c>
      <c r="ES3" s="93" t="s">
        <v>452</v>
      </c>
      <c r="ET3" s="93" t="s">
        <v>452</v>
      </c>
      <c r="EU3" s="93" t="s">
        <v>453</v>
      </c>
      <c r="EV3" s="93" t="s">
        <v>453</v>
      </c>
      <c r="EW3" s="93" t="s">
        <v>454</v>
      </c>
      <c r="EX3" s="93" t="s">
        <v>454</v>
      </c>
      <c r="EY3" s="93" t="s">
        <v>455</v>
      </c>
      <c r="EZ3" s="93" t="s">
        <v>455</v>
      </c>
      <c r="FA3" s="93" t="s">
        <v>456</v>
      </c>
      <c r="FB3" s="93" t="s">
        <v>456</v>
      </c>
      <c r="FC3" s="93" t="s">
        <v>456</v>
      </c>
      <c r="FD3" s="93" t="s">
        <v>456</v>
      </c>
      <c r="FE3" s="93" t="s">
        <v>456</v>
      </c>
      <c r="FF3" s="93" t="s">
        <v>456</v>
      </c>
      <c r="FG3" s="93" t="s">
        <v>456</v>
      </c>
      <c r="FH3" s="93" t="s">
        <v>456</v>
      </c>
      <c r="FI3" s="93" t="s">
        <v>456</v>
      </c>
      <c r="FJ3" s="93" t="s">
        <v>456</v>
      </c>
      <c r="FK3" s="93" t="s">
        <v>456</v>
      </c>
      <c r="FL3" s="93" t="s">
        <v>456</v>
      </c>
      <c r="FM3" s="93" t="s">
        <v>456</v>
      </c>
      <c r="FN3" s="93" t="s">
        <v>456</v>
      </c>
      <c r="FO3" s="93" t="s">
        <v>456</v>
      </c>
      <c r="FP3" s="93" t="s">
        <v>456</v>
      </c>
      <c r="FQ3" s="93" t="s">
        <v>456</v>
      </c>
      <c r="FR3" s="93" t="s">
        <v>456</v>
      </c>
      <c r="FS3" s="93" t="s">
        <v>456</v>
      </c>
      <c r="FT3" s="93" t="s">
        <v>456</v>
      </c>
      <c r="FU3" s="93" t="s">
        <v>456</v>
      </c>
      <c r="FV3" s="93" t="s">
        <v>456</v>
      </c>
      <c r="FW3" s="93" t="s">
        <v>456</v>
      </c>
      <c r="FX3" s="93" t="s">
        <v>456</v>
      </c>
      <c r="FY3" s="93" t="s">
        <v>456</v>
      </c>
      <c r="FZ3" s="93" t="s">
        <v>456</v>
      </c>
      <c r="GA3" s="93" t="s">
        <v>456</v>
      </c>
      <c r="GB3" s="93" t="s">
        <v>456</v>
      </c>
      <c r="GC3" s="93" t="s">
        <v>456</v>
      </c>
      <c r="GD3" s="93" t="s">
        <v>184</v>
      </c>
      <c r="GE3" s="93" t="s">
        <v>457</v>
      </c>
      <c r="GF3" s="93" t="s">
        <v>457</v>
      </c>
      <c r="GG3" s="93" t="s">
        <v>457</v>
      </c>
      <c r="GH3" s="93" t="s">
        <v>457</v>
      </c>
      <c r="GI3" s="93" t="s">
        <v>457</v>
      </c>
      <c r="GJ3" s="93" t="s">
        <v>457</v>
      </c>
      <c r="GK3" s="93" t="s">
        <v>457</v>
      </c>
      <c r="GL3" s="93" t="s">
        <v>457</v>
      </c>
      <c r="GM3" s="93" t="s">
        <v>457</v>
      </c>
      <c r="GN3" s="93" t="s">
        <v>457</v>
      </c>
      <c r="GO3" s="93" t="s">
        <v>457</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row>
    <row r="4" spans="1:337" s="111" customFormat="1" ht="30" hidden="1" customHeight="1">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80" t="s">
        <v>31</v>
      </c>
      <c r="AH4" s="93" t="s">
        <v>191</v>
      </c>
      <c r="AI4" s="93" t="s">
        <v>190</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93" t="s">
        <v>28</v>
      </c>
      <c r="BM4" s="80" t="s">
        <v>29</v>
      </c>
      <c r="BN4" s="80" t="s">
        <v>30</v>
      </c>
      <c r="BO4" s="80" t="s">
        <v>191</v>
      </c>
      <c r="BP4" s="80" t="s">
        <v>30</v>
      </c>
      <c r="BQ4" s="93" t="s">
        <v>191</v>
      </c>
      <c r="BR4" s="93" t="s">
        <v>30</v>
      </c>
      <c r="BS4" s="93" t="s">
        <v>191</v>
      </c>
      <c r="BT4" s="105" t="s">
        <v>30</v>
      </c>
      <c r="BU4" s="256" t="s">
        <v>31</v>
      </c>
      <c r="BV4" s="105" t="s">
        <v>29</v>
      </c>
      <c r="BW4" s="80" t="s">
        <v>190</v>
      </c>
      <c r="BX4" s="110" t="s">
        <v>458</v>
      </c>
      <c r="BY4" s="110" t="s">
        <v>458</v>
      </c>
      <c r="BZ4" s="80" t="s">
        <v>29</v>
      </c>
      <c r="CA4" s="80" t="s">
        <v>190</v>
      </c>
      <c r="CB4" s="151" t="s">
        <v>31</v>
      </c>
      <c r="CC4" s="152" t="s">
        <v>31</v>
      </c>
      <c r="CD4" s="152" t="s">
        <v>31</v>
      </c>
      <c r="CE4" s="152" t="s">
        <v>31</v>
      </c>
      <c r="CF4" s="152" t="s">
        <v>31</v>
      </c>
      <c r="CG4" s="152" t="s">
        <v>31</v>
      </c>
      <c r="CH4" s="152" t="s">
        <v>31</v>
      </c>
      <c r="CI4" s="152" t="s">
        <v>31</v>
      </c>
      <c r="CJ4" s="152" t="s">
        <v>31</v>
      </c>
      <c r="CK4" s="152" t="s">
        <v>31</v>
      </c>
      <c r="CL4" s="152" t="s">
        <v>31</v>
      </c>
      <c r="CM4" s="152" t="s">
        <v>31</v>
      </c>
      <c r="CN4" s="152" t="s">
        <v>31</v>
      </c>
      <c r="CO4" s="152" t="s">
        <v>31</v>
      </c>
      <c r="CP4" s="152" t="s">
        <v>31</v>
      </c>
      <c r="CQ4" s="152" t="s">
        <v>31</v>
      </c>
      <c r="CR4" s="152" t="s">
        <v>31</v>
      </c>
      <c r="CS4" s="152" t="s">
        <v>31</v>
      </c>
      <c r="CT4" s="152" t="s">
        <v>31</v>
      </c>
      <c r="CU4" s="152" t="s">
        <v>31</v>
      </c>
      <c r="CV4" s="152" t="s">
        <v>31</v>
      </c>
      <c r="CW4" s="152" t="s">
        <v>31</v>
      </c>
      <c r="CX4" s="152" t="s">
        <v>31</v>
      </c>
      <c r="CY4" s="152" t="s">
        <v>31</v>
      </c>
      <c r="CZ4" s="152" t="s">
        <v>31</v>
      </c>
      <c r="DA4" s="152" t="s">
        <v>31</v>
      </c>
      <c r="DB4" s="152" t="s">
        <v>31</v>
      </c>
      <c r="DC4" s="152" t="s">
        <v>31</v>
      </c>
      <c r="DD4" s="152" t="s">
        <v>31</v>
      </c>
      <c r="DE4" s="152" t="s">
        <v>31</v>
      </c>
      <c r="DF4" s="152" t="s">
        <v>31</v>
      </c>
      <c r="DG4" s="152" t="s">
        <v>31</v>
      </c>
      <c r="DH4" s="152" t="s">
        <v>31</v>
      </c>
      <c r="DI4" s="152" t="s">
        <v>31</v>
      </c>
      <c r="DJ4" s="152" t="s">
        <v>31</v>
      </c>
      <c r="DK4" s="152" t="s">
        <v>31</v>
      </c>
      <c r="DL4" s="152" t="s">
        <v>31</v>
      </c>
      <c r="DM4" s="152" t="s">
        <v>31</v>
      </c>
      <c r="DN4" s="152" t="s">
        <v>31</v>
      </c>
      <c r="DO4" s="152" t="s">
        <v>31</v>
      </c>
      <c r="DP4" s="152" t="s">
        <v>31</v>
      </c>
      <c r="DQ4" s="152" t="s">
        <v>31</v>
      </c>
      <c r="DR4" s="152" t="s">
        <v>31</v>
      </c>
      <c r="DS4" s="152" t="s">
        <v>31</v>
      </c>
      <c r="DT4" s="152" t="s">
        <v>31</v>
      </c>
      <c r="DU4" s="152" t="s">
        <v>31</v>
      </c>
      <c r="DV4" s="152" t="s">
        <v>31</v>
      </c>
      <c r="DW4" s="152" t="s">
        <v>31</v>
      </c>
      <c r="DX4" s="152" t="s">
        <v>31</v>
      </c>
      <c r="DY4" s="152" t="s">
        <v>31</v>
      </c>
      <c r="DZ4" s="152" t="s">
        <v>31</v>
      </c>
      <c r="EA4" s="152" t="s">
        <v>31</v>
      </c>
      <c r="EB4" s="152" t="s">
        <v>31</v>
      </c>
      <c r="EC4" s="152" t="s">
        <v>31</v>
      </c>
      <c r="ED4" s="152" t="s">
        <v>31</v>
      </c>
      <c r="EE4" s="152" t="s">
        <v>31</v>
      </c>
      <c r="EF4" s="152" t="s">
        <v>31</v>
      </c>
      <c r="EG4" s="152" t="s">
        <v>31</v>
      </c>
      <c r="EH4" s="80" t="s">
        <v>31</v>
      </c>
      <c r="EI4" s="80" t="s">
        <v>31</v>
      </c>
      <c r="EJ4" s="152" t="s">
        <v>31</v>
      </c>
      <c r="EK4" s="152" t="s">
        <v>191</v>
      </c>
      <c r="EL4" s="152" t="s">
        <v>190</v>
      </c>
      <c r="EM4" s="80" t="s">
        <v>31</v>
      </c>
      <c r="EN4" s="80" t="s">
        <v>31</v>
      </c>
      <c r="EO4" s="80" t="s">
        <v>31</v>
      </c>
      <c r="EP4" s="93" t="s">
        <v>31</v>
      </c>
      <c r="EQ4" s="80" t="s">
        <v>191</v>
      </c>
      <c r="ER4" s="80" t="s">
        <v>190</v>
      </c>
      <c r="ES4" s="80" t="s">
        <v>191</v>
      </c>
      <c r="ET4" s="80" t="s">
        <v>190</v>
      </c>
      <c r="EU4" s="80" t="s">
        <v>191</v>
      </c>
      <c r="EV4" s="80" t="s">
        <v>190</v>
      </c>
      <c r="EW4" s="80" t="s">
        <v>29</v>
      </c>
      <c r="EX4" s="80" t="s">
        <v>190</v>
      </c>
      <c r="EY4" s="80" t="s">
        <v>191</v>
      </c>
      <c r="EZ4" s="80" t="s">
        <v>190</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row>
    <row r="5" spans="1:337" ht="30" hidden="1" customHeight="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H5" s="79" t="s">
        <v>36</v>
      </c>
      <c r="AI5" s="146" t="s">
        <v>36</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33</v>
      </c>
      <c r="BM5" s="79" t="s">
        <v>459</v>
      </c>
      <c r="BN5" s="79" t="s">
        <v>459</v>
      </c>
      <c r="BO5" s="79" t="s">
        <v>194</v>
      </c>
      <c r="BP5" s="79" t="s">
        <v>194</v>
      </c>
      <c r="BQ5" s="79" t="s">
        <v>195</v>
      </c>
      <c r="BR5" s="79" t="s">
        <v>195</v>
      </c>
      <c r="BS5" s="79" t="s">
        <v>193</v>
      </c>
      <c r="BT5" s="108" t="s">
        <v>193</v>
      </c>
      <c r="BU5" s="255"/>
      <c r="BV5" s="108"/>
      <c r="BW5" s="79" t="s">
        <v>34</v>
      </c>
      <c r="BX5" s="110"/>
      <c r="BY5" s="110" t="s">
        <v>34</v>
      </c>
      <c r="CA5" s="79" t="s">
        <v>34</v>
      </c>
      <c r="CB5" s="153" t="s">
        <v>33</v>
      </c>
      <c r="CC5" s="114" t="s">
        <v>33</v>
      </c>
      <c r="CD5" s="114" t="s">
        <v>33</v>
      </c>
      <c r="CE5" s="114" t="s">
        <v>33</v>
      </c>
      <c r="CF5" s="114" t="s">
        <v>33</v>
      </c>
      <c r="CG5" s="114" t="s">
        <v>33</v>
      </c>
      <c r="CH5" s="114" t="s">
        <v>33</v>
      </c>
      <c r="CI5" s="114" t="s">
        <v>33</v>
      </c>
      <c r="CJ5" s="114" t="s">
        <v>33</v>
      </c>
      <c r="CK5" s="114" t="s">
        <v>33</v>
      </c>
      <c r="CL5" s="114" t="s">
        <v>33</v>
      </c>
      <c r="CM5" s="114" t="s">
        <v>33</v>
      </c>
      <c r="CN5" s="114" t="s">
        <v>33</v>
      </c>
      <c r="CO5" s="114" t="s">
        <v>33</v>
      </c>
      <c r="CP5" s="114" t="s">
        <v>33</v>
      </c>
      <c r="CQ5" s="114" t="s">
        <v>33</v>
      </c>
      <c r="CR5" s="114" t="s">
        <v>33</v>
      </c>
      <c r="CS5" s="114" t="s">
        <v>33</v>
      </c>
      <c r="CT5" s="114" t="s">
        <v>33</v>
      </c>
      <c r="CU5" s="114" t="s">
        <v>33</v>
      </c>
      <c r="CV5" s="114" t="s">
        <v>33</v>
      </c>
      <c r="CW5" s="114" t="s">
        <v>33</v>
      </c>
      <c r="CX5" s="114" t="s">
        <v>33</v>
      </c>
      <c r="CY5" s="114" t="s">
        <v>33</v>
      </c>
      <c r="CZ5" s="114" t="s">
        <v>33</v>
      </c>
      <c r="DA5" s="114" t="s">
        <v>33</v>
      </c>
      <c r="DB5" s="114" t="s">
        <v>33</v>
      </c>
      <c r="DC5" s="114" t="s">
        <v>33</v>
      </c>
      <c r="DD5" s="114" t="s">
        <v>33</v>
      </c>
      <c r="DE5" s="150" t="s">
        <v>33</v>
      </c>
      <c r="DF5" s="150" t="s">
        <v>33</v>
      </c>
      <c r="DG5" s="150" t="s">
        <v>33</v>
      </c>
      <c r="DH5" s="150" t="s">
        <v>33</v>
      </c>
      <c r="DI5" s="150" t="s">
        <v>33</v>
      </c>
      <c r="DJ5" s="150" t="s">
        <v>33</v>
      </c>
      <c r="DK5" s="150" t="s">
        <v>33</v>
      </c>
      <c r="DL5" s="150" t="s">
        <v>33</v>
      </c>
      <c r="DM5" s="150" t="s">
        <v>33</v>
      </c>
      <c r="DN5" s="150" t="s">
        <v>33</v>
      </c>
      <c r="DO5" s="150" t="s">
        <v>33</v>
      </c>
      <c r="DP5" s="150" t="s">
        <v>33</v>
      </c>
      <c r="DQ5" s="150" t="s">
        <v>33</v>
      </c>
      <c r="DR5" s="150" t="s">
        <v>33</v>
      </c>
      <c r="DS5" s="150" t="s">
        <v>33</v>
      </c>
      <c r="DT5" s="150" t="s">
        <v>33</v>
      </c>
      <c r="DU5" s="150" t="s">
        <v>33</v>
      </c>
      <c r="DV5" s="150" t="s">
        <v>33</v>
      </c>
      <c r="DW5" s="150" t="s">
        <v>33</v>
      </c>
      <c r="DX5" s="150" t="s">
        <v>33</v>
      </c>
      <c r="DY5" s="150" t="s">
        <v>33</v>
      </c>
      <c r="DZ5" s="150" t="s">
        <v>33</v>
      </c>
      <c r="EA5" s="150" t="s">
        <v>33</v>
      </c>
      <c r="EB5" s="150" t="s">
        <v>33</v>
      </c>
      <c r="EC5" s="150" t="s">
        <v>33</v>
      </c>
      <c r="ED5" s="150" t="s">
        <v>33</v>
      </c>
      <c r="EE5" s="150" t="s">
        <v>33</v>
      </c>
      <c r="EF5" s="150" t="s">
        <v>33</v>
      </c>
      <c r="EG5" s="150" t="s">
        <v>33</v>
      </c>
      <c r="EH5" s="79"/>
      <c r="EJ5" s="114"/>
      <c r="EK5" s="114" t="s">
        <v>460</v>
      </c>
      <c r="EL5" s="114" t="s">
        <v>460</v>
      </c>
      <c r="ER5" s="93" t="s">
        <v>34</v>
      </c>
      <c r="ET5" s="93" t="s">
        <v>34</v>
      </c>
      <c r="EV5" s="93" t="s">
        <v>34</v>
      </c>
      <c r="EX5" s="93" t="s">
        <v>34</v>
      </c>
      <c r="EZ5" s="93" t="s">
        <v>34</v>
      </c>
      <c r="GE5" s="79" t="s">
        <v>461</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461</v>
      </c>
      <c r="HJ5" s="79" t="s">
        <v>33</v>
      </c>
      <c r="HK5" s="79" t="s">
        <v>33</v>
      </c>
      <c r="HL5" s="79" t="s">
        <v>33</v>
      </c>
      <c r="HM5" s="79" t="s">
        <v>33</v>
      </c>
      <c r="HN5" s="79" t="s">
        <v>33</v>
      </c>
      <c r="HO5" s="79" t="s">
        <v>33</v>
      </c>
      <c r="HP5" s="79" t="s">
        <v>33</v>
      </c>
      <c r="HQ5" s="79" t="s">
        <v>33</v>
      </c>
      <c r="HR5" s="79" t="s">
        <v>33</v>
      </c>
      <c r="HS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row>
    <row r="6" spans="1:337" ht="15" hidden="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110"/>
      <c r="BU6" s="255"/>
      <c r="BV6" s="110"/>
      <c r="BW6" s="93"/>
      <c r="BX6" s="93"/>
      <c r="BY6" s="93"/>
      <c r="BZ6" s="93"/>
      <c r="CA6" s="93"/>
      <c r="CB6" s="149"/>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DA6" s="150"/>
      <c r="DB6" s="150"/>
      <c r="DC6" s="150"/>
      <c r="DD6" s="150"/>
      <c r="DE6" s="150"/>
      <c r="DF6" s="150"/>
      <c r="DG6" s="150"/>
      <c r="DH6" s="150"/>
      <c r="DI6" s="150"/>
      <c r="DJ6" s="150"/>
      <c r="DK6" s="150"/>
      <c r="DL6" s="150"/>
      <c r="DM6" s="150"/>
      <c r="DN6" s="150"/>
      <c r="DO6" s="150"/>
      <c r="DP6" s="150"/>
      <c r="DQ6" s="150"/>
      <c r="DR6" s="150"/>
      <c r="DS6" s="150"/>
      <c r="DT6" s="150"/>
      <c r="DU6" s="150"/>
      <c r="DV6" s="150"/>
      <c r="DW6" s="150"/>
      <c r="DX6" s="150"/>
      <c r="DY6" s="150"/>
      <c r="DZ6" s="150"/>
      <c r="EA6" s="150"/>
      <c r="EB6" s="150"/>
      <c r="EC6" s="150"/>
      <c r="ED6" s="150"/>
      <c r="EE6" s="150"/>
      <c r="EF6" s="150"/>
      <c r="EG6" s="150"/>
      <c r="EH6" s="79"/>
      <c r="EJ6" s="150"/>
      <c r="EK6" s="150"/>
      <c r="EL6" s="150"/>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c r="GB6" s="93"/>
      <c r="GC6" s="93"/>
      <c r="GD6" s="93"/>
      <c r="GE6" s="93">
        <v>1</v>
      </c>
      <c r="GF6" s="93">
        <v>1</v>
      </c>
      <c r="GG6" s="93">
        <v>1</v>
      </c>
      <c r="GH6" s="93">
        <v>1</v>
      </c>
      <c r="GI6" s="93">
        <v>1</v>
      </c>
      <c r="GJ6" s="93">
        <v>1</v>
      </c>
      <c r="GK6" s="93">
        <v>1</v>
      </c>
      <c r="GL6" s="93">
        <v>1</v>
      </c>
      <c r="GM6" s="93">
        <v>1</v>
      </c>
      <c r="GN6" s="93">
        <v>1</v>
      </c>
      <c r="GO6" s="93">
        <v>1</v>
      </c>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2</v>
      </c>
      <c r="HJ6" s="93">
        <v>2</v>
      </c>
      <c r="HK6" s="93">
        <v>2</v>
      </c>
      <c r="HL6" s="93">
        <v>2</v>
      </c>
      <c r="HM6" s="93">
        <v>2</v>
      </c>
      <c r="HN6" s="93">
        <v>2</v>
      </c>
      <c r="HO6" s="93">
        <v>2</v>
      </c>
      <c r="HP6" s="93">
        <v>2</v>
      </c>
      <c r="HQ6" s="93">
        <v>2</v>
      </c>
      <c r="HR6" s="93">
        <v>2</v>
      </c>
      <c r="HS6" s="93">
        <v>2</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row>
    <row r="7" spans="1:337" ht="15" hidden="1">
      <c r="A7" s="266" t="s">
        <v>40</v>
      </c>
      <c r="B7" s="107" t="s">
        <v>9</v>
      </c>
      <c r="C7" s="260" t="s">
        <v>41</v>
      </c>
      <c r="D7" s="260" t="s">
        <v>42</v>
      </c>
      <c r="E7" s="260" t="s">
        <v>43</v>
      </c>
      <c r="F7" s="260" t="s">
        <v>44</v>
      </c>
      <c r="G7" s="260" t="s">
        <v>45</v>
      </c>
      <c r="H7" s="260" t="s">
        <v>46</v>
      </c>
      <c r="I7" s="260" t="s">
        <v>47</v>
      </c>
      <c r="J7" s="260" t="s">
        <v>48</v>
      </c>
      <c r="K7" s="260" t="s">
        <v>49</v>
      </c>
      <c r="L7" s="260" t="s">
        <v>50</v>
      </c>
      <c r="M7" s="260" t="s">
        <v>51</v>
      </c>
      <c r="N7" s="260" t="s">
        <v>52</v>
      </c>
      <c r="O7" s="260" t="s">
        <v>53</v>
      </c>
      <c r="P7" s="260" t="s">
        <v>54</v>
      </c>
      <c r="Q7" s="260" t="s">
        <v>55</v>
      </c>
      <c r="R7" s="260" t="s">
        <v>56</v>
      </c>
      <c r="S7" s="260" t="s">
        <v>5676</v>
      </c>
      <c r="T7" s="260" t="s">
        <v>57</v>
      </c>
      <c r="U7" s="260" t="s">
        <v>58</v>
      </c>
      <c r="V7" s="260" t="s">
        <v>59</v>
      </c>
      <c r="W7" s="260" t="s">
        <v>60</v>
      </c>
      <c r="X7" s="260" t="s">
        <v>61</v>
      </c>
      <c r="Y7" s="260" t="s">
        <v>62</v>
      </c>
      <c r="Z7" s="260" t="s">
        <v>63</v>
      </c>
      <c r="AA7" s="260" t="s">
        <v>64</v>
      </c>
      <c r="AB7" s="260" t="s">
        <v>5677</v>
      </c>
      <c r="AC7" s="260" t="s">
        <v>65</v>
      </c>
      <c r="AD7" s="260" t="s">
        <v>5674</v>
      </c>
      <c r="AE7" s="107"/>
      <c r="AF7" s="107"/>
      <c r="AG7" s="107"/>
      <c r="AH7" s="107"/>
      <c r="AI7" s="107"/>
      <c r="AJ7" s="107" t="s">
        <v>9</v>
      </c>
      <c r="AK7" s="260" t="s">
        <v>41</v>
      </c>
      <c r="AL7" s="260" t="s">
        <v>42</v>
      </c>
      <c r="AM7" s="260" t="s">
        <v>43</v>
      </c>
      <c r="AN7" s="260" t="s">
        <v>44</v>
      </c>
      <c r="AO7" s="260" t="s">
        <v>45</v>
      </c>
      <c r="AP7" s="260" t="s">
        <v>46</v>
      </c>
      <c r="AQ7" s="260" t="s">
        <v>47</v>
      </c>
      <c r="AR7" s="260" t="s">
        <v>48</v>
      </c>
      <c r="AS7" s="260" t="s">
        <v>49</v>
      </c>
      <c r="AT7" s="260" t="s">
        <v>50</v>
      </c>
      <c r="AU7" s="260" t="s">
        <v>51</v>
      </c>
      <c r="AV7" s="260" t="s">
        <v>52</v>
      </c>
      <c r="AW7" s="260" t="s">
        <v>53</v>
      </c>
      <c r="AX7" s="260" t="s">
        <v>54</v>
      </c>
      <c r="AY7" s="260" t="s">
        <v>55</v>
      </c>
      <c r="AZ7" s="260" t="s">
        <v>56</v>
      </c>
      <c r="BA7" s="260" t="s">
        <v>5676</v>
      </c>
      <c r="BB7" s="260" t="s">
        <v>57</v>
      </c>
      <c r="BC7" s="260" t="s">
        <v>58</v>
      </c>
      <c r="BD7" s="260" t="s">
        <v>59</v>
      </c>
      <c r="BE7" s="260" t="s">
        <v>60</v>
      </c>
      <c r="BF7" s="260" t="s">
        <v>61</v>
      </c>
      <c r="BG7" s="260" t="s">
        <v>62</v>
      </c>
      <c r="BH7" s="260" t="s">
        <v>63</v>
      </c>
      <c r="BI7" s="260" t="s">
        <v>64</v>
      </c>
      <c r="BJ7" s="260" t="s">
        <v>5677</v>
      </c>
      <c r="BK7" s="260" t="s">
        <v>65</v>
      </c>
      <c r="BL7" s="260" t="s">
        <v>5674</v>
      </c>
      <c r="BM7" s="107"/>
      <c r="BN7" s="107"/>
      <c r="BO7" s="107"/>
      <c r="BP7" s="107"/>
      <c r="BQ7" s="107"/>
      <c r="BR7" s="107"/>
      <c r="BS7" s="107"/>
      <c r="BT7" s="107"/>
      <c r="BU7" s="259"/>
      <c r="BV7" s="107"/>
      <c r="BW7" s="107"/>
      <c r="BX7" s="107"/>
      <c r="BY7" s="107"/>
      <c r="BZ7" s="107"/>
      <c r="CB7" s="259" t="s">
        <v>9</v>
      </c>
      <c r="CC7" s="260" t="s">
        <v>41</v>
      </c>
      <c r="CD7" s="260" t="s">
        <v>42</v>
      </c>
      <c r="CE7" s="260" t="s">
        <v>43</v>
      </c>
      <c r="CF7" s="260" t="s">
        <v>44</v>
      </c>
      <c r="CG7" s="260" t="s">
        <v>45</v>
      </c>
      <c r="CH7" s="260" t="s">
        <v>46</v>
      </c>
      <c r="CI7" s="260" t="s">
        <v>47</v>
      </c>
      <c r="CJ7" s="260" t="s">
        <v>48</v>
      </c>
      <c r="CK7" s="260" t="s">
        <v>49</v>
      </c>
      <c r="CL7" s="260" t="s">
        <v>50</v>
      </c>
      <c r="CM7" s="260" t="s">
        <v>51</v>
      </c>
      <c r="CN7" s="260" t="s">
        <v>52</v>
      </c>
      <c r="CO7" s="260" t="s">
        <v>53</v>
      </c>
      <c r="CP7" s="260" t="s">
        <v>54</v>
      </c>
      <c r="CQ7" s="260" t="s">
        <v>55</v>
      </c>
      <c r="CR7" s="260" t="s">
        <v>56</v>
      </c>
      <c r="CS7" s="260" t="s">
        <v>5676</v>
      </c>
      <c r="CT7" s="260" t="s">
        <v>57</v>
      </c>
      <c r="CU7" s="260" t="s">
        <v>58</v>
      </c>
      <c r="CV7" s="260" t="s">
        <v>59</v>
      </c>
      <c r="CW7" s="260" t="s">
        <v>60</v>
      </c>
      <c r="CX7" s="260" t="s">
        <v>61</v>
      </c>
      <c r="CY7" s="260" t="s">
        <v>62</v>
      </c>
      <c r="CZ7" s="260" t="s">
        <v>63</v>
      </c>
      <c r="DA7" s="260" t="s">
        <v>64</v>
      </c>
      <c r="DB7" s="260" t="s">
        <v>5677</v>
      </c>
      <c r="DC7" s="260" t="s">
        <v>65</v>
      </c>
      <c r="DD7" s="260" t="s">
        <v>5674</v>
      </c>
      <c r="DE7" s="261" t="s">
        <v>9</v>
      </c>
      <c r="DF7" s="260" t="s">
        <v>41</v>
      </c>
      <c r="DG7" s="260" t="s">
        <v>42</v>
      </c>
      <c r="DH7" s="260" t="s">
        <v>43</v>
      </c>
      <c r="DI7" s="260" t="s">
        <v>44</v>
      </c>
      <c r="DJ7" s="260" t="s">
        <v>45</v>
      </c>
      <c r="DK7" s="260" t="s">
        <v>46</v>
      </c>
      <c r="DL7" s="260" t="s">
        <v>47</v>
      </c>
      <c r="DM7" s="260" t="s">
        <v>48</v>
      </c>
      <c r="DN7" s="260" t="s">
        <v>49</v>
      </c>
      <c r="DO7" s="260" t="s">
        <v>50</v>
      </c>
      <c r="DP7" s="260" t="s">
        <v>51</v>
      </c>
      <c r="DQ7" s="260" t="s">
        <v>52</v>
      </c>
      <c r="DR7" s="260" t="s">
        <v>53</v>
      </c>
      <c r="DS7" s="260" t="s">
        <v>54</v>
      </c>
      <c r="DT7" s="260" t="s">
        <v>55</v>
      </c>
      <c r="DU7" s="260" t="s">
        <v>56</v>
      </c>
      <c r="DV7" s="260" t="s">
        <v>5676</v>
      </c>
      <c r="DW7" s="260" t="s">
        <v>57</v>
      </c>
      <c r="DX7" s="260" t="s">
        <v>58</v>
      </c>
      <c r="DY7" s="260" t="s">
        <v>59</v>
      </c>
      <c r="DZ7" s="260" t="s">
        <v>60</v>
      </c>
      <c r="EA7" s="260" t="s">
        <v>61</v>
      </c>
      <c r="EB7" s="260" t="s">
        <v>62</v>
      </c>
      <c r="EC7" s="260" t="s">
        <v>63</v>
      </c>
      <c r="ED7" s="260" t="s">
        <v>64</v>
      </c>
      <c r="EE7" s="260" t="s">
        <v>5677</v>
      </c>
      <c r="EF7" s="260" t="s">
        <v>65</v>
      </c>
      <c r="EG7" s="260" t="s">
        <v>5674</v>
      </c>
      <c r="EH7" s="107"/>
      <c r="EI7" s="107"/>
      <c r="EJ7" s="262"/>
      <c r="EK7" s="262"/>
      <c r="EL7" s="262"/>
      <c r="EM7" s="107"/>
      <c r="EN7" s="107"/>
      <c r="EO7" s="107"/>
      <c r="EP7" s="107"/>
      <c r="EQ7" s="107"/>
      <c r="ER7" s="107"/>
      <c r="ES7" s="107"/>
      <c r="ET7" s="107"/>
      <c r="EU7" s="107"/>
      <c r="EV7" s="107"/>
      <c r="EW7" s="107"/>
      <c r="EX7" s="107"/>
      <c r="EY7" s="107"/>
      <c r="EZ7" s="107"/>
      <c r="FA7" s="107" t="s">
        <v>9</v>
      </c>
      <c r="FB7" s="260" t="s">
        <v>41</v>
      </c>
      <c r="FC7" s="260" t="s">
        <v>42</v>
      </c>
      <c r="FD7" s="260" t="s">
        <v>43</v>
      </c>
      <c r="FE7" s="260" t="s">
        <v>44</v>
      </c>
      <c r="FF7" s="260" t="s">
        <v>45</v>
      </c>
      <c r="FG7" s="260" t="s">
        <v>46</v>
      </c>
      <c r="FH7" s="260" t="s">
        <v>47</v>
      </c>
      <c r="FI7" s="260" t="s">
        <v>48</v>
      </c>
      <c r="FJ7" s="260" t="s">
        <v>49</v>
      </c>
      <c r="FK7" s="260" t="s">
        <v>50</v>
      </c>
      <c r="FL7" s="260" t="s">
        <v>51</v>
      </c>
      <c r="FM7" s="260" t="s">
        <v>52</v>
      </c>
      <c r="FN7" s="260" t="s">
        <v>53</v>
      </c>
      <c r="FO7" s="260" t="s">
        <v>54</v>
      </c>
      <c r="FP7" s="260" t="s">
        <v>55</v>
      </c>
      <c r="FQ7" s="260" t="s">
        <v>56</v>
      </c>
      <c r="FR7" s="260" t="s">
        <v>5676</v>
      </c>
      <c r="FS7" s="260" t="s">
        <v>57</v>
      </c>
      <c r="FT7" s="260" t="s">
        <v>58</v>
      </c>
      <c r="FU7" s="260" t="s">
        <v>59</v>
      </c>
      <c r="FV7" s="260" t="s">
        <v>60</v>
      </c>
      <c r="FW7" s="260" t="s">
        <v>61</v>
      </c>
      <c r="FX7" s="260" t="s">
        <v>62</v>
      </c>
      <c r="FY7" s="260" t="s">
        <v>63</v>
      </c>
      <c r="FZ7" s="260" t="s">
        <v>64</v>
      </c>
      <c r="GA7" s="260" t="s">
        <v>5677</v>
      </c>
      <c r="GB7" s="260" t="s">
        <v>65</v>
      </c>
      <c r="GC7" s="260" t="s">
        <v>5674</v>
      </c>
      <c r="GD7" s="107"/>
      <c r="GE7" s="108"/>
      <c r="GF7" s="108" t="s">
        <v>9</v>
      </c>
      <c r="GG7" s="105" t="s">
        <v>41</v>
      </c>
      <c r="GH7" s="105" t="s">
        <v>42</v>
      </c>
      <c r="GI7" s="105" t="s">
        <v>43</v>
      </c>
      <c r="GJ7" s="105" t="s">
        <v>44</v>
      </c>
      <c r="GK7" s="105" t="s">
        <v>45</v>
      </c>
      <c r="GL7" s="105" t="s">
        <v>46</v>
      </c>
      <c r="GM7" s="105" t="s">
        <v>47</v>
      </c>
      <c r="GN7" s="105" t="s">
        <v>48</v>
      </c>
      <c r="GO7" s="105" t="s">
        <v>49</v>
      </c>
      <c r="GP7" s="105" t="s">
        <v>50</v>
      </c>
      <c r="GQ7" s="105" t="s">
        <v>51</v>
      </c>
      <c r="GR7" s="105" t="s">
        <v>52</v>
      </c>
      <c r="GS7" s="105" t="s">
        <v>53</v>
      </c>
      <c r="GT7" s="105" t="s">
        <v>54</v>
      </c>
      <c r="GU7" s="105" t="s">
        <v>55</v>
      </c>
      <c r="GV7" s="105" t="s">
        <v>56</v>
      </c>
      <c r="GW7" s="105" t="s">
        <v>5676</v>
      </c>
      <c r="GX7" s="105" t="s">
        <v>57</v>
      </c>
      <c r="GY7" s="105" t="s">
        <v>58</v>
      </c>
      <c r="GZ7" s="105" t="s">
        <v>59</v>
      </c>
      <c r="HA7" s="105" t="s">
        <v>60</v>
      </c>
      <c r="HB7" s="105" t="s">
        <v>61</v>
      </c>
      <c r="HC7" s="105" t="s">
        <v>62</v>
      </c>
      <c r="HD7" s="105" t="s">
        <v>63</v>
      </c>
      <c r="HE7" s="105" t="s">
        <v>64</v>
      </c>
      <c r="HF7" s="105" t="s">
        <v>5677</v>
      </c>
      <c r="HG7" s="105" t="s">
        <v>65</v>
      </c>
      <c r="HH7" s="105" t="s">
        <v>5674</v>
      </c>
      <c r="HI7" s="105"/>
      <c r="HJ7" s="108" t="s">
        <v>9</v>
      </c>
      <c r="HK7" s="105" t="s">
        <v>41</v>
      </c>
      <c r="HL7" s="105" t="s">
        <v>42</v>
      </c>
      <c r="HM7" s="105" t="s">
        <v>43</v>
      </c>
      <c r="HN7" s="105" t="s">
        <v>44</v>
      </c>
      <c r="HO7" s="105" t="s">
        <v>45</v>
      </c>
      <c r="HP7" s="105" t="s">
        <v>46</v>
      </c>
      <c r="HQ7" s="105" t="s">
        <v>47</v>
      </c>
      <c r="HR7" s="105" t="s">
        <v>48</v>
      </c>
      <c r="HS7" s="105" t="s">
        <v>49</v>
      </c>
      <c r="HT7" s="105" t="s">
        <v>50</v>
      </c>
      <c r="HU7" s="105" t="s">
        <v>51</v>
      </c>
      <c r="HV7" s="105" t="s">
        <v>52</v>
      </c>
      <c r="HW7" s="105" t="s">
        <v>53</v>
      </c>
      <c r="HX7" s="105" t="s">
        <v>54</v>
      </c>
      <c r="HY7" s="105" t="s">
        <v>55</v>
      </c>
      <c r="HZ7" s="105" t="s">
        <v>56</v>
      </c>
      <c r="IA7" s="105" t="s">
        <v>5676</v>
      </c>
      <c r="IB7" s="105" t="s">
        <v>57</v>
      </c>
      <c r="IC7" s="105" t="s">
        <v>58</v>
      </c>
      <c r="ID7" s="105" t="s">
        <v>59</v>
      </c>
      <c r="IE7" s="105" t="s">
        <v>60</v>
      </c>
      <c r="IF7" s="105" t="s">
        <v>61</v>
      </c>
      <c r="IG7" s="105" t="s">
        <v>62</v>
      </c>
      <c r="IH7" s="105" t="s">
        <v>63</v>
      </c>
      <c r="II7" s="105" t="s">
        <v>64</v>
      </c>
      <c r="IJ7" s="105" t="s">
        <v>5677</v>
      </c>
      <c r="IK7" s="105" t="s">
        <v>65</v>
      </c>
      <c r="IL7" s="105" t="s">
        <v>5674</v>
      </c>
    </row>
    <row r="8" spans="1:337" s="69" customFormat="1" ht="29.1" customHeight="1">
      <c r="A8" s="5" t="s">
        <v>1483</v>
      </c>
      <c r="B8" s="234" t="s">
        <v>67</v>
      </c>
      <c r="C8" s="234" t="s">
        <v>6301</v>
      </c>
      <c r="D8" s="234" t="s">
        <v>6302</v>
      </c>
      <c r="E8" s="234" t="s">
        <v>6303</v>
      </c>
      <c r="F8" s="234" t="s">
        <v>6304</v>
      </c>
      <c r="G8" s="234" t="s">
        <v>6305</v>
      </c>
      <c r="H8" s="234" t="s">
        <v>6306</v>
      </c>
      <c r="I8" s="234" t="s">
        <v>6307</v>
      </c>
      <c r="J8" s="234" t="s">
        <v>6308</v>
      </c>
      <c r="K8" s="234" t="s">
        <v>6309</v>
      </c>
      <c r="L8" s="234" t="s">
        <v>6310</v>
      </c>
      <c r="M8" s="234" t="s">
        <v>6311</v>
      </c>
      <c r="N8" s="234" t="s">
        <v>6312</v>
      </c>
      <c r="O8" s="234" t="s">
        <v>6313</v>
      </c>
      <c r="P8" s="234" t="s">
        <v>6314</v>
      </c>
      <c r="Q8" s="234" t="s">
        <v>6315</v>
      </c>
      <c r="R8" s="234" t="s">
        <v>6316</v>
      </c>
      <c r="S8" s="234" t="s">
        <v>6317</v>
      </c>
      <c r="T8" s="234" t="s">
        <v>6318</v>
      </c>
      <c r="U8" s="234" t="s">
        <v>6319</v>
      </c>
      <c r="V8" s="234" t="s">
        <v>6320</v>
      </c>
      <c r="W8" s="234" t="s">
        <v>6321</v>
      </c>
      <c r="X8" s="234" t="s">
        <v>6322</v>
      </c>
      <c r="Y8" s="234" t="s">
        <v>6318</v>
      </c>
      <c r="Z8" s="234" t="s">
        <v>6323</v>
      </c>
      <c r="AA8" s="234" t="s">
        <v>6311</v>
      </c>
      <c r="AB8" s="234" t="s">
        <v>6311</v>
      </c>
      <c r="AC8" s="234" t="s">
        <v>6324</v>
      </c>
      <c r="AD8" s="234" t="s">
        <v>6325</v>
      </c>
      <c r="AE8" s="275" t="s">
        <v>462</v>
      </c>
      <c r="AF8" s="276" t="s">
        <v>463</v>
      </c>
      <c r="AG8" s="21" t="s">
        <v>464</v>
      </c>
      <c r="AH8" s="21" t="s">
        <v>465</v>
      </c>
      <c r="AI8" s="21"/>
      <c r="AJ8" s="21" t="s">
        <v>68</v>
      </c>
      <c r="AK8" s="21" t="s">
        <v>6326</v>
      </c>
      <c r="AL8" s="21" t="s">
        <v>6327</v>
      </c>
      <c r="AM8" s="21" t="s">
        <v>6328</v>
      </c>
      <c r="AN8" s="21" t="s">
        <v>6329</v>
      </c>
      <c r="AO8" s="21" t="s">
        <v>6330</v>
      </c>
      <c r="AP8" s="21" t="s">
        <v>6331</v>
      </c>
      <c r="AQ8" s="21" t="s">
        <v>6332</v>
      </c>
      <c r="AR8" s="21" t="s">
        <v>6333</v>
      </c>
      <c r="AS8" s="21" t="s">
        <v>68</v>
      </c>
      <c r="AT8" s="21" t="s">
        <v>6334</v>
      </c>
      <c r="AU8" s="21" t="s">
        <v>6335</v>
      </c>
      <c r="AV8" s="21" t="s">
        <v>6336</v>
      </c>
      <c r="AW8" s="21" t="s">
        <v>6337</v>
      </c>
      <c r="AX8" s="21" t="s">
        <v>6338</v>
      </c>
      <c r="AY8" s="21" t="s">
        <v>6339</v>
      </c>
      <c r="AZ8" s="21" t="s">
        <v>6340</v>
      </c>
      <c r="BA8" s="21" t="s">
        <v>6341</v>
      </c>
      <c r="BB8" s="21" t="s">
        <v>6342</v>
      </c>
      <c r="BC8" s="21" t="s">
        <v>6343</v>
      </c>
      <c r="BD8" s="21" t="s">
        <v>6328</v>
      </c>
      <c r="BE8" s="21" t="s">
        <v>6335</v>
      </c>
      <c r="BF8" s="21" t="s">
        <v>6344</v>
      </c>
      <c r="BG8" s="21" t="s">
        <v>6345</v>
      </c>
      <c r="BH8" s="21" t="s">
        <v>6335</v>
      </c>
      <c r="BI8" s="21" t="s">
        <v>6335</v>
      </c>
      <c r="BJ8" s="21" t="s">
        <v>6335</v>
      </c>
      <c r="BK8" s="21" t="s">
        <v>6346</v>
      </c>
      <c r="BL8" s="21" t="s">
        <v>6347</v>
      </c>
      <c r="BM8" s="21" t="s">
        <v>466</v>
      </c>
      <c r="BN8" s="21"/>
      <c r="BO8" s="21" t="s">
        <v>467</v>
      </c>
      <c r="BP8" s="21"/>
      <c r="BQ8" s="19" t="s">
        <v>468</v>
      </c>
      <c r="BR8" s="19"/>
      <c r="BS8" s="66" t="s">
        <v>469</v>
      </c>
      <c r="BT8" s="263"/>
      <c r="BU8" s="264" t="s">
        <v>470</v>
      </c>
      <c r="BV8" s="265" t="s">
        <v>471</v>
      </c>
      <c r="BW8" s="265"/>
      <c r="BX8" s="281" t="s">
        <v>472</v>
      </c>
      <c r="BY8" s="5"/>
      <c r="BZ8" s="282" t="s">
        <v>473</v>
      </c>
      <c r="CA8" s="5"/>
      <c r="CB8" s="258" t="s">
        <v>474</v>
      </c>
      <c r="CC8" s="21" t="s">
        <v>6497</v>
      </c>
      <c r="CD8" s="21" t="s">
        <v>6498</v>
      </c>
      <c r="CE8" s="21" t="s">
        <v>6499</v>
      </c>
      <c r="CF8" s="21" t="s">
        <v>6500</v>
      </c>
      <c r="CG8" s="21" t="s">
        <v>6501</v>
      </c>
      <c r="CH8" s="21" t="s">
        <v>6502</v>
      </c>
      <c r="CI8" s="21" t="s">
        <v>6503</v>
      </c>
      <c r="CJ8" s="21" t="s">
        <v>6504</v>
      </c>
      <c r="CK8" s="21" t="s">
        <v>6505</v>
      </c>
      <c r="CL8" s="21" t="s">
        <v>6506</v>
      </c>
      <c r="CM8" s="21" t="s">
        <v>6507</v>
      </c>
      <c r="CN8" s="21" t="s">
        <v>6508</v>
      </c>
      <c r="CO8" s="21" t="s">
        <v>6509</v>
      </c>
      <c r="CP8" s="21" t="s">
        <v>6510</v>
      </c>
      <c r="CQ8" s="21" t="s">
        <v>6511</v>
      </c>
      <c r="CR8" s="21" t="s">
        <v>6512</v>
      </c>
      <c r="CS8" s="21" t="s">
        <v>6513</v>
      </c>
      <c r="CT8" s="21" t="s">
        <v>6514</v>
      </c>
      <c r="CU8" s="21" t="s">
        <v>6515</v>
      </c>
      <c r="CV8" s="21" t="s">
        <v>6516</v>
      </c>
      <c r="CW8" s="21" t="s">
        <v>6517</v>
      </c>
      <c r="CX8" s="21" t="s">
        <v>6518</v>
      </c>
      <c r="CY8" s="21" t="s">
        <v>6519</v>
      </c>
      <c r="CZ8" s="21" t="s">
        <v>6520</v>
      </c>
      <c r="DA8" s="21" t="s">
        <v>6521</v>
      </c>
      <c r="DB8" s="21" t="s">
        <v>6507</v>
      </c>
      <c r="DC8" s="21" t="s">
        <v>6522</v>
      </c>
      <c r="DD8" s="21" t="s">
        <v>6523</v>
      </c>
      <c r="DE8" s="19" t="s">
        <v>475</v>
      </c>
      <c r="DF8" s="19" t="s">
        <v>6326</v>
      </c>
      <c r="DG8" s="19" t="s">
        <v>6327</v>
      </c>
      <c r="DH8" s="19" t="s">
        <v>6328</v>
      </c>
      <c r="DI8" s="19" t="s">
        <v>6329</v>
      </c>
      <c r="DJ8" s="19" t="s">
        <v>6330</v>
      </c>
      <c r="DK8" s="19" t="s">
        <v>6331</v>
      </c>
      <c r="DL8" s="19" t="s">
        <v>6332</v>
      </c>
      <c r="DM8" s="19" t="s">
        <v>6333</v>
      </c>
      <c r="DN8" s="19" t="s">
        <v>68</v>
      </c>
      <c r="DO8" s="19" t="s">
        <v>6334</v>
      </c>
      <c r="DP8" s="19" t="s">
        <v>6335</v>
      </c>
      <c r="DQ8" s="19" t="s">
        <v>6336</v>
      </c>
      <c r="DR8" s="19" t="s">
        <v>6495</v>
      </c>
      <c r="DS8" s="19" t="s">
        <v>6338</v>
      </c>
      <c r="DT8" s="19" t="s">
        <v>6339</v>
      </c>
      <c r="DU8" s="19" t="s">
        <v>6340</v>
      </c>
      <c r="DV8" s="19" t="s">
        <v>6341</v>
      </c>
      <c r="DW8" s="19" t="s">
        <v>6342</v>
      </c>
      <c r="DX8" s="19" t="s">
        <v>6496</v>
      </c>
      <c r="DY8" s="19" t="s">
        <v>6328</v>
      </c>
      <c r="DZ8" s="19" t="s">
        <v>6335</v>
      </c>
      <c r="EA8" s="19" t="s">
        <v>6344</v>
      </c>
      <c r="EB8" s="19" t="s">
        <v>6345</v>
      </c>
      <c r="EC8" s="19" t="s">
        <v>6335</v>
      </c>
      <c r="ED8" s="19" t="s">
        <v>6335</v>
      </c>
      <c r="EE8" s="19" t="s">
        <v>6335</v>
      </c>
      <c r="EF8" s="19" t="s">
        <v>6346</v>
      </c>
      <c r="EG8" s="19" t="s">
        <v>6347</v>
      </c>
      <c r="EH8" s="275" t="s">
        <v>476</v>
      </c>
      <c r="EI8" s="276" t="s">
        <v>477</v>
      </c>
      <c r="EJ8" s="21" t="s">
        <v>478</v>
      </c>
      <c r="EK8" s="21" t="s">
        <v>479</v>
      </c>
      <c r="EL8" s="21"/>
      <c r="EM8" s="21" t="s">
        <v>480</v>
      </c>
      <c r="EN8" s="21" t="s">
        <v>481</v>
      </c>
      <c r="EO8" s="21" t="s">
        <v>482</v>
      </c>
      <c r="EP8" s="19" t="s">
        <v>6673</v>
      </c>
      <c r="EQ8" s="21" t="s">
        <v>483</v>
      </c>
      <c r="ER8" s="21" t="s">
        <v>483</v>
      </c>
      <c r="ES8" s="6" t="s">
        <v>484</v>
      </c>
      <c r="ET8" s="21"/>
      <c r="EU8" s="6" t="s">
        <v>485</v>
      </c>
      <c r="EV8" s="6"/>
      <c r="EW8" s="6" t="s">
        <v>486</v>
      </c>
      <c r="EX8" s="6"/>
      <c r="EY8" s="6" t="s">
        <v>487</v>
      </c>
      <c r="EZ8" s="6"/>
      <c r="FA8" s="6" t="s">
        <v>488</v>
      </c>
      <c r="FB8" s="6" t="s">
        <v>6403</v>
      </c>
      <c r="FC8" s="6" t="s">
        <v>6404</v>
      </c>
      <c r="FD8" s="6" t="s">
        <v>6405</v>
      </c>
      <c r="FE8" s="6" t="s">
        <v>6406</v>
      </c>
      <c r="FF8" s="6" t="s">
        <v>6407</v>
      </c>
      <c r="FG8" s="6" t="s">
        <v>6408</v>
      </c>
      <c r="FH8" s="6" t="s">
        <v>6409</v>
      </c>
      <c r="FI8" s="6" t="s">
        <v>6410</v>
      </c>
      <c r="FJ8" s="6" t="s">
        <v>6411</v>
      </c>
      <c r="FK8" s="6" t="s">
        <v>6412</v>
      </c>
      <c r="FL8" s="6" t="s">
        <v>6413</v>
      </c>
      <c r="FM8" s="6" t="s">
        <v>6414</v>
      </c>
      <c r="FN8" s="6" t="s">
        <v>6415</v>
      </c>
      <c r="FO8" s="6" t="s">
        <v>6416</v>
      </c>
      <c r="FP8" s="6" t="s">
        <v>6417</v>
      </c>
      <c r="FQ8" s="6" t="s">
        <v>6418</v>
      </c>
      <c r="FR8" s="6" t="s">
        <v>6419</v>
      </c>
      <c r="FS8" s="6" t="s">
        <v>6420</v>
      </c>
      <c r="FT8" s="6" t="s">
        <v>6421</v>
      </c>
      <c r="FU8" s="6" t="s">
        <v>6422</v>
      </c>
      <c r="FV8" s="6" t="s">
        <v>6423</v>
      </c>
      <c r="FW8" s="6" t="s">
        <v>6424</v>
      </c>
      <c r="FX8" s="6" t="s">
        <v>6425</v>
      </c>
      <c r="FY8" s="6" t="s">
        <v>6426</v>
      </c>
      <c r="FZ8" s="6" t="s">
        <v>6427</v>
      </c>
      <c r="GA8" s="6" t="s">
        <v>6428</v>
      </c>
      <c r="GB8" s="6" t="s">
        <v>6429</v>
      </c>
      <c r="GC8" s="6" t="s">
        <v>6430</v>
      </c>
      <c r="GD8" s="6" t="s">
        <v>489</v>
      </c>
      <c r="GE8" s="281" t="s">
        <v>490</v>
      </c>
      <c r="GF8" s="5" t="s">
        <v>491</v>
      </c>
      <c r="GG8" s="5" t="s">
        <v>6524</v>
      </c>
      <c r="GH8" s="5" t="s">
        <v>6525</v>
      </c>
      <c r="GI8" s="5" t="s">
        <v>6526</v>
      </c>
      <c r="GJ8" s="5" t="s">
        <v>6527</v>
      </c>
      <c r="GK8" s="5" t="s">
        <v>6528</v>
      </c>
      <c r="GL8" s="5" t="s">
        <v>6529</v>
      </c>
      <c r="GM8" s="5" t="s">
        <v>6530</v>
      </c>
      <c r="GN8" s="5" t="s">
        <v>6531</v>
      </c>
      <c r="GO8" s="5" t="s">
        <v>6532</v>
      </c>
      <c r="GP8" s="5" t="s">
        <v>6533</v>
      </c>
      <c r="GQ8" s="5" t="s">
        <v>6534</v>
      </c>
      <c r="GR8" s="5" t="s">
        <v>6535</v>
      </c>
      <c r="GS8" s="5" t="s">
        <v>6549</v>
      </c>
      <c r="GT8" s="5" t="s">
        <v>6536</v>
      </c>
      <c r="GU8" s="5" t="s">
        <v>6537</v>
      </c>
      <c r="GV8" s="5" t="s">
        <v>6538</v>
      </c>
      <c r="GW8" s="5" t="s">
        <v>6539</v>
      </c>
      <c r="GX8" s="5" t="s">
        <v>6540</v>
      </c>
      <c r="GY8" s="5" t="s">
        <v>6550</v>
      </c>
      <c r="GZ8" s="5" t="s">
        <v>6541</v>
      </c>
      <c r="HA8" s="5" t="s">
        <v>6542</v>
      </c>
      <c r="HB8" s="5" t="s">
        <v>6543</v>
      </c>
      <c r="HC8" s="5" t="s">
        <v>6544</v>
      </c>
      <c r="HD8" s="5" t="s">
        <v>6545</v>
      </c>
      <c r="HE8" s="5" t="s">
        <v>6546</v>
      </c>
      <c r="HF8" s="5" t="s">
        <v>6534</v>
      </c>
      <c r="HG8" s="5" t="s">
        <v>6547</v>
      </c>
      <c r="HH8" s="282" t="s">
        <v>6548</v>
      </c>
      <c r="HI8" s="281" t="s">
        <v>492</v>
      </c>
      <c r="HJ8" s="5" t="s">
        <v>493</v>
      </c>
      <c r="HK8" s="5" t="s">
        <v>6524</v>
      </c>
      <c r="HL8" s="5" t="s">
        <v>6525</v>
      </c>
      <c r="HM8" s="5" t="s">
        <v>6526</v>
      </c>
      <c r="HN8" s="5" t="s">
        <v>6527</v>
      </c>
      <c r="HO8" s="5" t="s">
        <v>6528</v>
      </c>
      <c r="HP8" s="5" t="s">
        <v>6529</v>
      </c>
      <c r="HQ8" s="5" t="s">
        <v>6530</v>
      </c>
      <c r="HR8" s="5" t="s">
        <v>6531</v>
      </c>
      <c r="HS8" s="5" t="s">
        <v>6532</v>
      </c>
      <c r="HT8" s="5" t="s">
        <v>6533</v>
      </c>
      <c r="HU8" s="5" t="s">
        <v>6534</v>
      </c>
      <c r="HV8" s="5" t="s">
        <v>6535</v>
      </c>
      <c r="HW8" s="5" t="s">
        <v>6549</v>
      </c>
      <c r="HX8" s="5" t="s">
        <v>6536</v>
      </c>
      <c r="HY8" s="5" t="s">
        <v>6537</v>
      </c>
      <c r="HZ8" s="5" t="s">
        <v>6538</v>
      </c>
      <c r="IA8" s="5" t="s">
        <v>6539</v>
      </c>
      <c r="IB8" s="5" t="s">
        <v>6540</v>
      </c>
      <c r="IC8" s="5" t="s">
        <v>6550</v>
      </c>
      <c r="ID8" s="5" t="s">
        <v>6541</v>
      </c>
      <c r="IE8" s="5" t="s">
        <v>6542</v>
      </c>
      <c r="IF8" s="5" t="s">
        <v>6543</v>
      </c>
      <c r="IG8" s="5" t="s">
        <v>6544</v>
      </c>
      <c r="IH8" s="5" t="s">
        <v>6545</v>
      </c>
      <c r="II8" s="5" t="s">
        <v>6546</v>
      </c>
      <c r="IJ8" s="5" t="s">
        <v>6534</v>
      </c>
      <c r="IK8" s="5" t="s">
        <v>6547</v>
      </c>
      <c r="IL8" s="282" t="s">
        <v>6548</v>
      </c>
      <c r="IM8" s="290"/>
      <c r="IN8" s="70"/>
      <c r="IO8" s="70"/>
      <c r="IP8" s="70"/>
      <c r="IQ8" s="70"/>
      <c r="IR8" s="70"/>
      <c r="IS8" s="70"/>
      <c r="IT8" s="70"/>
      <c r="IU8" s="70"/>
      <c r="IV8" s="70"/>
      <c r="IW8" s="70"/>
      <c r="IX8" s="70"/>
      <c r="IY8" s="70"/>
      <c r="IZ8" s="70"/>
      <c r="JA8" s="70"/>
      <c r="JB8" s="70"/>
      <c r="JC8" s="70"/>
      <c r="JD8" s="70"/>
      <c r="JE8" s="70"/>
      <c r="JF8" s="70"/>
      <c r="JG8" s="70"/>
      <c r="JH8" s="70"/>
      <c r="JI8" s="70"/>
      <c r="JJ8" s="70"/>
      <c r="JK8" s="124"/>
      <c r="JL8" s="124"/>
      <c r="JM8" s="124"/>
      <c r="JN8" s="124"/>
      <c r="JO8" s="124"/>
      <c r="JP8" s="124"/>
      <c r="JQ8" s="124"/>
      <c r="JR8" s="124"/>
      <c r="JS8" s="124"/>
      <c r="JT8" s="124"/>
      <c r="JU8" s="124"/>
      <c r="JV8" s="124"/>
      <c r="JW8" s="124"/>
      <c r="JX8" s="124"/>
      <c r="JY8" s="124"/>
      <c r="JZ8" s="124"/>
      <c r="KA8" s="124"/>
      <c r="KB8" s="124"/>
      <c r="KC8" s="124"/>
      <c r="KD8" s="124"/>
      <c r="KE8" s="124"/>
      <c r="KF8" s="124"/>
      <c r="KG8" s="124"/>
      <c r="KH8" s="124"/>
      <c r="KI8" s="124"/>
      <c r="KJ8" s="124"/>
      <c r="KK8" s="70"/>
      <c r="KL8" s="124"/>
      <c r="KM8" s="124"/>
      <c r="KN8" s="124"/>
      <c r="KO8" s="124"/>
      <c r="KP8" s="70"/>
      <c r="KQ8" s="124"/>
      <c r="KR8" s="70"/>
      <c r="KS8" s="124"/>
      <c r="LT8" s="70"/>
      <c r="LU8" s="124"/>
      <c r="LV8" s="70"/>
      <c r="LW8" s="124"/>
      <c r="LX8" s="70"/>
      <c r="LY8" s="124"/>
    </row>
    <row r="9" spans="1:337" s="126" customFormat="1" ht="84.95" customHeight="1">
      <c r="A9" s="74" t="s">
        <v>66</v>
      </c>
      <c r="B9" s="7" t="s">
        <v>5668</v>
      </c>
      <c r="C9" s="7"/>
      <c r="D9" s="7"/>
      <c r="E9" s="7"/>
      <c r="F9" s="7"/>
      <c r="G9" s="7"/>
      <c r="H9" s="7"/>
      <c r="I9" s="7"/>
      <c r="J9" s="7"/>
      <c r="K9" s="7"/>
      <c r="L9" s="7"/>
      <c r="M9" s="7"/>
      <c r="N9" s="7"/>
      <c r="O9" s="7"/>
      <c r="P9" s="7"/>
      <c r="Q9" s="7"/>
      <c r="R9" s="7"/>
      <c r="S9" s="7"/>
      <c r="T9" s="7"/>
      <c r="U9" s="7"/>
      <c r="V9" s="7"/>
      <c r="W9" s="7"/>
      <c r="X9" s="7"/>
      <c r="Y9" s="7"/>
      <c r="Z9" s="7"/>
      <c r="AA9" s="7"/>
      <c r="AB9" s="7"/>
      <c r="AC9" s="7"/>
      <c r="AD9" s="7"/>
      <c r="AE9" s="277" t="s">
        <v>6001</v>
      </c>
      <c r="AF9" s="210" t="s">
        <v>6000</v>
      </c>
      <c r="AG9" s="7" t="s">
        <v>494</v>
      </c>
      <c r="AH9" s="7" t="s">
        <v>495</v>
      </c>
      <c r="AI9" s="7"/>
      <c r="AJ9" s="7" t="s">
        <v>6045</v>
      </c>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25" t="s">
        <v>496</v>
      </c>
      <c r="BN9" s="25"/>
      <c r="BO9" s="25" t="s">
        <v>497</v>
      </c>
      <c r="BP9" s="7"/>
      <c r="BQ9" s="25" t="s">
        <v>498</v>
      </c>
      <c r="BR9" s="25"/>
      <c r="BS9" s="25" t="s">
        <v>499</v>
      </c>
      <c r="BT9" s="62"/>
      <c r="BU9" s="167" t="s">
        <v>500</v>
      </c>
      <c r="BV9" s="165" t="s">
        <v>501</v>
      </c>
      <c r="BW9" s="75"/>
      <c r="BX9" s="209" t="s">
        <v>6040</v>
      </c>
      <c r="BY9" s="284"/>
      <c r="BZ9" s="283" t="s">
        <v>502</v>
      </c>
      <c r="CA9" s="75"/>
      <c r="CB9" s="64" t="s">
        <v>6002</v>
      </c>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25" t="s">
        <v>6003</v>
      </c>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77" t="s">
        <v>333</v>
      </c>
      <c r="EI9" s="210" t="s">
        <v>6004</v>
      </c>
      <c r="EJ9" s="7" t="s">
        <v>6041</v>
      </c>
      <c r="EK9" s="7" t="s">
        <v>503</v>
      </c>
      <c r="EL9" s="7"/>
      <c r="EM9" s="7" t="s">
        <v>504</v>
      </c>
      <c r="EN9" s="7" t="s">
        <v>505</v>
      </c>
      <c r="EO9" s="7" t="s">
        <v>6005</v>
      </c>
      <c r="EP9" s="25"/>
      <c r="EQ9" s="7" t="s">
        <v>6007</v>
      </c>
      <c r="ER9" s="7" t="s">
        <v>506</v>
      </c>
      <c r="ES9" s="7" t="s">
        <v>6006</v>
      </c>
      <c r="ET9" s="7"/>
      <c r="EU9" s="75" t="s">
        <v>6008</v>
      </c>
      <c r="EV9" s="75"/>
      <c r="EW9" s="75" t="s">
        <v>6009</v>
      </c>
      <c r="EX9" s="75"/>
      <c r="EY9" s="75" t="s">
        <v>6010</v>
      </c>
      <c r="EZ9" s="75"/>
      <c r="FA9" s="75" t="s">
        <v>507</v>
      </c>
      <c r="FB9" s="75" t="s">
        <v>6163</v>
      </c>
      <c r="FC9" s="75" t="s">
        <v>6164</v>
      </c>
      <c r="FD9" s="75" t="s">
        <v>6165</v>
      </c>
      <c r="FE9" s="75" t="s">
        <v>6166</v>
      </c>
      <c r="FF9" s="75" t="s">
        <v>6167</v>
      </c>
      <c r="FG9" s="75" t="s">
        <v>6168</v>
      </c>
      <c r="FH9" s="75" t="s">
        <v>6169</v>
      </c>
      <c r="FI9" s="75" t="s">
        <v>6170</v>
      </c>
      <c r="FJ9" s="75" t="s">
        <v>6171</v>
      </c>
      <c r="FK9" s="75" t="s">
        <v>6172</v>
      </c>
      <c r="FL9" s="75" t="s">
        <v>6173</v>
      </c>
      <c r="FM9" s="75" t="s">
        <v>6174</v>
      </c>
      <c r="FN9" s="75" t="s">
        <v>6175</v>
      </c>
      <c r="FO9" s="75" t="s">
        <v>6176</v>
      </c>
      <c r="FP9" s="75" t="s">
        <v>6177</v>
      </c>
      <c r="FQ9" s="75" t="s">
        <v>6178</v>
      </c>
      <c r="FR9" s="75" t="s">
        <v>6179</v>
      </c>
      <c r="FS9" s="75" t="s">
        <v>6180</v>
      </c>
      <c r="FT9" s="75" t="s">
        <v>6181</v>
      </c>
      <c r="FU9" s="75" t="s">
        <v>6182</v>
      </c>
      <c r="FV9" s="75" t="s">
        <v>6183</v>
      </c>
      <c r="FW9" s="75" t="s">
        <v>6184</v>
      </c>
      <c r="FX9" s="75" t="s">
        <v>6185</v>
      </c>
      <c r="FY9" s="75" t="s">
        <v>6186</v>
      </c>
      <c r="FZ9" s="75" t="s">
        <v>6187</v>
      </c>
      <c r="GA9" s="75" t="s">
        <v>6188</v>
      </c>
      <c r="GB9" s="75" t="s">
        <v>6189</v>
      </c>
      <c r="GC9" s="75" t="s">
        <v>6190</v>
      </c>
      <c r="GD9" s="75" t="s">
        <v>6042</v>
      </c>
      <c r="GE9" s="209"/>
      <c r="GF9" s="284" t="s">
        <v>6044</v>
      </c>
      <c r="GG9" s="284"/>
      <c r="GH9" s="284"/>
      <c r="GI9" s="284"/>
      <c r="GJ9" s="284"/>
      <c r="GK9" s="284"/>
      <c r="GL9" s="284"/>
      <c r="GM9" s="284"/>
      <c r="GN9" s="284"/>
      <c r="GO9" s="284"/>
      <c r="GP9" s="284"/>
      <c r="GQ9" s="284"/>
      <c r="GR9" s="284"/>
      <c r="GS9" s="284"/>
      <c r="GT9" s="284"/>
      <c r="GU9" s="284"/>
      <c r="GV9" s="284"/>
      <c r="GW9" s="284"/>
      <c r="GX9" s="284"/>
      <c r="GY9" s="284"/>
      <c r="GZ9" s="284"/>
      <c r="HA9" s="284"/>
      <c r="HB9" s="284"/>
      <c r="HC9" s="284"/>
      <c r="HD9" s="284"/>
      <c r="HE9" s="284"/>
      <c r="HF9" s="284"/>
      <c r="HG9" s="284"/>
      <c r="HH9" s="283"/>
      <c r="HI9" s="209"/>
      <c r="HJ9" s="284" t="s">
        <v>6044</v>
      </c>
      <c r="HK9" s="288"/>
      <c r="HL9" s="288"/>
      <c r="HM9" s="288"/>
      <c r="HN9" s="288"/>
      <c r="HO9" s="288"/>
      <c r="HP9" s="288"/>
      <c r="HQ9" s="288"/>
      <c r="HR9" s="288"/>
      <c r="HS9" s="288"/>
      <c r="HT9" s="288"/>
      <c r="HU9" s="288"/>
      <c r="HV9" s="288"/>
      <c r="HW9" s="288"/>
      <c r="HX9" s="288"/>
      <c r="HY9" s="288"/>
      <c r="HZ9" s="288"/>
      <c r="IA9" s="288"/>
      <c r="IB9" s="288"/>
      <c r="IC9" s="288"/>
      <c r="ID9" s="288"/>
      <c r="IE9" s="288"/>
      <c r="IF9" s="288"/>
      <c r="IG9" s="288"/>
      <c r="IH9" s="288"/>
      <c r="II9" s="288"/>
      <c r="IJ9" s="288"/>
      <c r="IK9" s="288"/>
      <c r="IL9" s="289"/>
      <c r="IM9" s="291"/>
      <c r="IN9" s="72"/>
      <c r="IO9" s="72"/>
      <c r="IP9" s="72"/>
      <c r="IQ9" s="72"/>
      <c r="IR9" s="72"/>
      <c r="IS9" s="72"/>
      <c r="IT9" s="72"/>
      <c r="IU9" s="72"/>
      <c r="IV9" s="72"/>
      <c r="IW9" s="72"/>
      <c r="IX9" s="72"/>
      <c r="IY9" s="72"/>
      <c r="IZ9" s="72"/>
      <c r="JA9" s="72"/>
      <c r="JB9" s="72"/>
      <c r="JC9" s="72"/>
      <c r="JD9" s="72"/>
      <c r="JE9" s="72"/>
      <c r="JF9" s="72"/>
      <c r="JG9" s="72"/>
      <c r="JH9" s="72"/>
      <c r="JI9" s="72"/>
      <c r="JJ9" s="72"/>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72"/>
      <c r="KL9" s="124"/>
      <c r="KM9" s="124"/>
      <c r="KN9" s="124"/>
      <c r="KO9" s="124"/>
      <c r="KP9" s="72"/>
      <c r="KQ9" s="124"/>
      <c r="KR9" s="72"/>
      <c r="KS9" s="124"/>
      <c r="KT9" s="69"/>
      <c r="KU9" s="69"/>
      <c r="KV9" s="69"/>
      <c r="KW9" s="69"/>
      <c r="KX9" s="69"/>
      <c r="KY9" s="69"/>
      <c r="KZ9" s="69"/>
      <c r="LA9" s="69"/>
      <c r="LB9" s="69"/>
      <c r="LC9" s="69"/>
      <c r="LD9" s="69"/>
      <c r="LE9" s="69"/>
      <c r="LF9" s="69"/>
      <c r="LG9" s="69"/>
      <c r="LH9" s="69"/>
      <c r="LI9" s="69"/>
      <c r="LJ9" s="69"/>
      <c r="LK9" s="69"/>
      <c r="LL9" s="69"/>
      <c r="LM9" s="69"/>
      <c r="LN9" s="69"/>
      <c r="LO9" s="69"/>
      <c r="LP9" s="69"/>
      <c r="LQ9" s="69"/>
      <c r="LR9" s="69"/>
      <c r="LS9" s="69"/>
      <c r="LT9" s="72"/>
      <c r="LU9" s="124"/>
      <c r="LV9" s="72"/>
      <c r="LW9" s="124"/>
      <c r="LX9" s="72"/>
      <c r="LY9" s="124"/>
    </row>
    <row r="10" spans="1:337" ht="15.75" thickBot="1">
      <c r="A10" s="155"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c r="AJ10" s="84" t="s">
        <v>10</v>
      </c>
      <c r="AK10" s="84" t="s">
        <v>78</v>
      </c>
      <c r="AL10" s="84" t="s">
        <v>79</v>
      </c>
      <c r="AM10" s="84" t="s">
        <v>80</v>
      </c>
      <c r="AN10" s="84" t="s">
        <v>81</v>
      </c>
      <c r="AO10" s="84" t="s">
        <v>82</v>
      </c>
      <c r="AP10" s="84" t="s">
        <v>83</v>
      </c>
      <c r="AQ10" s="84" t="s">
        <v>84</v>
      </c>
      <c r="AR10" s="84" t="s">
        <v>85</v>
      </c>
      <c r="AS10" s="84" t="s">
        <v>86</v>
      </c>
      <c r="AT10" s="84" t="s">
        <v>87</v>
      </c>
      <c r="AU10" s="84" t="s">
        <v>88</v>
      </c>
      <c r="AV10" s="84" t="s">
        <v>89</v>
      </c>
      <c r="AW10" s="84" t="s">
        <v>90</v>
      </c>
      <c r="AX10" s="84" t="s">
        <v>91</v>
      </c>
      <c r="AY10" s="84" t="s">
        <v>92</v>
      </c>
      <c r="AZ10" s="84" t="s">
        <v>93</v>
      </c>
      <c r="BA10" s="84" t="s">
        <v>5675</v>
      </c>
      <c r="BB10" s="84" t="s">
        <v>94</v>
      </c>
      <c r="BC10" s="84" t="s">
        <v>12</v>
      </c>
      <c r="BD10" s="84" t="s">
        <v>95</v>
      </c>
      <c r="BE10" s="84" t="s">
        <v>96</v>
      </c>
      <c r="BF10" s="84" t="s">
        <v>97</v>
      </c>
      <c r="BG10" s="84" t="s">
        <v>98</v>
      </c>
      <c r="BH10" s="84" t="s">
        <v>99</v>
      </c>
      <c r="BI10" s="84" t="s">
        <v>100</v>
      </c>
      <c r="BJ10" s="84" t="s">
        <v>5678</v>
      </c>
      <c r="BK10" s="84" t="s">
        <v>101</v>
      </c>
      <c r="BL10" s="84" t="s">
        <v>5679</v>
      </c>
      <c r="BM10" s="84"/>
      <c r="BN10" s="84"/>
      <c r="BO10" s="84"/>
      <c r="BP10" s="84"/>
      <c r="BQ10" s="84"/>
      <c r="BR10" s="84"/>
      <c r="BS10" s="84"/>
      <c r="BT10" s="84"/>
      <c r="BU10" s="168"/>
      <c r="BV10" s="84"/>
      <c r="BW10" s="84"/>
      <c r="BX10" s="84"/>
      <c r="BY10" s="84"/>
      <c r="BZ10" s="84"/>
      <c r="CA10" s="84"/>
      <c r="CB10" s="156" t="s">
        <v>10</v>
      </c>
      <c r="CC10" s="84" t="s">
        <v>78</v>
      </c>
      <c r="CD10" s="84" t="s">
        <v>79</v>
      </c>
      <c r="CE10" s="84" t="s">
        <v>80</v>
      </c>
      <c r="CF10" s="84" t="s">
        <v>81</v>
      </c>
      <c r="CG10" s="84" t="s">
        <v>82</v>
      </c>
      <c r="CH10" s="84" t="s">
        <v>83</v>
      </c>
      <c r="CI10" s="84" t="s">
        <v>84</v>
      </c>
      <c r="CJ10" s="84" t="s">
        <v>85</v>
      </c>
      <c r="CK10" s="84" t="s">
        <v>86</v>
      </c>
      <c r="CL10" s="84" t="s">
        <v>87</v>
      </c>
      <c r="CM10" s="84" t="s">
        <v>88</v>
      </c>
      <c r="CN10" s="84" t="s">
        <v>89</v>
      </c>
      <c r="CO10" s="84" t="s">
        <v>90</v>
      </c>
      <c r="CP10" s="84" t="s">
        <v>91</v>
      </c>
      <c r="CQ10" s="84" t="s">
        <v>92</v>
      </c>
      <c r="CR10" s="84" t="s">
        <v>93</v>
      </c>
      <c r="CS10" s="84" t="s">
        <v>5675</v>
      </c>
      <c r="CT10" s="84" t="s">
        <v>94</v>
      </c>
      <c r="CU10" s="84" t="s">
        <v>12</v>
      </c>
      <c r="CV10" s="84" t="s">
        <v>95</v>
      </c>
      <c r="CW10" s="84" t="s">
        <v>96</v>
      </c>
      <c r="CX10" s="84" t="s">
        <v>97</v>
      </c>
      <c r="CY10" s="84" t="s">
        <v>98</v>
      </c>
      <c r="CZ10" s="84" t="s">
        <v>99</v>
      </c>
      <c r="DA10" s="84" t="s">
        <v>100</v>
      </c>
      <c r="DB10" s="84" t="s">
        <v>5678</v>
      </c>
      <c r="DC10" s="84" t="s">
        <v>101</v>
      </c>
      <c r="DD10" s="84" t="s">
        <v>5679</v>
      </c>
      <c r="DE10" s="84" t="s">
        <v>10</v>
      </c>
      <c r="DF10" s="84" t="s">
        <v>78</v>
      </c>
      <c r="DG10" s="84" t="s">
        <v>79</v>
      </c>
      <c r="DH10" s="84" t="s">
        <v>80</v>
      </c>
      <c r="DI10" s="84" t="s">
        <v>81</v>
      </c>
      <c r="DJ10" s="84" t="s">
        <v>82</v>
      </c>
      <c r="DK10" s="84" t="s">
        <v>83</v>
      </c>
      <c r="DL10" s="84" t="s">
        <v>84</v>
      </c>
      <c r="DM10" s="84" t="s">
        <v>85</v>
      </c>
      <c r="DN10" s="84" t="s">
        <v>86</v>
      </c>
      <c r="DO10" s="84" t="s">
        <v>87</v>
      </c>
      <c r="DP10" s="84" t="s">
        <v>88</v>
      </c>
      <c r="DQ10" s="84" t="s">
        <v>89</v>
      </c>
      <c r="DR10" s="84" t="s">
        <v>90</v>
      </c>
      <c r="DS10" s="84" t="s">
        <v>91</v>
      </c>
      <c r="DT10" s="84" t="s">
        <v>92</v>
      </c>
      <c r="DU10" s="84" t="s">
        <v>93</v>
      </c>
      <c r="DV10" s="84" t="s">
        <v>5675</v>
      </c>
      <c r="DW10" s="84" t="s">
        <v>94</v>
      </c>
      <c r="DX10" s="84" t="s">
        <v>12</v>
      </c>
      <c r="DY10" s="84" t="s">
        <v>95</v>
      </c>
      <c r="DZ10" s="84" t="s">
        <v>96</v>
      </c>
      <c r="EA10" s="84" t="s">
        <v>97</v>
      </c>
      <c r="EB10" s="84" t="s">
        <v>98</v>
      </c>
      <c r="EC10" s="84" t="s">
        <v>99</v>
      </c>
      <c r="ED10" s="84" t="s">
        <v>100</v>
      </c>
      <c r="EE10" s="84" t="s">
        <v>5678</v>
      </c>
      <c r="EF10" s="84" t="s">
        <v>101</v>
      </c>
      <c r="EG10" s="84" t="s">
        <v>5679</v>
      </c>
      <c r="EH10" s="84"/>
      <c r="EI10" s="84"/>
      <c r="EJ10" s="84"/>
      <c r="EK10" s="84"/>
      <c r="EL10" s="84"/>
      <c r="EM10" s="84"/>
      <c r="EN10" s="84"/>
      <c r="EO10" s="84"/>
      <c r="EP10" s="106"/>
      <c r="EQ10" s="84"/>
      <c r="ER10" s="84"/>
      <c r="ES10" s="84"/>
      <c r="ET10" s="84"/>
      <c r="EU10" s="84"/>
      <c r="EV10" s="84"/>
      <c r="EW10" s="84"/>
      <c r="EX10" s="84"/>
      <c r="EY10" s="84"/>
      <c r="EZ10" s="84"/>
      <c r="FA10" s="84" t="s">
        <v>10</v>
      </c>
      <c r="FB10" s="84" t="s">
        <v>78</v>
      </c>
      <c r="FC10" s="84" t="s">
        <v>79</v>
      </c>
      <c r="FD10" s="84" t="s">
        <v>80</v>
      </c>
      <c r="FE10" s="84" t="s">
        <v>81</v>
      </c>
      <c r="FF10" s="84" t="s">
        <v>82</v>
      </c>
      <c r="FG10" s="84" t="s">
        <v>83</v>
      </c>
      <c r="FH10" s="84" t="s">
        <v>84</v>
      </c>
      <c r="FI10" s="84" t="s">
        <v>85</v>
      </c>
      <c r="FJ10" s="84" t="s">
        <v>86</v>
      </c>
      <c r="FK10" s="84" t="s">
        <v>87</v>
      </c>
      <c r="FL10" s="84" t="s">
        <v>88</v>
      </c>
      <c r="FM10" s="84" t="s">
        <v>89</v>
      </c>
      <c r="FN10" s="84" t="s">
        <v>90</v>
      </c>
      <c r="FO10" s="84" t="s">
        <v>91</v>
      </c>
      <c r="FP10" s="84" t="s">
        <v>92</v>
      </c>
      <c r="FQ10" s="84" t="s">
        <v>93</v>
      </c>
      <c r="FR10" s="84" t="s">
        <v>5675</v>
      </c>
      <c r="FS10" s="84" t="s">
        <v>94</v>
      </c>
      <c r="FT10" s="84" t="s">
        <v>12</v>
      </c>
      <c r="FU10" s="84" t="s">
        <v>95</v>
      </c>
      <c r="FV10" s="84" t="s">
        <v>96</v>
      </c>
      <c r="FW10" s="84" t="s">
        <v>97</v>
      </c>
      <c r="FX10" s="84" t="s">
        <v>98</v>
      </c>
      <c r="FY10" s="84" t="s">
        <v>99</v>
      </c>
      <c r="FZ10" s="84" t="s">
        <v>100</v>
      </c>
      <c r="GA10" s="84" t="s">
        <v>5678</v>
      </c>
      <c r="GB10" s="84" t="s">
        <v>101</v>
      </c>
      <c r="GC10" s="84" t="s">
        <v>5679</v>
      </c>
      <c r="GD10" s="84"/>
      <c r="GE10" s="84"/>
      <c r="GF10" s="84" t="s">
        <v>10</v>
      </c>
      <c r="GG10" s="84" t="s">
        <v>78</v>
      </c>
      <c r="GH10" s="84" t="s">
        <v>79</v>
      </c>
      <c r="GI10" s="84" t="s">
        <v>80</v>
      </c>
      <c r="GJ10" s="84" t="s">
        <v>81</v>
      </c>
      <c r="GK10" s="84" t="s">
        <v>82</v>
      </c>
      <c r="GL10" s="84" t="s">
        <v>83</v>
      </c>
      <c r="GM10" s="84" t="s">
        <v>84</v>
      </c>
      <c r="GN10" s="84" t="s">
        <v>85</v>
      </c>
      <c r="GO10" s="84" t="s">
        <v>86</v>
      </c>
      <c r="GP10" s="84" t="s">
        <v>87</v>
      </c>
      <c r="GQ10" s="84" t="s">
        <v>88</v>
      </c>
      <c r="GR10" s="84" t="s">
        <v>89</v>
      </c>
      <c r="GS10" s="84" t="s">
        <v>90</v>
      </c>
      <c r="GT10" s="84" t="s">
        <v>91</v>
      </c>
      <c r="GU10" s="84" t="s">
        <v>92</v>
      </c>
      <c r="GV10" s="84" t="s">
        <v>93</v>
      </c>
      <c r="GW10" s="84" t="s">
        <v>5675</v>
      </c>
      <c r="GX10" s="84" t="s">
        <v>94</v>
      </c>
      <c r="GY10" s="84" t="s">
        <v>12</v>
      </c>
      <c r="GZ10" s="84" t="s">
        <v>95</v>
      </c>
      <c r="HA10" s="84" t="s">
        <v>96</v>
      </c>
      <c r="HB10" s="84" t="s">
        <v>97</v>
      </c>
      <c r="HC10" s="84" t="s">
        <v>98</v>
      </c>
      <c r="HD10" s="84" t="s">
        <v>99</v>
      </c>
      <c r="HE10" s="84" t="s">
        <v>100</v>
      </c>
      <c r="HF10" s="84" t="s">
        <v>5678</v>
      </c>
      <c r="HG10" s="84" t="s">
        <v>101</v>
      </c>
      <c r="HH10" s="84" t="s">
        <v>5679</v>
      </c>
      <c r="HI10" s="84"/>
      <c r="HJ10" s="84" t="s">
        <v>10</v>
      </c>
      <c r="HK10" s="84" t="s">
        <v>78</v>
      </c>
      <c r="HL10" s="84" t="s">
        <v>79</v>
      </c>
      <c r="HM10" s="84" t="s">
        <v>80</v>
      </c>
      <c r="HN10" s="84" t="s">
        <v>81</v>
      </c>
      <c r="HO10" s="84" t="s">
        <v>82</v>
      </c>
      <c r="HP10" s="84" t="s">
        <v>83</v>
      </c>
      <c r="HQ10" s="84" t="s">
        <v>84</v>
      </c>
      <c r="HR10" s="84" t="s">
        <v>85</v>
      </c>
      <c r="HS10" s="84" t="s">
        <v>86</v>
      </c>
      <c r="HT10" s="84" t="s">
        <v>87</v>
      </c>
      <c r="HU10" s="84" t="s">
        <v>88</v>
      </c>
      <c r="HV10" s="84" t="s">
        <v>89</v>
      </c>
      <c r="HW10" s="84" t="s">
        <v>90</v>
      </c>
      <c r="HX10" s="84" t="s">
        <v>91</v>
      </c>
      <c r="HY10" s="84" t="s">
        <v>92</v>
      </c>
      <c r="HZ10" s="84" t="s">
        <v>93</v>
      </c>
      <c r="IA10" s="84" t="s">
        <v>5675</v>
      </c>
      <c r="IB10" s="84" t="s">
        <v>94</v>
      </c>
      <c r="IC10" s="84" t="s">
        <v>12</v>
      </c>
      <c r="ID10" s="84" t="s">
        <v>95</v>
      </c>
      <c r="IE10" s="84" t="s">
        <v>96</v>
      </c>
      <c r="IF10" s="84" t="s">
        <v>97</v>
      </c>
      <c r="IG10" s="84" t="s">
        <v>98</v>
      </c>
      <c r="IH10" s="84" t="s">
        <v>99</v>
      </c>
      <c r="II10" s="84" t="s">
        <v>100</v>
      </c>
      <c r="IJ10" s="84" t="s">
        <v>5678</v>
      </c>
      <c r="IK10" s="84" t="s">
        <v>101</v>
      </c>
      <c r="IL10" s="84" t="s">
        <v>5679</v>
      </c>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54"/>
      <c r="JL10" s="154"/>
      <c r="JM10" s="154"/>
      <c r="JN10" s="154"/>
      <c r="JO10" s="154"/>
      <c r="JP10" s="154"/>
      <c r="JQ10" s="154"/>
      <c r="JR10" s="154"/>
      <c r="JS10" s="154"/>
      <c r="JT10" s="154"/>
      <c r="JU10" s="154"/>
      <c r="JV10" s="154"/>
      <c r="JW10" s="154"/>
      <c r="JX10" s="154"/>
      <c r="JY10" s="154"/>
      <c r="JZ10" s="154"/>
      <c r="KA10" s="154"/>
      <c r="KB10" s="154"/>
      <c r="KC10" s="154"/>
      <c r="KD10" s="154"/>
      <c r="KE10" s="154"/>
      <c r="KF10" s="154"/>
      <c r="KG10" s="154"/>
      <c r="KH10" s="154"/>
      <c r="KI10" s="154"/>
      <c r="KJ10" s="154"/>
      <c r="KK10" s="127"/>
      <c r="KL10" s="154"/>
      <c r="KM10" s="154"/>
      <c r="KN10" s="154"/>
      <c r="KO10" s="154"/>
      <c r="KP10" s="127"/>
      <c r="KQ10" s="154"/>
      <c r="KR10" s="127"/>
      <c r="KS10" s="154"/>
      <c r="KT10" s="111"/>
      <c r="KU10" s="111"/>
      <c r="KV10" s="111"/>
      <c r="KW10" s="111"/>
      <c r="KX10" s="111"/>
      <c r="KY10" s="111"/>
      <c r="KZ10" s="111"/>
      <c r="LA10" s="111"/>
      <c r="LB10" s="111"/>
      <c r="LC10" s="111"/>
      <c r="LD10" s="111"/>
      <c r="LE10" s="111"/>
      <c r="LF10" s="111"/>
      <c r="LG10" s="111"/>
      <c r="LH10" s="111"/>
      <c r="LI10" s="111"/>
      <c r="LJ10" s="111"/>
      <c r="LK10" s="111"/>
      <c r="LL10" s="111"/>
      <c r="LM10" s="111"/>
      <c r="LN10" s="111"/>
      <c r="LO10" s="111"/>
      <c r="LP10" s="111"/>
      <c r="LQ10" s="111"/>
      <c r="LR10" s="111"/>
      <c r="LS10" s="111"/>
      <c r="LT10" s="127"/>
      <c r="LU10" s="154"/>
      <c r="LV10" s="127"/>
      <c r="LW10" s="154"/>
      <c r="LX10" s="127"/>
      <c r="LY10" s="154"/>
    </row>
    <row r="11" spans="1:337" s="201"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77"/>
      <c r="AH11" s="176"/>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204"/>
      <c r="BV11" s="246"/>
      <c r="BW11" s="197"/>
      <c r="BX11" s="178"/>
      <c r="BY11" s="197"/>
      <c r="BZ11" s="178"/>
      <c r="CA11" s="197"/>
      <c r="CB11" s="205"/>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97"/>
      <c r="EG11" s="197"/>
      <c r="EH11" s="176"/>
      <c r="EI11" s="197"/>
      <c r="EJ11" s="197"/>
      <c r="EK11" s="197"/>
      <c r="EL11" s="197"/>
      <c r="EM11" s="197"/>
      <c r="EN11" s="197"/>
      <c r="EO11" s="197"/>
      <c r="EP11" s="297"/>
      <c r="EQ11" s="178"/>
      <c r="ER11" s="197"/>
      <c r="ES11" s="178"/>
      <c r="ET11" s="197"/>
      <c r="EU11" s="178"/>
      <c r="EV11" s="197"/>
      <c r="EW11" s="178"/>
      <c r="EX11" s="197"/>
      <c r="EY11" s="178"/>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78"/>
      <c r="GF11" s="178"/>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N11" s="119"/>
      <c r="KO11" s="119"/>
      <c r="KP11" s="119"/>
      <c r="KQ11" s="119"/>
      <c r="KR11" s="119"/>
      <c r="KS11" s="119"/>
      <c r="KT11" s="119"/>
      <c r="LT11" s="120"/>
      <c r="LU11" s="119"/>
      <c r="LV11" s="120"/>
      <c r="LW11" s="120"/>
      <c r="LX11" s="120"/>
      <c r="LY11" s="120"/>
    </row>
    <row r="12" spans="1:337" ht="29.1" hidden="1" customHeight="1">
      <c r="A12" s="96"/>
      <c r="B12" s="108" t="s">
        <v>508</v>
      </c>
      <c r="C12" s="108" t="s">
        <v>509</v>
      </c>
      <c r="D12" s="108" t="s">
        <v>510</v>
      </c>
      <c r="E12" s="108" t="s">
        <v>511</v>
      </c>
      <c r="F12" s="108" t="s">
        <v>512</v>
      </c>
      <c r="G12" s="108" t="s">
        <v>513</v>
      </c>
      <c r="H12" s="108" t="s">
        <v>514</v>
      </c>
      <c r="I12" s="108" t="s">
        <v>515</v>
      </c>
      <c r="J12" s="108" t="s">
        <v>516</v>
      </c>
      <c r="K12" s="108" t="s">
        <v>517</v>
      </c>
      <c r="L12" s="108" t="s">
        <v>518</v>
      </c>
      <c r="M12" s="108" t="s">
        <v>519</v>
      </c>
      <c r="N12" s="108" t="s">
        <v>520</v>
      </c>
      <c r="O12" s="108" t="s">
        <v>521</v>
      </c>
      <c r="P12" s="108" t="s">
        <v>522</v>
      </c>
      <c r="Q12" s="108" t="s">
        <v>523</v>
      </c>
      <c r="R12" s="108" t="s">
        <v>524</v>
      </c>
      <c r="S12" s="108" t="s">
        <v>5729</v>
      </c>
      <c r="T12" s="108" t="s">
        <v>525</v>
      </c>
      <c r="U12" s="108" t="s">
        <v>526</v>
      </c>
      <c r="V12" s="108" t="s">
        <v>527</v>
      </c>
      <c r="W12" s="108" t="s">
        <v>528</v>
      </c>
      <c r="X12" s="108" t="s">
        <v>529</v>
      </c>
      <c r="Y12" s="108" t="s">
        <v>530</v>
      </c>
      <c r="Z12" s="108" t="s">
        <v>531</v>
      </c>
      <c r="AA12" s="108" t="s">
        <v>532</v>
      </c>
      <c r="AB12" s="108" t="s">
        <v>5730</v>
      </c>
      <c r="AC12" s="108" t="s">
        <v>533</v>
      </c>
      <c r="AD12" s="108" t="s">
        <v>5731</v>
      </c>
      <c r="AE12" s="108" t="s">
        <v>534</v>
      </c>
      <c r="AF12" s="108" t="s">
        <v>535</v>
      </c>
      <c r="AG12" s="108" t="s">
        <v>536</v>
      </c>
      <c r="AH12" s="108" t="s">
        <v>537</v>
      </c>
      <c r="AI12" s="108" t="s">
        <v>538</v>
      </c>
      <c r="AJ12" s="108" t="s">
        <v>539</v>
      </c>
      <c r="AK12" s="108" t="s">
        <v>540</v>
      </c>
      <c r="AL12" s="108" t="s">
        <v>541</v>
      </c>
      <c r="AM12" s="108" t="s">
        <v>542</v>
      </c>
      <c r="AN12" s="108" t="s">
        <v>543</v>
      </c>
      <c r="AO12" s="108" t="s">
        <v>544</v>
      </c>
      <c r="AP12" s="108" t="s">
        <v>545</v>
      </c>
      <c r="AQ12" s="108" t="s">
        <v>546</v>
      </c>
      <c r="AR12" s="108" t="s">
        <v>547</v>
      </c>
      <c r="AS12" s="108" t="s">
        <v>548</v>
      </c>
      <c r="AT12" s="108" t="s">
        <v>549</v>
      </c>
      <c r="AU12" s="108" t="s">
        <v>550</v>
      </c>
      <c r="AV12" s="108" t="s">
        <v>551</v>
      </c>
      <c r="AW12" s="108" t="s">
        <v>552</v>
      </c>
      <c r="AX12" s="108" t="s">
        <v>553</v>
      </c>
      <c r="AY12" s="108" t="s">
        <v>554</v>
      </c>
      <c r="AZ12" s="108" t="s">
        <v>555</v>
      </c>
      <c r="BA12" s="108" t="s">
        <v>5732</v>
      </c>
      <c r="BB12" s="108" t="s">
        <v>556</v>
      </c>
      <c r="BC12" s="108" t="s">
        <v>557</v>
      </c>
      <c r="BD12" s="108" t="s">
        <v>558</v>
      </c>
      <c r="BE12" s="108" t="s">
        <v>559</v>
      </c>
      <c r="BF12" s="108" t="s">
        <v>560</v>
      </c>
      <c r="BG12" s="108" t="s">
        <v>561</v>
      </c>
      <c r="BH12" s="108" t="s">
        <v>562</v>
      </c>
      <c r="BI12" s="108" t="s">
        <v>563</v>
      </c>
      <c r="BJ12" s="108" t="s">
        <v>5734</v>
      </c>
      <c r="BK12" s="108" t="s">
        <v>564</v>
      </c>
      <c r="BL12" s="108" t="s">
        <v>5733</v>
      </c>
      <c r="BM12" s="108" t="s">
        <v>565</v>
      </c>
      <c r="BN12" s="108" t="s">
        <v>566</v>
      </c>
      <c r="BO12" s="108" t="s">
        <v>567</v>
      </c>
      <c r="BP12" s="108" t="s">
        <v>568</v>
      </c>
      <c r="BQ12" s="108" t="s">
        <v>228</v>
      </c>
      <c r="BR12" s="108" t="s">
        <v>229</v>
      </c>
      <c r="BS12" s="108" t="s">
        <v>569</v>
      </c>
      <c r="BT12" s="108" t="s">
        <v>570</v>
      </c>
      <c r="BU12" s="169" t="s">
        <v>571</v>
      </c>
      <c r="BV12" s="247" t="s">
        <v>572</v>
      </c>
      <c r="BW12" s="108" t="s">
        <v>573</v>
      </c>
      <c r="BX12" s="108" t="s">
        <v>574</v>
      </c>
      <c r="BY12" s="108" t="s">
        <v>575</v>
      </c>
      <c r="BZ12" s="108" t="s">
        <v>576</v>
      </c>
      <c r="CA12" s="108" t="s">
        <v>577</v>
      </c>
      <c r="CB12" s="159" t="s">
        <v>578</v>
      </c>
      <c r="CC12" s="117" t="s">
        <v>579</v>
      </c>
      <c r="CD12" s="117" t="s">
        <v>580</v>
      </c>
      <c r="CE12" s="117" t="s">
        <v>581</v>
      </c>
      <c r="CF12" s="117" t="s">
        <v>582</v>
      </c>
      <c r="CG12" s="117" t="s">
        <v>583</v>
      </c>
      <c r="CH12" s="117" t="s">
        <v>584</v>
      </c>
      <c r="CI12" s="117" t="s">
        <v>585</v>
      </c>
      <c r="CJ12" s="117" t="s">
        <v>586</v>
      </c>
      <c r="CK12" s="117" t="s">
        <v>587</v>
      </c>
      <c r="CL12" s="117" t="s">
        <v>588</v>
      </c>
      <c r="CM12" s="117" t="s">
        <v>589</v>
      </c>
      <c r="CN12" s="117" t="s">
        <v>590</v>
      </c>
      <c r="CO12" s="117" t="s">
        <v>591</v>
      </c>
      <c r="CP12" s="117" t="s">
        <v>592</v>
      </c>
      <c r="CQ12" s="117" t="s">
        <v>593</v>
      </c>
      <c r="CR12" s="117" t="s">
        <v>594</v>
      </c>
      <c r="CS12" s="117" t="s">
        <v>5735</v>
      </c>
      <c r="CT12" s="117" t="s">
        <v>595</v>
      </c>
      <c r="CU12" s="117" t="s">
        <v>596</v>
      </c>
      <c r="CV12" s="117" t="s">
        <v>597</v>
      </c>
      <c r="CW12" s="117" t="s">
        <v>598</v>
      </c>
      <c r="CX12" s="117" t="s">
        <v>599</v>
      </c>
      <c r="CY12" s="117" t="s">
        <v>600</v>
      </c>
      <c r="CZ12" s="117" t="s">
        <v>601</v>
      </c>
      <c r="DA12" s="117" t="s">
        <v>602</v>
      </c>
      <c r="DB12" s="117" t="s">
        <v>5737</v>
      </c>
      <c r="DC12" s="117" t="s">
        <v>603</v>
      </c>
      <c r="DD12" s="117" t="s">
        <v>5736</v>
      </c>
      <c r="DE12" s="117" t="s">
        <v>604</v>
      </c>
      <c r="DF12" s="117" t="s">
        <v>605</v>
      </c>
      <c r="DG12" s="117" t="s">
        <v>606</v>
      </c>
      <c r="DH12" s="117" t="s">
        <v>607</v>
      </c>
      <c r="DI12" s="117" t="s">
        <v>608</v>
      </c>
      <c r="DJ12" s="117" t="s">
        <v>609</v>
      </c>
      <c r="DK12" s="117" t="s">
        <v>610</v>
      </c>
      <c r="DL12" s="117" t="s">
        <v>611</v>
      </c>
      <c r="DM12" s="117" t="s">
        <v>612</v>
      </c>
      <c r="DN12" s="117" t="s">
        <v>613</v>
      </c>
      <c r="DO12" s="117" t="s">
        <v>614</v>
      </c>
      <c r="DP12" s="117" t="s">
        <v>615</v>
      </c>
      <c r="DQ12" s="117" t="s">
        <v>616</v>
      </c>
      <c r="DR12" s="117" t="s">
        <v>617</v>
      </c>
      <c r="DS12" s="117" t="s">
        <v>618</v>
      </c>
      <c r="DT12" s="117" t="s">
        <v>619</v>
      </c>
      <c r="DU12" s="117" t="s">
        <v>620</v>
      </c>
      <c r="DV12" s="117" t="s">
        <v>5738</v>
      </c>
      <c r="DW12" s="117" t="s">
        <v>621</v>
      </c>
      <c r="DX12" s="117" t="s">
        <v>622</v>
      </c>
      <c r="DY12" s="117" t="s">
        <v>623</v>
      </c>
      <c r="DZ12" s="117" t="s">
        <v>624</v>
      </c>
      <c r="EA12" s="117" t="s">
        <v>625</v>
      </c>
      <c r="EB12" s="117" t="s">
        <v>626</v>
      </c>
      <c r="EC12" s="117" t="s">
        <v>627</v>
      </c>
      <c r="ED12" s="117" t="s">
        <v>628</v>
      </c>
      <c r="EE12" s="117" t="s">
        <v>5739</v>
      </c>
      <c r="EF12" s="117" t="s">
        <v>629</v>
      </c>
      <c r="EG12" s="117" t="s">
        <v>5740</v>
      </c>
      <c r="EH12" s="108" t="s">
        <v>630</v>
      </c>
      <c r="EI12" s="108" t="s">
        <v>631</v>
      </c>
      <c r="EJ12" s="108" t="s">
        <v>632</v>
      </c>
      <c r="EK12" s="108" t="s">
        <v>633</v>
      </c>
      <c r="EL12" s="108" t="s">
        <v>634</v>
      </c>
      <c r="EM12" s="108" t="s">
        <v>635</v>
      </c>
      <c r="EN12" s="108" t="s">
        <v>636</v>
      </c>
      <c r="EO12" s="108" t="s">
        <v>637</v>
      </c>
      <c r="EP12" s="79" t="s">
        <v>6674</v>
      </c>
      <c r="EQ12" s="108" t="s">
        <v>638</v>
      </c>
      <c r="ER12" s="108" t="s">
        <v>639</v>
      </c>
      <c r="ES12" s="108" t="s">
        <v>640</v>
      </c>
      <c r="ET12" s="108" t="s">
        <v>641</v>
      </c>
      <c r="EU12" s="108" t="s">
        <v>642</v>
      </c>
      <c r="EV12" s="108" t="s">
        <v>643</v>
      </c>
      <c r="EW12" s="108" t="s">
        <v>644</v>
      </c>
      <c r="EX12" s="108" t="s">
        <v>645</v>
      </c>
      <c r="EY12" s="108" t="s">
        <v>646</v>
      </c>
      <c r="EZ12" s="108" t="s">
        <v>647</v>
      </c>
      <c r="FA12" s="108" t="s">
        <v>648</v>
      </c>
      <c r="FB12" s="108" t="s">
        <v>649</v>
      </c>
      <c r="FC12" s="108" t="s">
        <v>650</v>
      </c>
      <c r="FD12" s="108" t="s">
        <v>651</v>
      </c>
      <c r="FE12" s="108" t="s">
        <v>652</v>
      </c>
      <c r="FF12" s="108" t="s">
        <v>653</v>
      </c>
      <c r="FG12" s="108" t="s">
        <v>654</v>
      </c>
      <c r="FH12" s="108" t="s">
        <v>655</v>
      </c>
      <c r="FI12" s="108" t="s">
        <v>656</v>
      </c>
      <c r="FJ12" s="108" t="s">
        <v>657</v>
      </c>
      <c r="FK12" s="108" t="s">
        <v>658</v>
      </c>
      <c r="FL12" s="108" t="s">
        <v>659</v>
      </c>
      <c r="FM12" s="108" t="s">
        <v>660</v>
      </c>
      <c r="FN12" s="108" t="s">
        <v>661</v>
      </c>
      <c r="FO12" s="108" t="s">
        <v>662</v>
      </c>
      <c r="FP12" s="108" t="s">
        <v>663</v>
      </c>
      <c r="FQ12" s="108" t="s">
        <v>664</v>
      </c>
      <c r="FR12" s="108" t="s">
        <v>5741</v>
      </c>
      <c r="FS12" s="108" t="s">
        <v>665</v>
      </c>
      <c r="FT12" s="108" t="s">
        <v>666</v>
      </c>
      <c r="FU12" s="108" t="s">
        <v>667</v>
      </c>
      <c r="FV12" s="108" t="s">
        <v>668</v>
      </c>
      <c r="FW12" s="108" t="s">
        <v>669</v>
      </c>
      <c r="FX12" s="108" t="s">
        <v>670</v>
      </c>
      <c r="FY12" s="108" t="s">
        <v>671</v>
      </c>
      <c r="FZ12" s="108" t="s">
        <v>672</v>
      </c>
      <c r="GA12" s="108" t="s">
        <v>5743</v>
      </c>
      <c r="GB12" s="108" t="s">
        <v>673</v>
      </c>
      <c r="GC12" s="108" t="s">
        <v>5742</v>
      </c>
      <c r="GD12" s="108" t="s">
        <v>674</v>
      </c>
      <c r="GE12" s="117" t="s">
        <v>675</v>
      </c>
      <c r="GF12" s="117" t="s">
        <v>676</v>
      </c>
      <c r="GG12" s="117" t="s">
        <v>677</v>
      </c>
      <c r="GH12" s="117" t="s">
        <v>678</v>
      </c>
      <c r="GI12" s="117" t="s">
        <v>679</v>
      </c>
      <c r="GJ12" s="117" t="s">
        <v>680</v>
      </c>
      <c r="GK12" s="117" t="s">
        <v>681</v>
      </c>
      <c r="GL12" s="117" t="s">
        <v>682</v>
      </c>
      <c r="GM12" s="117" t="s">
        <v>683</v>
      </c>
      <c r="GN12" s="117" t="s">
        <v>684</v>
      </c>
      <c r="GO12" s="117" t="s">
        <v>685</v>
      </c>
      <c r="GP12" s="117" t="s">
        <v>686</v>
      </c>
      <c r="GQ12" s="117" t="s">
        <v>687</v>
      </c>
      <c r="GR12" s="117" t="s">
        <v>688</v>
      </c>
      <c r="GS12" s="117" t="s">
        <v>689</v>
      </c>
      <c r="GT12" s="117" t="s">
        <v>690</v>
      </c>
      <c r="GU12" s="117" t="s">
        <v>691</v>
      </c>
      <c r="GV12" s="117" t="s">
        <v>692</v>
      </c>
      <c r="GW12" s="117" t="s">
        <v>5744</v>
      </c>
      <c r="GX12" s="117" t="s">
        <v>693</v>
      </c>
      <c r="GY12" s="117" t="s">
        <v>694</v>
      </c>
      <c r="GZ12" s="117" t="s">
        <v>695</v>
      </c>
      <c r="HA12" s="117" t="s">
        <v>696</v>
      </c>
      <c r="HB12" s="117" t="s">
        <v>697</v>
      </c>
      <c r="HC12" s="117" t="s">
        <v>698</v>
      </c>
      <c r="HD12" s="117" t="s">
        <v>699</v>
      </c>
      <c r="HE12" s="117" t="s">
        <v>700</v>
      </c>
      <c r="HF12" s="117" t="s">
        <v>5746</v>
      </c>
      <c r="HG12" s="117" t="s">
        <v>701</v>
      </c>
      <c r="HH12" s="117" t="s">
        <v>5745</v>
      </c>
      <c r="HI12" s="117" t="s">
        <v>702</v>
      </c>
      <c r="HJ12" s="117" t="s">
        <v>703</v>
      </c>
      <c r="HK12" s="117" t="s">
        <v>704</v>
      </c>
      <c r="HL12" s="117" t="s">
        <v>705</v>
      </c>
      <c r="HM12" s="117" t="s">
        <v>706</v>
      </c>
      <c r="HN12" s="117" t="s">
        <v>707</v>
      </c>
      <c r="HO12" s="117" t="s">
        <v>708</v>
      </c>
      <c r="HP12" s="117" t="s">
        <v>709</v>
      </c>
      <c r="HQ12" s="117" t="s">
        <v>710</v>
      </c>
      <c r="HR12" s="117" t="s">
        <v>711</v>
      </c>
      <c r="HS12" s="117" t="s">
        <v>712</v>
      </c>
      <c r="HT12" s="117" t="s">
        <v>713</v>
      </c>
      <c r="HU12" s="117" t="s">
        <v>714</v>
      </c>
      <c r="HV12" s="117" t="s">
        <v>715</v>
      </c>
      <c r="HW12" s="117" t="s">
        <v>716</v>
      </c>
      <c r="HX12" s="117" t="s">
        <v>717</v>
      </c>
      <c r="HY12" s="117" t="s">
        <v>718</v>
      </c>
      <c r="HZ12" s="117" t="s">
        <v>719</v>
      </c>
      <c r="IA12" s="117" t="s">
        <v>5749</v>
      </c>
      <c r="IB12" s="117" t="s">
        <v>720</v>
      </c>
      <c r="IC12" s="117" t="s">
        <v>721</v>
      </c>
      <c r="ID12" s="117" t="s">
        <v>722</v>
      </c>
      <c r="IE12" s="117" t="s">
        <v>723</v>
      </c>
      <c r="IF12" s="117" t="s">
        <v>724</v>
      </c>
      <c r="IG12" s="117" t="s">
        <v>725</v>
      </c>
      <c r="IH12" s="117" t="s">
        <v>726</v>
      </c>
      <c r="II12" s="117" t="s">
        <v>727</v>
      </c>
      <c r="IJ12" s="117" t="s">
        <v>5748</v>
      </c>
      <c r="IK12" s="117" t="s">
        <v>728</v>
      </c>
      <c r="IL12" s="117" t="s">
        <v>5747</v>
      </c>
    </row>
    <row r="13" spans="1:337" s="157" customFormat="1" ht="29.1" customHeight="1">
      <c r="A13" s="90"/>
      <c r="B13" s="235" t="s">
        <v>6720</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8" t="str">
        <f>IF(ISBLANK(AG$11),"",AG$11)</f>
        <v/>
      </c>
      <c r="AH13" s="88" t="str">
        <f t="shared" ref="AH13" si="1">IF(ISBLANK(AH$11),"",AH$11)</f>
        <v/>
      </c>
      <c r="AI13" s="90" t="str" cm="1">
        <f t="array" ref="AI13">MultiMatch(Achievements[[#This Row],[LearningAchievement.wasAwardedBy.awardingBody.MultiReference.Organisation.]],OrganisationNames,0)</f>
        <v/>
      </c>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
        <v>6721</v>
      </c>
      <c r="BN13" s="90">
        <f>IF(ISBLANK(Achievements[[#This Row],[LearningAchievement.wasDerivedFrom.Reference.Assessment.]]),"",(MATCH(Achievements[[#This Row],[LearningAchievement.wasDerivedFrom.Reference.Assessment.]],AssessmentNames,0)+12))</f>
        <v>13</v>
      </c>
      <c r="BO13" s="87" t="s">
        <v>6722</v>
      </c>
      <c r="BP13" s="90" t="str" cm="1">
        <f t="array" ref="BP13">MultiMatch(Achievements[[#This Row],[LearningAchievement.wasInfluencedBy.MultiReference.LearningActivity.]],ActivityNames,0)</f>
        <v>14; 15; 16</v>
      </c>
      <c r="BQ13" s="87"/>
      <c r="BR13" s="90" t="str" cm="1">
        <f t="array" ref="BR13">MultiMatch(Achievements[[#This Row],[Column2]],EntitlementNames,0)</f>
        <v/>
      </c>
      <c r="BS13" s="87"/>
      <c r="BT13" s="144" t="str" cm="1">
        <f t="array" ref="BT13">MultiMatch(Achievements[[#This Row],[LearningAchievement.hasPart.MutiReference.LearningAchievement.]],AchievementNames,0)</f>
        <v/>
      </c>
      <c r="BU13" s="187"/>
      <c r="BV13" s="248" t="str">
        <f>IF(ISBLANK(BV$11),"",BV$11)</f>
        <v/>
      </c>
      <c r="BW13" s="90" t="str" cm="1">
        <f t="array" ref="BW13">MultiMatch(Achievements[[#This Row],[LearningAchievement.specifiedBy.eqfLevel.Reference.]],Vocabularies[name],0)</f>
        <v/>
      </c>
      <c r="BX13" s="87" t="str">
        <f>IF(ISBLANK(BX$11),"",BX$11)</f>
        <v/>
      </c>
      <c r="BY13" s="90" t="str" cm="1">
        <f t="array" ref="BY13">MultiMatch(Achievements[[#This Row],[LearningAchievement.specifiedBy.nqfLevel.Reference.]],Vocabularies[name],0)</f>
        <v/>
      </c>
      <c r="BZ13" s="87" t="str">
        <f>IF(ISBLANK(BZ$11),"",BZ$11)</f>
        <v/>
      </c>
      <c r="CA13" s="87" t="str" cm="1">
        <f t="array" ref="CA13">MultiMatch(Achievements[[#This Row],[LearningAchievement.specifiedBy.nqfLevel'#1.content.NestedProperty.]],Vocabularies[name],0)</f>
        <v/>
      </c>
      <c r="CB13" s="160" t="str">
        <f>IF(ISBLANK(Achievements[[#This Row],[LearningAchievement.title.Property.content.en]]),"",Achievements[[#This Row],[LearningAchievement.title.Property.content.en]])</f>
        <v>Data and Software Business</v>
      </c>
      <c r="CC13" s="117" t="str">
        <f>IF(ISBLANK(Achievements[[#This Row],[LearningAchievement.title.Property.content.bg]]),"",Achievements[[#This Row],[LearningAchievement.title.Property.content.bg]])</f>
        <v/>
      </c>
      <c r="CD13" s="117" t="str">
        <f>IF(ISBLANK(Achievements[[#This Row],[LearningAchievement.title.Property.content.bg]]),"",Achievements[[#This Row],[LearningAchievement.title.Property.content.bg]])</f>
        <v/>
      </c>
      <c r="CE13" s="117" t="str">
        <f>IF(ISBLANK(Achievements[[#This Row],[LearningAchievement.title.Property.content.cs]]),"",Achievements[[#This Row],[LearningAchievement.title.Property.content.cs]])</f>
        <v/>
      </c>
      <c r="CF13" s="117" t="str">
        <f>IF(ISBLANK(Achievements[[#This Row],[LearningAchievement.title.Property.content.cs]]),"",Achievements[[#This Row],[LearningAchievement.title.Property.content.cs]])</f>
        <v/>
      </c>
      <c r="CG13" s="117" t="str">
        <f>IF(ISBLANK(Achievements[[#This Row],[LearningAchievement.title.Property.content.da]]),"",Achievements[[#This Row],[LearningAchievement.title.Property.content.da]])</f>
        <v/>
      </c>
      <c r="CH13" s="117" t="str">
        <f>IF(ISBLANK(Achievements[[#This Row],[LearningAchievement.title.Property.content.da]]),"",Achievements[[#This Row],[LearningAchievement.title.Property.content.da]])</f>
        <v/>
      </c>
      <c r="CI13" s="117" t="str">
        <f>IF(ISBLANK(Achievements[[#This Row],[LearningAchievement.title.Property.content.de]]),"",Achievements[[#This Row],[LearningAchievement.title.Property.content.de]])</f>
        <v/>
      </c>
      <c r="CJ13" s="117" t="str">
        <f>IF(ISBLANK(Achievements[[#This Row],[LearningAchievement.title.Property.content.de]]),"",Achievements[[#This Row],[LearningAchievement.title.Property.content.de]])</f>
        <v/>
      </c>
      <c r="CK13" s="117" t="str">
        <f>IF(ISBLANK(Achievements[[#This Row],[LearningAchievement.title.Property.content.el]]),"",Achievements[[#This Row],[LearningAchievement.title.Property.content.el]])</f>
        <v/>
      </c>
      <c r="CL13" s="117" t="str">
        <f>IF(ISBLANK(Achievements[[#This Row],[LearningAchievement.title.Property.content.el]]),"",Achievements[[#This Row],[LearningAchievement.title.Property.content.el]])</f>
        <v/>
      </c>
      <c r="CM13" s="117" t="str">
        <f>IF(ISBLANK(Achievements[[#This Row],[LearningAchievement.title.Property.content.es]]),"",Achievements[[#This Row],[LearningAchievement.title.Property.content.es]])</f>
        <v/>
      </c>
      <c r="CN13" s="117" t="str">
        <f>IF(ISBLANK(Achievements[[#This Row],[LearningAchievement.title.Property.content.es]]),"",Achievements[[#This Row],[LearningAchievement.title.Property.content.es]])</f>
        <v/>
      </c>
      <c r="CO13" s="117" t="str">
        <f>IF(ISBLANK(Achievements[[#This Row],[LearningAchievement.title.Property.content.et]]),"",Achievements[[#This Row],[LearningAchievement.title.Property.content.et]])</f>
        <v/>
      </c>
      <c r="CP13" s="117" t="str">
        <f>IF(ISBLANK(Achievements[[#This Row],[LearningAchievement.title.Property.content.et]]),"",Achievements[[#This Row],[LearningAchievement.title.Property.content.et]])</f>
        <v/>
      </c>
      <c r="CQ13" s="117" t="str">
        <f>IF(ISBLANK(Achievements[[#This Row],[LearningAchievement.title.Property.content.fi]]),"",Achievements[[#This Row],[LearningAchievement.title.Property.content.fi]])</f>
        <v/>
      </c>
      <c r="CR13" s="117" t="str">
        <f>IF(ISBLANK(Achievements[[#This Row],[LearningAchievement.title.Property.content.fi]]),"",Achievements[[#This Row],[LearningAchievement.title.Property.content.fi]])</f>
        <v/>
      </c>
      <c r="CS13" s="117"/>
      <c r="CT13" s="117" t="str">
        <f>IF(ISBLANK(Achievements[[#This Row],[LearningAchievement.title.Property.content.fr]]),"",Achievements[[#This Row],[LearningAchievement.title.Property.content.fr]])</f>
        <v/>
      </c>
      <c r="CU13" s="117" t="str">
        <f>IF(ISBLANK(Achievements[[#This Row],[LearningAchievement.title.Property.content.fr]]),"",Achievements[[#This Row],[LearningAchievement.title.Property.content.fr]])</f>
        <v/>
      </c>
      <c r="CV13" s="117" t="str">
        <f>IF(ISBLANK(Achievements[[#This Row],[LearningAchievement.title.Property.content.ga]]),"",Achievements[[#This Row],[LearningAchievement.title.Property.content.ga]])</f>
        <v/>
      </c>
      <c r="CW13" s="117" t="str">
        <f>IF(ISBLANK(Achievements[[#This Row],[LearningAchievement.title.Property.content.ga]]),"",Achievements[[#This Row],[LearningAchievement.title.Property.content.ga]])</f>
        <v/>
      </c>
      <c r="CX13" s="117" t="str">
        <f>IF(ISBLANK(Achievements[[#This Row],[LearningAchievement.title.Property.content.hr]]),"",Achievements[[#This Row],[LearningAchievement.title.Property.content.hr]])</f>
        <v/>
      </c>
      <c r="CY13" s="117" t="str">
        <f>IF(ISBLANK(Achievements[[#This Row],[LearningAchievement.title.Property.content.hr]]),"",Achievements[[#This Row],[LearningAchievement.title.Property.content.hr]])</f>
        <v/>
      </c>
      <c r="CZ13" s="117" t="str">
        <f>IF(ISBLANK(Achievements[[#This Row],[LearningAchievement.title.Property.content.hu]]),"",Achievements[[#This Row],[LearningAchievement.title.Property.content.hu]])</f>
        <v/>
      </c>
      <c r="DA13" s="117" t="str">
        <f>IF(ISBLANK(Achievements[[#This Row],[LearningAchievement.title.Property.content.hu]]),"",Achievements[[#This Row],[LearningAchievement.title.Property.content.hu]])</f>
        <v/>
      </c>
      <c r="DB13" s="117"/>
      <c r="DC13" s="117"/>
      <c r="DD13" s="117" t="str">
        <f>IF(ISBLANK(Achievements[[#This Row],[LearningAchievement.title.Property.content.is]]),"",Achievements[[#This Row],[LearningAchievement.title.Property.content.is]])</f>
        <v/>
      </c>
      <c r="DE13" s="175"/>
      <c r="DF13" s="161"/>
      <c r="DG13" s="161"/>
      <c r="DH13" s="161"/>
      <c r="DI13" s="161"/>
      <c r="DJ13" s="161"/>
      <c r="DK13" s="161"/>
      <c r="DL13" s="161"/>
      <c r="DM13" s="161"/>
      <c r="DN13" s="161"/>
      <c r="DO13" s="161"/>
      <c r="DP13" s="161"/>
      <c r="DQ13" s="161"/>
      <c r="DR13" s="161"/>
      <c r="DS13" s="161"/>
      <c r="DT13" s="161"/>
      <c r="DU13" s="161"/>
      <c r="DV13" s="161"/>
      <c r="DW13" s="161"/>
      <c r="DX13" s="161"/>
      <c r="DY13" s="161"/>
      <c r="DZ13" s="161"/>
      <c r="EA13" s="161"/>
      <c r="EB13" s="161"/>
      <c r="EC13" s="161"/>
      <c r="ED13" s="161"/>
      <c r="EE13" s="161"/>
      <c r="EF13" s="161"/>
      <c r="EG13" s="161"/>
      <c r="EH13" s="90" t="str">
        <f t="shared" ref="EH13" si="2">IF(ISBLANK(EH$11),"",EH$11)</f>
        <v/>
      </c>
      <c r="EI13" s="87"/>
      <c r="EJ13" s="161"/>
      <c r="EK13" s="129" t="s">
        <v>6730</v>
      </c>
      <c r="EL13" s="104" t="str" cm="1">
        <f t="array" ref="EL13">MultiMatch(Achievements[[#This Row],[LearningAchievement.specifiedBy.learningOutcome.MultiReference.LearningOutcome.]],LearningOutcomeNames,0)</f>
        <v>14; 15; 16</v>
      </c>
      <c r="EM13" s="184"/>
      <c r="EN13" s="184"/>
      <c r="EO13" s="162">
        <v>5</v>
      </c>
      <c r="EP13" s="162"/>
      <c r="EQ13" s="163" t="str">
        <f>IF(ISBLANK(EQ$11),"",EQ$11)</f>
        <v/>
      </c>
      <c r="ER13" s="164" t="str" cm="1">
        <f t="array" ref="ER13">MultiMatch(Achievements[[#This Row],[LearningAchievement.specifiedBy.iscedFCode.reference.]],Vocabularies[name],0)</f>
        <v/>
      </c>
      <c r="ES13" s="163" t="str">
        <f>IF(ISBLANK(ES$11),"",ES$11)</f>
        <v/>
      </c>
      <c r="ET13" s="90" t="str" cm="1">
        <f t="array" ref="ET13">MultiMatch(Achievements[[#This Row],[LearningAchievement.specifiedBy.mode.MultiReference.]],Vocabularies[name],0)</f>
        <v/>
      </c>
      <c r="EU13" s="163" t="str">
        <f t="shared" ref="EU13" si="3">IF(ISBLANK(EU$11),"",EU$11)</f>
        <v/>
      </c>
      <c r="EV13" s="90" t="str" cm="1">
        <f t="array" ref="EV13">MultiMatch(Achievements[[#This Row],[LearningAchievement.specifiedBy.language.MultiReference.]],Vocabularies[name],0)</f>
        <v/>
      </c>
      <c r="EW13" s="163" t="s">
        <v>3281</v>
      </c>
      <c r="EX13" s="90" t="str" cm="1">
        <f t="array" ref="EX13">MultiMatch(Achievements[[#This Row],[LearningAchievement.specifiedBy.learningSetting.Reference.]],Vocabularies[name],0)</f>
        <v>949</v>
      </c>
      <c r="EY13" s="163" t="s">
        <v>4631</v>
      </c>
      <c r="EZ13" s="90" t="str" cm="1">
        <f t="array" ref="EZ13">MultiMatch(Achievements[[#This Row],[LearningAchievement.specifiedBy.learningOpportunityType.Reference.]],LearningOpportunityTypeNames,0+1401)</f>
        <v>1416</v>
      </c>
      <c r="FA13" s="87"/>
      <c r="FB13" s="87"/>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103"/>
      <c r="GE13" s="87" t="str">
        <f t="shared" ref="GE13" si="4">IF(ISBLANK(GE$11),"",GE$11)</f>
        <v/>
      </c>
      <c r="GF13" s="87" t="str">
        <f t="shared" ref="GF13:IL13" si="5">IF(ISBLANK(GF$11),"",GF$11)</f>
        <v/>
      </c>
      <c r="GG13" s="87" t="str">
        <f t="shared" si="5"/>
        <v/>
      </c>
      <c r="GH13" s="87" t="str">
        <f t="shared" si="5"/>
        <v/>
      </c>
      <c r="GI13" s="87" t="str">
        <f t="shared" si="5"/>
        <v/>
      </c>
      <c r="GJ13" s="87" t="str">
        <f t="shared" si="5"/>
        <v/>
      </c>
      <c r="GK13" s="87" t="str">
        <f t="shared" si="5"/>
        <v/>
      </c>
      <c r="GL13" s="87" t="str">
        <f t="shared" si="5"/>
        <v/>
      </c>
      <c r="GM13" s="87" t="str">
        <f t="shared" si="5"/>
        <v/>
      </c>
      <c r="GN13" s="87" t="str">
        <f t="shared" si="5"/>
        <v/>
      </c>
      <c r="GO13" s="87" t="str">
        <f t="shared" si="5"/>
        <v/>
      </c>
      <c r="GP13" s="87" t="str">
        <f t="shared" si="5"/>
        <v/>
      </c>
      <c r="GQ13" s="87" t="str">
        <f t="shared" si="5"/>
        <v/>
      </c>
      <c r="GR13" s="87" t="str">
        <f t="shared" si="5"/>
        <v/>
      </c>
      <c r="GS13" s="87" t="str">
        <f t="shared" si="5"/>
        <v/>
      </c>
      <c r="GT13" s="87" t="str">
        <f t="shared" si="5"/>
        <v/>
      </c>
      <c r="GU13" s="87" t="str">
        <f t="shared" si="5"/>
        <v/>
      </c>
      <c r="GV13" s="87" t="str">
        <f t="shared" si="5"/>
        <v/>
      </c>
      <c r="GW13" s="87"/>
      <c r="GX13" s="87" t="str">
        <f t="shared" si="5"/>
        <v/>
      </c>
      <c r="GY13" s="87" t="str">
        <f t="shared" si="5"/>
        <v/>
      </c>
      <c r="GZ13" s="87" t="str">
        <f t="shared" si="5"/>
        <v/>
      </c>
      <c r="HA13" s="87" t="str">
        <f t="shared" si="5"/>
        <v/>
      </c>
      <c r="HB13" s="87" t="str">
        <f t="shared" si="5"/>
        <v/>
      </c>
      <c r="HC13" s="87" t="str">
        <f t="shared" si="5"/>
        <v/>
      </c>
      <c r="HD13" s="87" t="str">
        <f t="shared" si="5"/>
        <v/>
      </c>
      <c r="HE13" s="87" t="str">
        <f t="shared" si="5"/>
        <v/>
      </c>
      <c r="HF13" s="87"/>
      <c r="HG13" s="87"/>
      <c r="HH13" s="87" t="str">
        <f t="shared" si="5"/>
        <v/>
      </c>
      <c r="HI13" s="87" t="str">
        <f t="shared" si="5"/>
        <v/>
      </c>
      <c r="HJ13" s="87" t="str">
        <f t="shared" si="5"/>
        <v/>
      </c>
      <c r="HK13" s="87" t="str">
        <f t="shared" si="5"/>
        <v/>
      </c>
      <c r="HL13" s="87" t="str">
        <f t="shared" si="5"/>
        <v/>
      </c>
      <c r="HM13" s="87" t="str">
        <f t="shared" si="5"/>
        <v/>
      </c>
      <c r="HN13" s="87" t="str">
        <f t="shared" si="5"/>
        <v/>
      </c>
      <c r="HO13" s="87" t="str">
        <f t="shared" si="5"/>
        <v/>
      </c>
      <c r="HP13" s="87" t="str">
        <f t="shared" si="5"/>
        <v/>
      </c>
      <c r="HQ13" s="87" t="str">
        <f t="shared" si="5"/>
        <v/>
      </c>
      <c r="HR13" s="87" t="str">
        <f t="shared" si="5"/>
        <v/>
      </c>
      <c r="HS13" s="87" t="str">
        <f t="shared" si="5"/>
        <v/>
      </c>
      <c r="HT13" s="87" t="str">
        <f t="shared" si="5"/>
        <v/>
      </c>
      <c r="HU13" s="87" t="str">
        <f t="shared" si="5"/>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t="str">
        <f t="shared" si="5"/>
        <v/>
      </c>
      <c r="IL13" s="87" t="str">
        <f t="shared" si="5"/>
        <v/>
      </c>
    </row>
  </sheetData>
  <sheetProtection formatColumns="0"/>
  <mergeCells count="1">
    <mergeCell ref="CB1:IL1"/>
  </mergeCells>
  <phoneticPr fontId="12" type="noConversion"/>
  <dataValidations count="18">
    <dataValidation type="list" allowBlank="1" showInputMessage="1" showErrorMessage="1" sqref="AH11 AH13" xr:uid="{00000000-0002-0000-0400-000000000000}">
      <formula1>OrganisationNames</formula1>
    </dataValidation>
    <dataValidation type="list" allowBlank="1" showInputMessage="1" showErrorMessage="1" sqref="EQ11 EQ13" xr:uid="{00000000-0002-0000-0400-000004000000}">
      <formula1>ISCEDFLabels</formula1>
    </dataValidation>
    <dataValidation type="list" allowBlank="1" showInputMessage="1" showErrorMessage="1" sqref="ES11 ES13" xr:uid="{00000000-0002-0000-0400-000006000000}">
      <formula1>ModeOfLearningNames</formula1>
    </dataValidation>
    <dataValidation type="list" allowBlank="1" showInputMessage="1" showErrorMessage="1" sqref="EU11 EU13" xr:uid="{00000000-0002-0000-0400-000007000000}">
      <formula1>LanguageNames</formula1>
    </dataValidation>
    <dataValidation type="list" allowBlank="1" showInputMessage="1" showErrorMessage="1" sqref="EW11 EW13" xr:uid="{00000000-0002-0000-0400-000008000000}">
      <formula1>LearningSettingNames</formula1>
    </dataValidation>
    <dataValidation type="list" allowBlank="1" showInputMessage="1" showErrorMessage="1" sqref="EY11 EY13" xr:uid="{00000000-0002-0000-0400-000009000000}">
      <formula1>LearningOpportunityTypeNames</formula1>
    </dataValidation>
    <dataValidation type="list" allowBlank="1" showInputMessage="1" showErrorMessage="1" sqref="BV11 BV13" xr:uid="{00000000-0002-0000-0400-00000A000000}">
      <formula1>EQF_Levels</formula1>
    </dataValidation>
    <dataValidation type="list" allowBlank="1" showInputMessage="1" showErrorMessage="1" sqref="BX11 BX13" xr:uid="{00000000-0002-0000-0400-00000B000000}">
      <formula1>NQFNames</formula1>
    </dataValidation>
    <dataValidation type="list" allowBlank="1" showInputMessage="1" showErrorMessage="1" sqref="BZ11" xr:uid="{00000000-0002-0000-0400-00000F000000}">
      <formula1>INDIRECT(SUBSTITUTE(NQFSelector," ","_"))</formula1>
    </dataValidation>
    <dataValidation type="date" operator="greaterThan" allowBlank="1" showInputMessage="1" showErrorMessage="1" sqref="AG11 AG13" xr:uid="{00000000-0002-0000-0400-000011000000}">
      <formula1>1</formula1>
    </dataValidation>
    <dataValidation type="list" allowBlank="1" showInputMessage="1" showErrorMessage="1" sqref="BM13" xr:uid="{00000000-0002-0000-0400-000001000000}">
      <formula1>AssessmentNames</formula1>
    </dataValidation>
    <dataValidation type="list" allowBlank="1" showInputMessage="1" showErrorMessage="1" sqref="BO13" xr:uid="{00000000-0002-0000-0400-000002000000}">
      <formula1>ActivityNames</formula1>
    </dataValidation>
    <dataValidation type="list" allowBlank="1" showInputMessage="1" showErrorMessage="1" sqref="BS13" xr:uid="{00000000-0002-0000-0400-000003000000}">
      <formula1>AchievementNames</formula1>
    </dataValidation>
    <dataValidation type="list" allowBlank="1" showInputMessage="1" showErrorMessage="1" sqref="EK13" xr:uid="{00000000-0002-0000-0400-000005000000}">
      <formula1>LearningOutcomeNames</formula1>
    </dataValidation>
    <dataValidation type="list" allowBlank="1" showInputMessage="1" showErrorMessage="1" sqref="BU13" xr:uid="{00000000-0002-0000-0400-00000C000000}">
      <formula1>"TRUE, FALSE"</formula1>
    </dataValidation>
    <dataValidation type="list" allowBlank="1" showInputMessage="1" showErrorMessage="1" sqref="BQ13" xr:uid="{00000000-0002-0000-0400-00000D000000}">
      <formula1>EntitlementNames</formula1>
    </dataValidation>
    <dataValidation type="whole" operator="greaterThan" allowBlank="1" showErrorMessage="1" errorTitle="No decimals" error="Only positive whole numbers are accepted" sqref="EM13:EN13" xr:uid="{00000000-0002-0000-0400-00000E000000}">
      <formula1>0</formula1>
    </dataValidation>
    <dataValidation type="list" allowBlank="1" showInputMessage="1" showErrorMessage="1" sqref="BZ13" xr:uid="{00000000-0002-0000-0400-000010000000}">
      <formula1>NQFLevels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CB16"/>
  <sheetViews>
    <sheetView zoomScale="90" zoomScaleNormal="90" workbookViewId="0">
      <pane xSplit="30" ySplit="12" topLeftCell="AE13" activePane="bottomRight" state="frozen"/>
      <selection pane="topRight" activeCell="AE1" sqref="AE1"/>
      <selection pane="bottomLeft" activeCell="A13" sqref="A13"/>
      <selection pane="bottomRight" activeCell="AE15" sqref="AE15"/>
    </sheetView>
  </sheetViews>
  <sheetFormatPr defaultColWidth="9.140625" defaultRowHeight="29.1" customHeight="1"/>
  <cols>
    <col min="1" max="1" width="25" customWidth="1"/>
    <col min="2" max="2" width="25.85546875" customWidth="1"/>
    <col min="3" max="30" width="25.85546875" hidden="1" customWidth="1"/>
    <col min="31" max="31" width="24.140625" customWidth="1"/>
    <col min="32" max="32" width="20.85546875" customWidth="1"/>
    <col min="33" max="33" width="35.7109375" customWidth="1"/>
    <col min="34" max="61" width="30.85546875" hidden="1" customWidth="1"/>
    <col min="62" max="62" width="15.85546875" customWidth="1"/>
    <col min="63" max="63" width="10.85546875" hidden="1" customWidth="1"/>
    <col min="64" max="64" width="15.85546875" customWidth="1"/>
    <col min="65" max="65" width="10.85546875" hidden="1" customWidth="1"/>
    <col min="66" max="66" width="30.85546875" hidden="1" customWidth="1"/>
    <col min="67" max="67" width="25.85546875" customWidth="1"/>
    <col min="68" max="68" width="30.85546875" hidden="1" customWidth="1"/>
    <col min="69" max="69" width="25.85546875" customWidth="1"/>
    <col min="70" max="70" width="30.85546875" hidden="1" customWidth="1"/>
    <col min="71" max="71" width="25.85546875" customWidth="1"/>
    <col min="72" max="74" width="30.85546875" customWidth="1"/>
    <col min="75" max="75" width="30.85546875" hidden="1" customWidth="1"/>
    <col min="76" max="77" width="30.85546875" customWidth="1"/>
    <col min="78" max="78" width="30.85546875" hidden="1" customWidth="1"/>
    <col min="79" max="81" width="30.85546875" customWidth="1"/>
  </cols>
  <sheetData>
    <row r="1" spans="1:80" ht="23.25">
      <c r="A1" s="2" t="s">
        <v>729</v>
      </c>
      <c r="B1" s="26"/>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T1" s="296"/>
      <c r="BU1" s="296"/>
      <c r="BV1" s="296"/>
      <c r="BW1" s="296"/>
      <c r="BX1" s="296"/>
      <c r="BY1" s="296"/>
      <c r="BZ1" s="296"/>
      <c r="CA1" s="296"/>
      <c r="CB1" s="296"/>
    </row>
    <row r="2" spans="1:80" ht="30" hidden="1">
      <c r="A2" s="17" t="s">
        <v>14</v>
      </c>
      <c r="B2" s="17" t="s">
        <v>460</v>
      </c>
      <c r="C2" s="17" t="s">
        <v>460</v>
      </c>
      <c r="D2" s="17" t="s">
        <v>460</v>
      </c>
      <c r="E2" s="17" t="s">
        <v>460</v>
      </c>
      <c r="F2" s="17" t="s">
        <v>460</v>
      </c>
      <c r="G2" s="17" t="s">
        <v>460</v>
      </c>
      <c r="H2" s="17" t="s">
        <v>460</v>
      </c>
      <c r="I2" s="17" t="s">
        <v>460</v>
      </c>
      <c r="J2" s="17" t="s">
        <v>460</v>
      </c>
      <c r="K2" s="17" t="s">
        <v>460</v>
      </c>
      <c r="L2" s="17" t="s">
        <v>460</v>
      </c>
      <c r="M2" s="17" t="s">
        <v>460</v>
      </c>
      <c r="N2" s="17" t="s">
        <v>460</v>
      </c>
      <c r="O2" s="17" t="s">
        <v>460</v>
      </c>
      <c r="P2" s="17" t="s">
        <v>460</v>
      </c>
      <c r="Q2" s="17" t="s">
        <v>460</v>
      </c>
      <c r="R2" s="17" t="s">
        <v>460</v>
      </c>
      <c r="S2" s="17" t="s">
        <v>460</v>
      </c>
      <c r="T2" s="17" t="s">
        <v>460</v>
      </c>
      <c r="U2" s="17" t="s">
        <v>460</v>
      </c>
      <c r="V2" s="17" t="s">
        <v>460</v>
      </c>
      <c r="W2" s="17" t="s">
        <v>460</v>
      </c>
      <c r="X2" s="17" t="s">
        <v>460</v>
      </c>
      <c r="Y2" s="17" t="s">
        <v>460</v>
      </c>
      <c r="Z2" s="17" t="s">
        <v>460</v>
      </c>
      <c r="AA2" s="17" t="s">
        <v>460</v>
      </c>
      <c r="AB2" s="17" t="s">
        <v>460</v>
      </c>
      <c r="AC2" s="17" t="s">
        <v>460</v>
      </c>
      <c r="AD2" s="17" t="s">
        <v>460</v>
      </c>
      <c r="AE2" s="1" t="s">
        <v>730</v>
      </c>
      <c r="AF2" s="1" t="s">
        <v>730</v>
      </c>
      <c r="AG2" s="17" t="s">
        <v>460</v>
      </c>
      <c r="AH2" s="17" t="s">
        <v>460</v>
      </c>
      <c r="AI2" s="17" t="s">
        <v>460</v>
      </c>
      <c r="AJ2" s="17" t="s">
        <v>460</v>
      </c>
      <c r="AK2" s="17" t="s">
        <v>460</v>
      </c>
      <c r="AL2" s="17" t="s">
        <v>460</v>
      </c>
      <c r="AM2" s="17" t="s">
        <v>460</v>
      </c>
      <c r="AN2" s="17" t="s">
        <v>460</v>
      </c>
      <c r="AO2" s="17" t="s">
        <v>460</v>
      </c>
      <c r="AP2" s="17" t="s">
        <v>460</v>
      </c>
      <c r="AQ2" s="17" t="s">
        <v>460</v>
      </c>
      <c r="AR2" s="17" t="s">
        <v>460</v>
      </c>
      <c r="AS2" s="17" t="s">
        <v>460</v>
      </c>
      <c r="AT2" s="17" t="s">
        <v>460</v>
      </c>
      <c r="AU2" s="17" t="s">
        <v>460</v>
      </c>
      <c r="AV2" s="17" t="s">
        <v>460</v>
      </c>
      <c r="AW2" s="17" t="s">
        <v>460</v>
      </c>
      <c r="AX2" s="17" t="s">
        <v>460</v>
      </c>
      <c r="AY2" s="17" t="s">
        <v>460</v>
      </c>
      <c r="AZ2" s="17" t="s">
        <v>460</v>
      </c>
      <c r="BA2" s="17" t="s">
        <v>460</v>
      </c>
      <c r="BB2" s="17" t="s">
        <v>460</v>
      </c>
      <c r="BC2" s="17" t="s">
        <v>460</v>
      </c>
      <c r="BD2" s="17" t="s">
        <v>460</v>
      </c>
      <c r="BE2" s="17" t="s">
        <v>460</v>
      </c>
      <c r="BF2" s="17" t="s">
        <v>460</v>
      </c>
      <c r="BG2" s="17" t="s">
        <v>460</v>
      </c>
      <c r="BH2" s="17" t="s">
        <v>460</v>
      </c>
      <c r="BI2" s="17" t="s">
        <v>460</v>
      </c>
      <c r="BJ2" s="17" t="s">
        <v>460</v>
      </c>
      <c r="BK2" s="17" t="s">
        <v>460</v>
      </c>
      <c r="BL2" s="17" t="s">
        <v>460</v>
      </c>
      <c r="BM2" s="17" t="s">
        <v>460</v>
      </c>
      <c r="BN2" s="298" t="s">
        <v>731</v>
      </c>
      <c r="BO2" s="298" t="s">
        <v>731</v>
      </c>
      <c r="BP2" s="298" t="s">
        <v>732</v>
      </c>
      <c r="BQ2" s="298" t="s">
        <v>732</v>
      </c>
      <c r="BR2" s="298" t="s">
        <v>733</v>
      </c>
      <c r="BS2" s="298" t="s">
        <v>733</v>
      </c>
      <c r="BT2" s="17" t="s">
        <v>6667</v>
      </c>
      <c r="BU2" s="299" t="s">
        <v>6667</v>
      </c>
      <c r="BV2" s="299" t="s">
        <v>6667</v>
      </c>
      <c r="BW2" s="17" t="s">
        <v>6668</v>
      </c>
      <c r="BX2" s="299" t="s">
        <v>6668</v>
      </c>
      <c r="BY2" s="299" t="s">
        <v>6668</v>
      </c>
      <c r="BZ2" s="17" t="s">
        <v>6669</v>
      </c>
      <c r="CA2" s="299" t="s">
        <v>6669</v>
      </c>
      <c r="CB2" s="299" t="s">
        <v>6669</v>
      </c>
    </row>
    <row r="3" spans="1:80" ht="30" hidden="1">
      <c r="A3" s="17" t="s">
        <v>17</v>
      </c>
      <c r="B3" s="17" t="s">
        <v>734</v>
      </c>
      <c r="C3" s="17" t="s">
        <v>734</v>
      </c>
      <c r="D3" s="17" t="s">
        <v>734</v>
      </c>
      <c r="E3" s="17" t="s">
        <v>734</v>
      </c>
      <c r="F3" s="17" t="s">
        <v>734</v>
      </c>
      <c r="G3" s="17" t="s">
        <v>734</v>
      </c>
      <c r="H3" s="17" t="s">
        <v>734</v>
      </c>
      <c r="I3" s="17" t="s">
        <v>734</v>
      </c>
      <c r="J3" s="17" t="s">
        <v>734</v>
      </c>
      <c r="K3" s="17" t="s">
        <v>734</v>
      </c>
      <c r="L3" s="17" t="s">
        <v>734</v>
      </c>
      <c r="M3" s="17" t="s">
        <v>734</v>
      </c>
      <c r="N3" s="17" t="s">
        <v>734</v>
      </c>
      <c r="O3" s="17" t="s">
        <v>734</v>
      </c>
      <c r="P3" s="17" t="s">
        <v>734</v>
      </c>
      <c r="Q3" s="17" t="s">
        <v>734</v>
      </c>
      <c r="R3" s="17" t="s">
        <v>734</v>
      </c>
      <c r="S3" s="17" t="s">
        <v>734</v>
      </c>
      <c r="T3" s="17" t="s">
        <v>734</v>
      </c>
      <c r="U3" s="17" t="s">
        <v>734</v>
      </c>
      <c r="V3" s="17" t="s">
        <v>734</v>
      </c>
      <c r="W3" s="17" t="s">
        <v>734</v>
      </c>
      <c r="X3" s="17" t="s">
        <v>734</v>
      </c>
      <c r="Y3" s="17" t="s">
        <v>734</v>
      </c>
      <c r="Z3" s="17" t="s">
        <v>734</v>
      </c>
      <c r="AA3" s="17" t="s">
        <v>734</v>
      </c>
      <c r="AB3" s="17" t="s">
        <v>734</v>
      </c>
      <c r="AC3" s="17" t="s">
        <v>734</v>
      </c>
      <c r="AD3" s="17" t="s">
        <v>734</v>
      </c>
      <c r="AE3" s="1" t="s">
        <v>182</v>
      </c>
      <c r="AF3" s="1" t="s">
        <v>33</v>
      </c>
      <c r="AG3" s="17" t="s">
        <v>19</v>
      </c>
      <c r="AH3" s="17" t="s">
        <v>19</v>
      </c>
      <c r="AI3" s="17" t="s">
        <v>19</v>
      </c>
      <c r="AJ3" s="17" t="s">
        <v>19</v>
      </c>
      <c r="AK3" s="17" t="s">
        <v>19</v>
      </c>
      <c r="AL3" s="17" t="s">
        <v>19</v>
      </c>
      <c r="AM3" s="17" t="s">
        <v>19</v>
      </c>
      <c r="AN3" s="17" t="s">
        <v>19</v>
      </c>
      <c r="AO3" s="17" t="s">
        <v>19</v>
      </c>
      <c r="AP3" s="17" t="s">
        <v>19</v>
      </c>
      <c r="AQ3" s="17" t="s">
        <v>19</v>
      </c>
      <c r="AR3" s="17" t="s">
        <v>19</v>
      </c>
      <c r="AS3" s="17" t="s">
        <v>19</v>
      </c>
      <c r="AT3" s="17" t="s">
        <v>19</v>
      </c>
      <c r="AU3" s="17" t="s">
        <v>19</v>
      </c>
      <c r="AV3" s="17" t="s">
        <v>19</v>
      </c>
      <c r="AW3" s="17" t="s">
        <v>19</v>
      </c>
      <c r="AX3" s="17" t="s">
        <v>19</v>
      </c>
      <c r="AY3" s="17" t="s">
        <v>19</v>
      </c>
      <c r="AZ3" s="17" t="s">
        <v>19</v>
      </c>
      <c r="BA3" s="17" t="s">
        <v>19</v>
      </c>
      <c r="BB3" s="17" t="s">
        <v>19</v>
      </c>
      <c r="BC3" s="17" t="s">
        <v>19</v>
      </c>
      <c r="BD3" s="17" t="s">
        <v>19</v>
      </c>
      <c r="BE3" s="17" t="s">
        <v>19</v>
      </c>
      <c r="BF3" s="17" t="s">
        <v>19</v>
      </c>
      <c r="BG3" s="17" t="s">
        <v>19</v>
      </c>
      <c r="BH3" s="17" t="s">
        <v>19</v>
      </c>
      <c r="BI3" s="17" t="s">
        <v>19</v>
      </c>
      <c r="BJ3" s="17" t="s">
        <v>735</v>
      </c>
      <c r="BK3" s="17" t="s">
        <v>735</v>
      </c>
      <c r="BL3" s="17" t="s">
        <v>736</v>
      </c>
      <c r="BM3" s="17" t="s">
        <v>736</v>
      </c>
      <c r="BN3" s="299" t="s">
        <v>1477</v>
      </c>
      <c r="BO3" s="298" t="s">
        <v>1480</v>
      </c>
      <c r="BP3" s="299" t="s">
        <v>1477</v>
      </c>
      <c r="BQ3" s="298" t="s">
        <v>1480</v>
      </c>
      <c r="BR3" s="299" t="s">
        <v>1477</v>
      </c>
      <c r="BS3" s="298" t="s">
        <v>1480</v>
      </c>
      <c r="BT3" s="17" t="s">
        <v>6675</v>
      </c>
      <c r="BU3" s="299" t="s">
        <v>1478</v>
      </c>
      <c r="BV3" s="298" t="s">
        <v>1480</v>
      </c>
      <c r="BW3" s="17" t="s">
        <v>6675</v>
      </c>
      <c r="BX3" s="299" t="s">
        <v>1478</v>
      </c>
      <c r="BY3" s="298" t="s">
        <v>1480</v>
      </c>
      <c r="BZ3" s="17" t="s">
        <v>6675</v>
      </c>
      <c r="CA3" s="299" t="s">
        <v>1478</v>
      </c>
      <c r="CB3" s="298" t="s">
        <v>1480</v>
      </c>
    </row>
    <row r="4" spans="1:80" ht="30" hidden="1">
      <c r="A4" s="17" t="s">
        <v>27</v>
      </c>
      <c r="B4" s="17" t="s">
        <v>28</v>
      </c>
      <c r="C4" s="17" t="s">
        <v>28</v>
      </c>
      <c r="D4" s="17" t="s">
        <v>28</v>
      </c>
      <c r="E4" s="17" t="s">
        <v>28</v>
      </c>
      <c r="F4" s="17" t="s">
        <v>28</v>
      </c>
      <c r="G4" s="17" t="s">
        <v>28</v>
      </c>
      <c r="H4" s="17" t="s">
        <v>28</v>
      </c>
      <c r="I4" s="17" t="s">
        <v>28</v>
      </c>
      <c r="J4" s="17" t="s">
        <v>28</v>
      </c>
      <c r="K4" s="17" t="s">
        <v>28</v>
      </c>
      <c r="L4" s="17" t="s">
        <v>28</v>
      </c>
      <c r="M4" s="17" t="s">
        <v>28</v>
      </c>
      <c r="N4" s="17" t="s">
        <v>28</v>
      </c>
      <c r="O4" s="17" t="s">
        <v>28</v>
      </c>
      <c r="P4" s="17" t="s">
        <v>28</v>
      </c>
      <c r="Q4" s="17" t="s">
        <v>28</v>
      </c>
      <c r="R4" s="17" t="s">
        <v>28</v>
      </c>
      <c r="S4" s="17" t="s">
        <v>28</v>
      </c>
      <c r="T4" s="17" t="s">
        <v>28</v>
      </c>
      <c r="U4" s="17" t="s">
        <v>28</v>
      </c>
      <c r="V4" s="17" t="s">
        <v>28</v>
      </c>
      <c r="W4" s="17" t="s">
        <v>28</v>
      </c>
      <c r="X4" s="17" t="s">
        <v>28</v>
      </c>
      <c r="Y4" s="17" t="s">
        <v>28</v>
      </c>
      <c r="Z4" s="17" t="s">
        <v>28</v>
      </c>
      <c r="AA4" s="17" t="s">
        <v>28</v>
      </c>
      <c r="AB4" s="17" t="s">
        <v>28</v>
      </c>
      <c r="AC4" s="17" t="s">
        <v>28</v>
      </c>
      <c r="AD4" s="17" t="s">
        <v>28</v>
      </c>
      <c r="AE4" s="1" t="s">
        <v>31</v>
      </c>
      <c r="AF4" s="1" t="s">
        <v>31</v>
      </c>
      <c r="AG4" s="17" t="s">
        <v>28</v>
      </c>
      <c r="AH4" s="17" t="s">
        <v>28</v>
      </c>
      <c r="AI4" s="17" t="s">
        <v>28</v>
      </c>
      <c r="AJ4" s="17" t="s">
        <v>28</v>
      </c>
      <c r="AK4" s="17" t="s">
        <v>28</v>
      </c>
      <c r="AL4" s="17" t="s">
        <v>28</v>
      </c>
      <c r="AM4" s="17" t="s">
        <v>28</v>
      </c>
      <c r="AN4" s="17" t="s">
        <v>28</v>
      </c>
      <c r="AO4" s="17" t="s">
        <v>28</v>
      </c>
      <c r="AP4" s="17" t="s">
        <v>28</v>
      </c>
      <c r="AQ4" s="17" t="s">
        <v>28</v>
      </c>
      <c r="AR4" s="17" t="s">
        <v>28</v>
      </c>
      <c r="AS4" s="17" t="s">
        <v>28</v>
      </c>
      <c r="AT4" s="17" t="s">
        <v>28</v>
      </c>
      <c r="AU4" s="17" t="s">
        <v>28</v>
      </c>
      <c r="AV4" s="17" t="s">
        <v>28</v>
      </c>
      <c r="AW4" s="17" t="s">
        <v>28</v>
      </c>
      <c r="AX4" s="17" t="s">
        <v>28</v>
      </c>
      <c r="AY4" s="17" t="s">
        <v>28</v>
      </c>
      <c r="AZ4" s="17" t="s">
        <v>28</v>
      </c>
      <c r="BA4" s="17" t="s">
        <v>28</v>
      </c>
      <c r="BB4" s="17" t="s">
        <v>28</v>
      </c>
      <c r="BC4" s="17" t="s">
        <v>28</v>
      </c>
      <c r="BD4" s="17" t="s">
        <v>28</v>
      </c>
      <c r="BE4" s="17" t="s">
        <v>28</v>
      </c>
      <c r="BF4" s="17" t="s">
        <v>28</v>
      </c>
      <c r="BG4" s="17" t="s">
        <v>28</v>
      </c>
      <c r="BH4" s="17" t="s">
        <v>28</v>
      </c>
      <c r="BI4" s="17" t="s">
        <v>28</v>
      </c>
      <c r="BJ4" s="17" t="s">
        <v>29</v>
      </c>
      <c r="BK4" s="17" t="s">
        <v>30</v>
      </c>
      <c r="BL4" s="17" t="s">
        <v>29</v>
      </c>
      <c r="BM4" s="17" t="s">
        <v>30</v>
      </c>
      <c r="BN4" s="299" t="s">
        <v>31</v>
      </c>
      <c r="BO4" s="299" t="s">
        <v>31</v>
      </c>
      <c r="BP4" s="299" t="s">
        <v>31</v>
      </c>
      <c r="BQ4" s="299" t="s">
        <v>31</v>
      </c>
      <c r="BR4" s="299" t="s">
        <v>31</v>
      </c>
      <c r="BS4" s="299" t="s">
        <v>31</v>
      </c>
      <c r="BT4" s="17" t="s">
        <v>31</v>
      </c>
      <c r="BU4" s="299" t="s">
        <v>31</v>
      </c>
      <c r="BV4" s="299" t="s">
        <v>31</v>
      </c>
      <c r="BW4" s="17" t="s">
        <v>31</v>
      </c>
      <c r="BX4" s="299" t="s">
        <v>31</v>
      </c>
      <c r="BY4" s="299" t="s">
        <v>31</v>
      </c>
      <c r="BZ4" s="17" t="s">
        <v>31</v>
      </c>
      <c r="CA4" s="299" t="s">
        <v>31</v>
      </c>
      <c r="CB4" s="299" t="s">
        <v>31</v>
      </c>
    </row>
    <row r="5" spans="1:80" ht="15" hidden="1">
      <c r="A5" s="17" t="s">
        <v>32</v>
      </c>
      <c r="B5" s="17" t="s">
        <v>33</v>
      </c>
      <c r="C5" s="17" t="s">
        <v>33</v>
      </c>
      <c r="D5" s="17" t="s">
        <v>33</v>
      </c>
      <c r="E5" s="17" t="s">
        <v>33</v>
      </c>
      <c r="F5" s="17" t="s">
        <v>33</v>
      </c>
      <c r="G5" s="17" t="s">
        <v>33</v>
      </c>
      <c r="H5" s="17" t="s">
        <v>33</v>
      </c>
      <c r="I5" s="17" t="s">
        <v>33</v>
      </c>
      <c r="J5" s="17" t="s">
        <v>33</v>
      </c>
      <c r="K5" s="17" t="s">
        <v>33</v>
      </c>
      <c r="L5" s="17" t="s">
        <v>33</v>
      </c>
      <c r="M5" s="17" t="s">
        <v>33</v>
      </c>
      <c r="N5" s="17" t="s">
        <v>33</v>
      </c>
      <c r="O5" s="17" t="s">
        <v>33</v>
      </c>
      <c r="P5" s="17" t="s">
        <v>33</v>
      </c>
      <c r="Q5" s="17" t="s">
        <v>33</v>
      </c>
      <c r="R5" s="17" t="s">
        <v>33</v>
      </c>
      <c r="S5" s="17" t="s">
        <v>33</v>
      </c>
      <c r="T5" s="17" t="s">
        <v>33</v>
      </c>
      <c r="U5" s="17" t="s">
        <v>33</v>
      </c>
      <c r="V5" s="17" t="s">
        <v>33</v>
      </c>
      <c r="W5" s="17" t="s">
        <v>33</v>
      </c>
      <c r="X5" s="17" t="s">
        <v>33</v>
      </c>
      <c r="Y5" s="17" t="s">
        <v>33</v>
      </c>
      <c r="Z5" s="17" t="s">
        <v>33</v>
      </c>
      <c r="AA5" s="17" t="s">
        <v>33</v>
      </c>
      <c r="AB5" s="17" t="s">
        <v>33</v>
      </c>
      <c r="AC5" s="17" t="s">
        <v>33</v>
      </c>
      <c r="AD5" s="17" t="s">
        <v>33</v>
      </c>
      <c r="AG5" s="17" t="s">
        <v>33</v>
      </c>
      <c r="AH5" s="17" t="s">
        <v>33</v>
      </c>
      <c r="AI5" s="17" t="s">
        <v>33</v>
      </c>
      <c r="AJ5" s="17" t="s">
        <v>33</v>
      </c>
      <c r="AK5" s="17" t="s">
        <v>33</v>
      </c>
      <c r="AL5" s="17" t="s">
        <v>33</v>
      </c>
      <c r="AM5" s="17" t="s">
        <v>33</v>
      </c>
      <c r="AN5" s="17" t="s">
        <v>33</v>
      </c>
      <c r="AO5" s="17" t="s">
        <v>33</v>
      </c>
      <c r="AP5" s="17" t="s">
        <v>33</v>
      </c>
      <c r="AQ5" s="17" t="s">
        <v>33</v>
      </c>
      <c r="AR5" s="17" t="s">
        <v>33</v>
      </c>
      <c r="AS5" s="17" t="s">
        <v>33</v>
      </c>
      <c r="AT5" s="17" t="s">
        <v>33</v>
      </c>
      <c r="AU5" s="17" t="s">
        <v>33</v>
      </c>
      <c r="AV5" s="17" t="s">
        <v>33</v>
      </c>
      <c r="AW5" s="17" t="s">
        <v>33</v>
      </c>
      <c r="AX5" s="17" t="s">
        <v>33</v>
      </c>
      <c r="AY5" s="17" t="s">
        <v>33</v>
      </c>
      <c r="AZ5" s="17" t="s">
        <v>33</v>
      </c>
      <c r="BA5" s="17" t="s">
        <v>33</v>
      </c>
      <c r="BB5" s="17" t="s">
        <v>33</v>
      </c>
      <c r="BC5" s="17" t="s">
        <v>33</v>
      </c>
      <c r="BD5" s="17" t="s">
        <v>33</v>
      </c>
      <c r="BE5" s="17" t="s">
        <v>33</v>
      </c>
      <c r="BF5" s="17" t="s">
        <v>33</v>
      </c>
      <c r="BG5" s="17" t="s">
        <v>33</v>
      </c>
      <c r="BH5" s="17" t="s">
        <v>33</v>
      </c>
      <c r="BI5" s="17" t="s">
        <v>33</v>
      </c>
      <c r="BJ5" s="17"/>
      <c r="BK5" s="17" t="s">
        <v>34</v>
      </c>
      <c r="BL5" s="17"/>
      <c r="BM5" s="17" t="s">
        <v>34</v>
      </c>
      <c r="BN5" s="17"/>
      <c r="BO5" s="299"/>
      <c r="BP5" s="17"/>
      <c r="BQ5" s="299"/>
      <c r="BR5" s="17"/>
      <c r="BS5" s="301"/>
      <c r="BT5" s="17"/>
      <c r="BU5" s="299"/>
      <c r="BV5" s="299"/>
      <c r="BW5" s="17"/>
      <c r="BX5" s="299"/>
      <c r="BY5" s="299"/>
      <c r="BZ5" s="17"/>
      <c r="CA5" s="299"/>
      <c r="CB5" s="299"/>
    </row>
    <row r="6" spans="1:80" ht="15" hidden="1">
      <c r="A6" s="17" t="s">
        <v>39</v>
      </c>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299"/>
      <c r="BP6" s="17"/>
      <c r="BQ6" s="299"/>
      <c r="BR6" s="17"/>
      <c r="BS6" s="301"/>
      <c r="BT6" s="17"/>
      <c r="BU6" s="299"/>
      <c r="BV6" s="299"/>
      <c r="BW6" s="17"/>
      <c r="BX6" s="299"/>
      <c r="BY6" s="299"/>
      <c r="BZ6" s="17"/>
      <c r="CA6" s="299"/>
      <c r="CB6" s="299"/>
    </row>
    <row r="7" spans="1:80" ht="15" hidden="1">
      <c r="A7" s="17" t="s">
        <v>40</v>
      </c>
      <c r="B7" s="17" t="s">
        <v>9</v>
      </c>
      <c r="C7" s="1" t="s">
        <v>41</v>
      </c>
      <c r="D7" s="1" t="s">
        <v>42</v>
      </c>
      <c r="E7" s="1" t="s">
        <v>43</v>
      </c>
      <c r="F7" s="1" t="s">
        <v>44</v>
      </c>
      <c r="G7" s="1" t="s">
        <v>45</v>
      </c>
      <c r="H7" s="1" t="s">
        <v>46</v>
      </c>
      <c r="I7" s="1" t="s">
        <v>47</v>
      </c>
      <c r="J7" s="1" t="s">
        <v>48</v>
      </c>
      <c r="K7" s="1" t="s">
        <v>49</v>
      </c>
      <c r="L7" s="1" t="s">
        <v>50</v>
      </c>
      <c r="M7" s="1" t="s">
        <v>51</v>
      </c>
      <c r="N7" s="1" t="s">
        <v>52</v>
      </c>
      <c r="O7" s="1" t="s">
        <v>53</v>
      </c>
      <c r="P7" s="1" t="s">
        <v>54</v>
      </c>
      <c r="Q7" s="1" t="s">
        <v>55</v>
      </c>
      <c r="R7" s="1" t="s">
        <v>56</v>
      </c>
      <c r="S7" s="1" t="s">
        <v>5676</v>
      </c>
      <c r="T7" s="1" t="s">
        <v>57</v>
      </c>
      <c r="U7" s="1" t="s">
        <v>58</v>
      </c>
      <c r="V7" s="1" t="s">
        <v>59</v>
      </c>
      <c r="W7" s="1" t="s">
        <v>60</v>
      </c>
      <c r="X7" s="1" t="s">
        <v>61</v>
      </c>
      <c r="Y7" s="1" t="s">
        <v>62</v>
      </c>
      <c r="Z7" s="1" t="s">
        <v>63</v>
      </c>
      <c r="AA7" s="1" t="s">
        <v>64</v>
      </c>
      <c r="AB7" s="1" t="s">
        <v>5677</v>
      </c>
      <c r="AC7" s="1" t="s">
        <v>65</v>
      </c>
      <c r="AD7" s="1" t="s">
        <v>5674</v>
      </c>
      <c r="AG7" s="17" t="s">
        <v>9</v>
      </c>
      <c r="AH7" s="1" t="s">
        <v>41</v>
      </c>
      <c r="AI7" s="1" t="s">
        <v>42</v>
      </c>
      <c r="AJ7" s="1" t="s">
        <v>43</v>
      </c>
      <c r="AK7" s="1" t="s">
        <v>44</v>
      </c>
      <c r="AL7" s="1" t="s">
        <v>45</v>
      </c>
      <c r="AM7" s="1" t="s">
        <v>46</v>
      </c>
      <c r="AN7" s="1" t="s">
        <v>47</v>
      </c>
      <c r="AO7" s="1" t="s">
        <v>48</v>
      </c>
      <c r="AP7" s="1" t="s">
        <v>49</v>
      </c>
      <c r="AQ7" s="1" t="s">
        <v>50</v>
      </c>
      <c r="AR7" s="1" t="s">
        <v>51</v>
      </c>
      <c r="AS7" s="1" t="s">
        <v>52</v>
      </c>
      <c r="AT7" s="1" t="s">
        <v>53</v>
      </c>
      <c r="AU7" s="1" t="s">
        <v>54</v>
      </c>
      <c r="AV7" s="1" t="s">
        <v>55</v>
      </c>
      <c r="AW7" s="1" t="s">
        <v>56</v>
      </c>
      <c r="AX7" s="1" t="s">
        <v>5676</v>
      </c>
      <c r="AY7" s="1" t="s">
        <v>57</v>
      </c>
      <c r="AZ7" s="1" t="s">
        <v>58</v>
      </c>
      <c r="BA7" s="1" t="s">
        <v>59</v>
      </c>
      <c r="BB7" s="1" t="s">
        <v>60</v>
      </c>
      <c r="BC7" s="1" t="s">
        <v>61</v>
      </c>
      <c r="BD7" s="1" t="s">
        <v>62</v>
      </c>
      <c r="BE7" s="1" t="s">
        <v>63</v>
      </c>
      <c r="BF7" s="1" t="s">
        <v>64</v>
      </c>
      <c r="BG7" s="1" t="s">
        <v>5677</v>
      </c>
      <c r="BH7" s="1" t="s">
        <v>65</v>
      </c>
      <c r="BI7" s="1" t="s">
        <v>5674</v>
      </c>
      <c r="BJ7" s="17"/>
      <c r="BK7" s="17"/>
      <c r="BL7" s="17"/>
      <c r="BM7" s="17"/>
      <c r="BN7" s="17"/>
      <c r="BO7" s="299"/>
      <c r="BP7" s="17"/>
      <c r="BQ7" s="299"/>
      <c r="BR7" s="17"/>
      <c r="BS7" s="301"/>
      <c r="BT7" s="17"/>
      <c r="BU7" s="299" t="s">
        <v>9</v>
      </c>
      <c r="BV7" s="299"/>
      <c r="BW7" s="17"/>
      <c r="BX7" s="298" t="s">
        <v>9</v>
      </c>
      <c r="BY7" s="298"/>
      <c r="BZ7" s="17"/>
      <c r="CA7" s="302" t="s">
        <v>9</v>
      </c>
      <c r="CB7" s="299"/>
    </row>
    <row r="8" spans="1:80" ht="30">
      <c r="A8" s="5" t="s">
        <v>1483</v>
      </c>
      <c r="B8" s="236" t="s">
        <v>67</v>
      </c>
      <c r="C8" s="18" t="s">
        <v>6301</v>
      </c>
      <c r="D8" s="18" t="s">
        <v>6302</v>
      </c>
      <c r="E8" s="18" t="s">
        <v>6303</v>
      </c>
      <c r="F8" s="18" t="s">
        <v>6304</v>
      </c>
      <c r="G8" s="18" t="s">
        <v>6305</v>
      </c>
      <c r="H8" s="18" t="s">
        <v>6306</v>
      </c>
      <c r="I8" s="18" t="s">
        <v>6307</v>
      </c>
      <c r="J8" s="18" t="s">
        <v>6308</v>
      </c>
      <c r="K8" s="18" t="s">
        <v>6309</v>
      </c>
      <c r="L8" s="18" t="s">
        <v>6310</v>
      </c>
      <c r="M8" s="18" t="s">
        <v>6311</v>
      </c>
      <c r="N8" s="18" t="s">
        <v>6312</v>
      </c>
      <c r="O8" s="18" t="s">
        <v>6493</v>
      </c>
      <c r="P8" s="18" t="s">
        <v>6314</v>
      </c>
      <c r="Q8" s="18" t="s">
        <v>6315</v>
      </c>
      <c r="R8" s="18" t="s">
        <v>6316</v>
      </c>
      <c r="S8" s="18" t="s">
        <v>6317</v>
      </c>
      <c r="T8" s="18" t="s">
        <v>6318</v>
      </c>
      <c r="U8" s="18" t="s">
        <v>6303</v>
      </c>
      <c r="V8" s="18" t="s">
        <v>6320</v>
      </c>
      <c r="W8" s="18" t="s">
        <v>6321</v>
      </c>
      <c r="X8" s="18" t="s">
        <v>6322</v>
      </c>
      <c r="Y8" s="18" t="s">
        <v>6318</v>
      </c>
      <c r="Z8" s="18" t="s">
        <v>6323</v>
      </c>
      <c r="AA8" s="18" t="s">
        <v>6494</v>
      </c>
      <c r="AB8" s="18" t="s">
        <v>6311</v>
      </c>
      <c r="AC8" s="18" t="s">
        <v>6324</v>
      </c>
      <c r="AD8" s="18" t="s">
        <v>6325</v>
      </c>
      <c r="AE8" s="278" t="s">
        <v>737</v>
      </c>
      <c r="AF8" s="279" t="s">
        <v>738</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6495</v>
      </c>
      <c r="AU8" s="18" t="s">
        <v>6338</v>
      </c>
      <c r="AV8" s="18" t="s">
        <v>6339</v>
      </c>
      <c r="AW8" s="18" t="s">
        <v>6340</v>
      </c>
      <c r="AX8" s="18" t="s">
        <v>6341</v>
      </c>
      <c r="AY8" s="18" t="s">
        <v>6342</v>
      </c>
      <c r="AZ8" s="18" t="s">
        <v>6496</v>
      </c>
      <c r="BA8" s="18" t="s">
        <v>6328</v>
      </c>
      <c r="BB8" s="18" t="s">
        <v>6335</v>
      </c>
      <c r="BC8" s="18" t="s">
        <v>6344</v>
      </c>
      <c r="BD8" s="18" t="s">
        <v>6345</v>
      </c>
      <c r="BE8" s="18" t="s">
        <v>6335</v>
      </c>
      <c r="BF8" s="18" t="s">
        <v>6335</v>
      </c>
      <c r="BG8" s="18" t="s">
        <v>6335</v>
      </c>
      <c r="BH8" s="18" t="s">
        <v>6346</v>
      </c>
      <c r="BI8" s="18" t="s">
        <v>6347</v>
      </c>
      <c r="BJ8" s="18" t="s">
        <v>739</v>
      </c>
      <c r="BK8" s="18"/>
      <c r="BL8" s="18" t="s">
        <v>740</v>
      </c>
      <c r="BM8" s="18"/>
      <c r="BN8" s="18" t="s">
        <v>6676</v>
      </c>
      <c r="BO8" s="18" t="s">
        <v>6679</v>
      </c>
      <c r="BP8" s="18" t="s">
        <v>6676</v>
      </c>
      <c r="BQ8" s="18" t="s">
        <v>6680</v>
      </c>
      <c r="BR8" s="18" t="s">
        <v>6676</v>
      </c>
      <c r="BS8" s="18" t="s">
        <v>6681</v>
      </c>
      <c r="BT8" s="18" t="s">
        <v>6685</v>
      </c>
      <c r="BU8" s="18" t="s">
        <v>6687</v>
      </c>
      <c r="BV8" s="18" t="s">
        <v>6688</v>
      </c>
      <c r="BW8" s="18" t="s">
        <v>6685</v>
      </c>
      <c r="BX8" s="18" t="s">
        <v>6689</v>
      </c>
      <c r="BY8" s="18" t="s">
        <v>6690</v>
      </c>
      <c r="BZ8" s="18" t="s">
        <v>6685</v>
      </c>
      <c r="CA8" s="18" t="s">
        <v>6691</v>
      </c>
      <c r="CB8" s="18" t="s">
        <v>6692</v>
      </c>
    </row>
    <row r="9" spans="1:80" ht="56.25">
      <c r="A9" s="74" t="s">
        <v>66</v>
      </c>
      <c r="B9" s="25" t="s">
        <v>6011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6012</v>
      </c>
      <c r="AG9" s="25" t="s">
        <v>741</v>
      </c>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6013</v>
      </c>
      <c r="BK9" s="25"/>
      <c r="BL9" s="25" t="s">
        <v>6014</v>
      </c>
      <c r="BM9" s="25"/>
      <c r="BN9" s="25"/>
      <c r="BO9" s="25" t="s">
        <v>742</v>
      </c>
      <c r="BP9" s="25"/>
      <c r="BQ9" s="25" t="s">
        <v>742</v>
      </c>
      <c r="BR9" s="25"/>
      <c r="BS9" s="25" t="s">
        <v>742</v>
      </c>
      <c r="BT9" s="25" t="s">
        <v>6686</v>
      </c>
      <c r="BU9" s="25" t="s">
        <v>6693</v>
      </c>
      <c r="BV9" s="25" t="s">
        <v>6670</v>
      </c>
      <c r="BW9" s="25" t="s">
        <v>6686</v>
      </c>
      <c r="BX9" s="25" t="s">
        <v>6693</v>
      </c>
      <c r="BY9" s="25" t="s">
        <v>6670</v>
      </c>
      <c r="BZ9" s="25" t="s">
        <v>6686</v>
      </c>
      <c r="CA9" s="25" t="s">
        <v>6693</v>
      </c>
      <c r="CB9" s="25" t="s">
        <v>6670</v>
      </c>
    </row>
    <row r="10" spans="1:80" ht="15.75" thickBot="1">
      <c r="A10" s="20" t="s">
        <v>40</v>
      </c>
      <c r="B10" s="24" t="s">
        <v>10</v>
      </c>
      <c r="C10" s="9" t="s">
        <v>78</v>
      </c>
      <c r="D10" s="9" t="s">
        <v>79</v>
      </c>
      <c r="E10" s="9" t="s">
        <v>80</v>
      </c>
      <c r="F10" s="9" t="s">
        <v>81</v>
      </c>
      <c r="G10" s="9" t="s">
        <v>82</v>
      </c>
      <c r="H10" s="9" t="s">
        <v>83</v>
      </c>
      <c r="I10" s="9" t="s">
        <v>84</v>
      </c>
      <c r="J10" s="9" t="s">
        <v>85</v>
      </c>
      <c r="K10" s="9" t="s">
        <v>86</v>
      </c>
      <c r="L10" s="9" t="s">
        <v>87</v>
      </c>
      <c r="M10" s="9" t="s">
        <v>88</v>
      </c>
      <c r="N10" s="9" t="s">
        <v>89</v>
      </c>
      <c r="O10" s="9" t="s">
        <v>90</v>
      </c>
      <c r="P10" s="9" t="s">
        <v>91</v>
      </c>
      <c r="Q10" s="9" t="s">
        <v>92</v>
      </c>
      <c r="R10" s="9" t="s">
        <v>93</v>
      </c>
      <c r="S10" s="9" t="s">
        <v>5675</v>
      </c>
      <c r="T10" s="9" t="s">
        <v>94</v>
      </c>
      <c r="U10" s="9" t="s">
        <v>12</v>
      </c>
      <c r="V10" s="9" t="s">
        <v>95</v>
      </c>
      <c r="W10" s="9" t="s">
        <v>96</v>
      </c>
      <c r="X10" s="9" t="s">
        <v>97</v>
      </c>
      <c r="Y10" s="9" t="s">
        <v>98</v>
      </c>
      <c r="Z10" s="9" t="s">
        <v>99</v>
      </c>
      <c r="AA10" s="9" t="s">
        <v>100</v>
      </c>
      <c r="AB10" s="9" t="s">
        <v>5678</v>
      </c>
      <c r="AC10" s="9" t="s">
        <v>101</v>
      </c>
      <c r="AD10" s="9" t="s">
        <v>5679</v>
      </c>
      <c r="AE10" s="9"/>
      <c r="AF10" s="9"/>
      <c r="AG10" s="24" t="s">
        <v>10</v>
      </c>
      <c r="AH10" s="9" t="s">
        <v>78</v>
      </c>
      <c r="AI10" s="9" t="s">
        <v>79</v>
      </c>
      <c r="AJ10" s="9" t="s">
        <v>80</v>
      </c>
      <c r="AK10" s="9" t="s">
        <v>81</v>
      </c>
      <c r="AL10" s="9" t="s">
        <v>82</v>
      </c>
      <c r="AM10" s="9" t="s">
        <v>83</v>
      </c>
      <c r="AN10" s="9" t="s">
        <v>84</v>
      </c>
      <c r="AO10" s="9" t="s">
        <v>85</v>
      </c>
      <c r="AP10" s="9" t="s">
        <v>86</v>
      </c>
      <c r="AQ10" s="9" t="s">
        <v>87</v>
      </c>
      <c r="AR10" s="9" t="s">
        <v>88</v>
      </c>
      <c r="AS10" s="9" t="s">
        <v>89</v>
      </c>
      <c r="AT10" s="9" t="s">
        <v>90</v>
      </c>
      <c r="AU10" s="9" t="s">
        <v>91</v>
      </c>
      <c r="AV10" s="9" t="s">
        <v>92</v>
      </c>
      <c r="AW10" s="9" t="s">
        <v>93</v>
      </c>
      <c r="AX10" s="9" t="s">
        <v>5675</v>
      </c>
      <c r="AY10" s="9" t="s">
        <v>94</v>
      </c>
      <c r="AZ10" s="9" t="s">
        <v>12</v>
      </c>
      <c r="BA10" s="9" t="s">
        <v>95</v>
      </c>
      <c r="BB10" s="9" t="s">
        <v>96</v>
      </c>
      <c r="BC10" s="9" t="s">
        <v>97</v>
      </c>
      <c r="BD10" s="9" t="s">
        <v>98</v>
      </c>
      <c r="BE10" s="9" t="s">
        <v>99</v>
      </c>
      <c r="BF10" s="9" t="s">
        <v>100</v>
      </c>
      <c r="BG10" s="9" t="s">
        <v>5678</v>
      </c>
      <c r="BH10" s="9" t="s">
        <v>101</v>
      </c>
      <c r="BI10" s="9" t="s">
        <v>5679</v>
      </c>
      <c r="BJ10" s="24"/>
      <c r="BK10" s="24"/>
      <c r="BL10" s="24"/>
      <c r="BM10" s="24"/>
      <c r="BN10" s="24"/>
      <c r="BO10" s="24"/>
      <c r="BP10" s="24"/>
      <c r="BQ10" s="24"/>
      <c r="BR10" s="24"/>
      <c r="BS10" s="24"/>
      <c r="BT10" s="24"/>
      <c r="BU10" s="24"/>
      <c r="BV10" s="24"/>
      <c r="BW10" s="24"/>
      <c r="BX10" s="24"/>
      <c r="BY10" s="24"/>
      <c r="BZ10" s="24"/>
      <c r="CA10" s="24"/>
      <c r="CB10" s="24"/>
    </row>
    <row r="11" spans="1:80" s="203"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2"/>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300" t="s">
        <v>6678</v>
      </c>
      <c r="BO11" s="297"/>
      <c r="BP11" s="297"/>
      <c r="BQ11" s="297"/>
      <c r="BR11" s="297"/>
      <c r="BS11" s="297"/>
      <c r="BT11" s="309"/>
      <c r="BU11" s="297"/>
      <c r="BV11" s="297"/>
      <c r="BW11" s="297"/>
      <c r="BX11" s="297"/>
      <c r="BY11" s="297"/>
      <c r="BZ11" s="297"/>
      <c r="CA11" s="297"/>
      <c r="CB11" s="297"/>
    </row>
    <row r="12" spans="1:80" ht="29.1" hidden="1" customHeight="1">
      <c r="A12" s="23"/>
      <c r="B12" t="s">
        <v>743</v>
      </c>
      <c r="C12" t="s">
        <v>744</v>
      </c>
      <c r="D12" t="s">
        <v>745</v>
      </c>
      <c r="E12" t="s">
        <v>746</v>
      </c>
      <c r="F12" t="s">
        <v>747</v>
      </c>
      <c r="G12" t="s">
        <v>748</v>
      </c>
      <c r="H12" t="s">
        <v>749</v>
      </c>
      <c r="I12" t="s">
        <v>750</v>
      </c>
      <c r="J12" t="s">
        <v>751</v>
      </c>
      <c r="K12" t="s">
        <v>752</v>
      </c>
      <c r="L12" t="s">
        <v>753</v>
      </c>
      <c r="M12" t="s">
        <v>754</v>
      </c>
      <c r="N12" t="s">
        <v>755</v>
      </c>
      <c r="O12" t="s">
        <v>756</v>
      </c>
      <c r="P12" t="s">
        <v>757</v>
      </c>
      <c r="Q12" t="s">
        <v>758</v>
      </c>
      <c r="R12" t="s">
        <v>759</v>
      </c>
      <c r="S12" t="s">
        <v>5750</v>
      </c>
      <c r="T12" t="s">
        <v>760</v>
      </c>
      <c r="U12" t="s">
        <v>761</v>
      </c>
      <c r="V12" t="s">
        <v>762</v>
      </c>
      <c r="W12" t="s">
        <v>763</v>
      </c>
      <c r="X12" t="s">
        <v>764</v>
      </c>
      <c r="Y12" t="s">
        <v>765</v>
      </c>
      <c r="Z12" t="s">
        <v>766</v>
      </c>
      <c r="AA12" t="s">
        <v>767</v>
      </c>
      <c r="AB12" t="s">
        <v>5752</v>
      </c>
      <c r="AC12" t="s">
        <v>768</v>
      </c>
      <c r="AD12" t="s">
        <v>5751</v>
      </c>
      <c r="AE12" t="s">
        <v>769</v>
      </c>
      <c r="AF12" t="s">
        <v>770</v>
      </c>
      <c r="AG12" t="s">
        <v>771</v>
      </c>
      <c r="AH12" t="s">
        <v>772</v>
      </c>
      <c r="AI12" t="s">
        <v>773</v>
      </c>
      <c r="AJ12" t="s">
        <v>774</v>
      </c>
      <c r="AK12" t="s">
        <v>775</v>
      </c>
      <c r="AL12" t="s">
        <v>776</v>
      </c>
      <c r="AM12" t="s">
        <v>777</v>
      </c>
      <c r="AN12" t="s">
        <v>778</v>
      </c>
      <c r="AO12" t="s">
        <v>779</v>
      </c>
      <c r="AP12" t="s">
        <v>780</v>
      </c>
      <c r="AQ12" t="s">
        <v>781</v>
      </c>
      <c r="AR12" t="s">
        <v>782</v>
      </c>
      <c r="AS12" t="s">
        <v>783</v>
      </c>
      <c r="AT12" t="s">
        <v>784</v>
      </c>
      <c r="AU12" t="s">
        <v>785</v>
      </c>
      <c r="AV12" t="s">
        <v>786</v>
      </c>
      <c r="AW12" t="s">
        <v>787</v>
      </c>
      <c r="AX12" t="s">
        <v>5753</v>
      </c>
      <c r="AY12" t="s">
        <v>788</v>
      </c>
      <c r="AZ12" t="s">
        <v>789</v>
      </c>
      <c r="BA12" t="s">
        <v>790</v>
      </c>
      <c r="BB12" t="s">
        <v>791</v>
      </c>
      <c r="BC12" t="s">
        <v>792</v>
      </c>
      <c r="BD12" t="s">
        <v>793</v>
      </c>
      <c r="BE12" t="s">
        <v>794</v>
      </c>
      <c r="BF12" t="s">
        <v>795</v>
      </c>
      <c r="BG12" t="s">
        <v>5755</v>
      </c>
      <c r="BH12" t="s">
        <v>796</v>
      </c>
      <c r="BI12" t="s">
        <v>5754</v>
      </c>
      <c r="BJ12" t="s">
        <v>797</v>
      </c>
      <c r="BK12" t="s">
        <v>798</v>
      </c>
      <c r="BL12" t="s">
        <v>799</v>
      </c>
      <c r="BM12" t="s">
        <v>800</v>
      </c>
      <c r="BN12" t="s">
        <v>6677</v>
      </c>
      <c r="BO12" t="s">
        <v>6682</v>
      </c>
      <c r="BP12" t="s">
        <v>6701</v>
      </c>
      <c r="BQ12" t="s">
        <v>6683</v>
      </c>
      <c r="BR12" t="s">
        <v>6702</v>
      </c>
      <c r="BS12" t="s">
        <v>6684</v>
      </c>
      <c r="BT12" t="s">
        <v>6671</v>
      </c>
      <c r="BU12" t="s">
        <v>6694</v>
      </c>
      <c r="BV12" t="s">
        <v>6695</v>
      </c>
      <c r="BW12" t="s">
        <v>6703</v>
      </c>
      <c r="BX12" t="s">
        <v>6696</v>
      </c>
      <c r="BY12" t="s">
        <v>6697</v>
      </c>
      <c r="BZ12" t="s">
        <v>6704</v>
      </c>
      <c r="CA12" t="s">
        <v>6698</v>
      </c>
      <c r="CB12" t="s">
        <v>6699</v>
      </c>
    </row>
    <row r="13" spans="1:80" s="4" customFormat="1" ht="29.1" customHeight="1">
      <c r="A13" s="12"/>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90" t="str" cm="1">
        <f t="array" ref="BK13">MultiMatch(LearningOutcomes[[#This Row],[LearningOutcome.learningOutcomeType.Reference.]],Vocabularies[name],0)</f>
        <v/>
      </c>
      <c r="BL13" s="87"/>
      <c r="BM13" s="12" t="str" cm="1">
        <f t="array" ref="BM13">MultiMatch(LearningOutcomes[[#This Row],[LearningOutcome.reusabilityLevel.Reference.]],Vocabularies[name],0)</f>
        <v/>
      </c>
      <c r="BN13" s="304" t="str">
        <f t="shared" ref="BN13" si="0">IF(ISBLANK(BO13),"",BN$11)</f>
        <v/>
      </c>
      <c r="BO13" s="305"/>
      <c r="BP13" s="304" t="str">
        <f>IF(ISBLANK(BQ13),"",BN$11)</f>
        <v/>
      </c>
      <c r="BQ13" s="305"/>
      <c r="BR13" s="304" t="str">
        <f>IF(ISBLANK(BS13),"",BN$11)</f>
        <v/>
      </c>
      <c r="BS13" s="305"/>
      <c r="BT13" s="307" t="str">
        <f>IF(ISBLANK(BU13),"",BT$11)</f>
        <v/>
      </c>
      <c r="BU13" s="310"/>
      <c r="BV13" s="305"/>
      <c r="BW13" s="306" t="str">
        <f>IF(ISBLANK(BX13),"",BT$11)</f>
        <v/>
      </c>
      <c r="BX13" s="311"/>
      <c r="BY13" s="305"/>
      <c r="BZ13" s="306" t="str">
        <f>IF(ISBLANK(CA13),"",BT$11)</f>
        <v/>
      </c>
      <c r="CA13" s="310"/>
      <c r="CB13" s="305"/>
    </row>
    <row r="14" spans="1:80" ht="29.1" customHeight="1">
      <c r="B14" s="235" t="s">
        <v>6723</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315"/>
      <c r="AF14" s="87"/>
      <c r="AG14" s="87" t="s">
        <v>6726</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319" t="str" cm="1">
        <f t="array" ref="BK14">MultiMatch(LearningOutcomes[[#This Row],[LearningOutcome.learningOutcomeType.Reference.]],Vocabularies[name],0)</f>
        <v/>
      </c>
      <c r="BL14" s="87"/>
      <c r="BM14" s="320" t="str" cm="1">
        <f t="array" ref="BM14">MultiMatch(LearningOutcomes[[#This Row],[LearningOutcome.reusabilityLevel.Reference.]],Vocabularies[name],0)</f>
        <v/>
      </c>
      <c r="BN14" s="321" t="str">
        <f>IF(ISBLANK(BO14),"",BN$11)</f>
        <v>http://data.europa.eu/esco/model#Skill</v>
      </c>
      <c r="BO14" s="305" t="s">
        <v>6735</v>
      </c>
      <c r="BP14" s="304" t="str">
        <f>IF(ISBLANK(BQ14),"",BN$11)</f>
        <v>http://data.europa.eu/esco/model#Skill</v>
      </c>
      <c r="BQ14" s="305" t="s">
        <v>6736</v>
      </c>
      <c r="BR14" s="304" t="str">
        <f>IF(ISBLANK(BS14),"",BN$11)</f>
        <v>http://data.europa.eu/esco/model#Skill</v>
      </c>
      <c r="BS14" s="305" t="s">
        <v>6738</v>
      </c>
      <c r="BT14" s="322" t="str">
        <f>IF(ISBLANK(BU14),"",BT$11)</f>
        <v/>
      </c>
      <c r="BU14" s="310"/>
      <c r="BV14" s="305"/>
      <c r="BW14" s="306" t="str">
        <f>IF(ISBLANK(BX14),"",BT$11)</f>
        <v/>
      </c>
      <c r="BX14" s="311"/>
      <c r="BY14" s="305"/>
      <c r="BZ14" s="306" t="str">
        <f>IF(ISBLANK(CA14),"",BT$11)</f>
        <v/>
      </c>
      <c r="CA14" s="310"/>
      <c r="CB14" s="305"/>
    </row>
    <row r="15" spans="1:80" ht="29.1" customHeight="1">
      <c r="B15" s="235" t="s">
        <v>6724</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315"/>
      <c r="AF15" s="87"/>
      <c r="AG15" s="87" t="s">
        <v>6727</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319" t="str" cm="1">
        <f t="array" ref="BK15">MultiMatch(LearningOutcomes[[#This Row],[LearningOutcome.learningOutcomeType.Reference.]],Vocabularies[name],0)</f>
        <v/>
      </c>
      <c r="BL15" s="87"/>
      <c r="BM15" s="320" t="str" cm="1">
        <f t="array" ref="BM15">MultiMatch(LearningOutcomes[[#This Row],[LearningOutcome.reusabilityLevel.Reference.]],Vocabularies[name],0)</f>
        <v/>
      </c>
      <c r="BN15" s="321" t="str">
        <f>IF(ISBLANK(BO15),"",BN$11)</f>
        <v>http://data.europa.eu/esco/model#Skill</v>
      </c>
      <c r="BO15" s="305" t="s">
        <v>6734</v>
      </c>
      <c r="BP15" s="304" t="str">
        <f>IF(ISBLANK(BQ15),"",BN$11)</f>
        <v/>
      </c>
      <c r="BQ15" s="305"/>
      <c r="BR15" s="304" t="str">
        <f>IF(ISBLANK(BS15),"",BN$11)</f>
        <v/>
      </c>
      <c r="BS15" s="305"/>
      <c r="BT15" s="322" t="str">
        <f>IF(ISBLANK(BU15),"",BT$11)</f>
        <v/>
      </c>
      <c r="BU15" s="310"/>
      <c r="BV15" s="305"/>
      <c r="BW15" s="306" t="str">
        <f>IF(ISBLANK(BX15),"",BT$11)</f>
        <v/>
      </c>
      <c r="BX15" s="311"/>
      <c r="BY15" s="305"/>
      <c r="BZ15" s="306" t="str">
        <f>IF(ISBLANK(CA15),"",BT$11)</f>
        <v/>
      </c>
      <c r="CA15" s="310"/>
      <c r="CB15" s="305"/>
    </row>
    <row r="16" spans="1:80" ht="29.1" customHeight="1">
      <c r="B16" s="235" t="s">
        <v>6725</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315"/>
      <c r="AF16" s="87"/>
      <c r="AG16" s="87" t="s">
        <v>6728</v>
      </c>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319" t="str" cm="1">
        <f t="array" ref="BK16">MultiMatch(LearningOutcomes[[#This Row],[LearningOutcome.learningOutcomeType.Reference.]],Vocabularies[name],0)</f>
        <v/>
      </c>
      <c r="BL16" s="87"/>
      <c r="BM16" s="320" t="str" cm="1">
        <f t="array" ref="BM16">MultiMatch(LearningOutcomes[[#This Row],[LearningOutcome.reusabilityLevel.Reference.]],Vocabularies[name],0)</f>
        <v/>
      </c>
      <c r="BN16" s="321" t="str">
        <f>IF(ISBLANK(BO16),"",BN$11)</f>
        <v>http://data.europa.eu/esco/model#Skill</v>
      </c>
      <c r="BO16" s="305" t="s">
        <v>6733</v>
      </c>
      <c r="BP16" s="304" t="str">
        <f>IF(ISBLANK(BQ16),"",BN$11)</f>
        <v>http://data.europa.eu/esco/model#Skill</v>
      </c>
      <c r="BQ16" s="305" t="s">
        <v>6729</v>
      </c>
      <c r="BR16" s="304" t="str">
        <f>IF(ISBLANK(BS16),"",BN$11)</f>
        <v>http://data.europa.eu/esco/model#Skill</v>
      </c>
      <c r="BS16" s="305" t="s">
        <v>6737</v>
      </c>
      <c r="BT16" s="322" t="str">
        <f>IF(ISBLANK(BU16),"",BT$11)</f>
        <v/>
      </c>
      <c r="BU16" s="310"/>
      <c r="BV16" s="305"/>
      <c r="BW16" s="306" t="str">
        <f>IF(ISBLANK(BX16),"",BT$11)</f>
        <v/>
      </c>
      <c r="BX16" s="311"/>
      <c r="BY16" s="305"/>
      <c r="BZ16" s="306" t="str">
        <f>IF(ISBLANK(CA16),"",BT$11)</f>
        <v/>
      </c>
      <c r="CA16" s="310"/>
      <c r="CB16" s="305"/>
    </row>
  </sheetData>
  <sheetProtection algorithmName="SHA-512" hashValue="Uat3i4F6qDfeKyJV5N8UYOSHi/eabU5yyAfIr7yuq68jW8DJ0vLMW04xBS5QL1dQjEGrruT3L6y6oHTswDKGjw==" saltValue="HX3Sh+MEbz21euw1IgIHgw==" spinCount="100000" sheet="1" objects="1" scenarios="1" formatColumns="0"/>
  <phoneticPr fontId="12" type="noConversion"/>
  <dataValidations count="2">
    <dataValidation type="list" allowBlank="1" showInputMessage="1" showErrorMessage="1" sqref="BJ13:BJ18" xr:uid="{00000000-0002-0000-0500-000000000000}">
      <formula1>LOTypeNames</formula1>
    </dataValidation>
    <dataValidation type="list" allowBlank="1" showInputMessage="1" showErrorMessage="1" sqref="BL13:BL18" xr:uid="{00000000-0002-0000-0500-000001000000}">
      <formula1>SkillReuseNames</formula1>
    </dataValidation>
  </dataValidations>
  <hyperlinks>
    <hyperlink ref="BN11" r:id="rId1" location="Skill" xr:uid="{AB0CD069-CF58-463B-AB21-BB4F7E17BFE7}"/>
  </hyperlinks>
  <pageMargins left="0.7" right="0.7" top="0.75" bottom="0.75" header="0.3" footer="0.3"/>
  <pageSetup paperSize="9" orientation="portrait" horizontalDpi="300" verticalDpi="300"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X16"/>
  <sheetViews>
    <sheetView zoomScale="90" zoomScaleNormal="90" workbookViewId="0">
      <pane xSplit="30" ySplit="12" topLeftCell="FB13" activePane="bottomRight" state="frozen"/>
      <selection pane="topRight" activeCell="AB1" sqref="AB1"/>
      <selection pane="bottomLeft" activeCell="A13" sqref="A13"/>
      <selection pane="bottomRight" activeCell="GJ8" sqref="GJ8"/>
    </sheetView>
  </sheetViews>
  <sheetFormatPr defaultColWidth="9.140625" defaultRowHeight="29.1" customHeight="1"/>
  <cols>
    <col min="1" max="1" width="23.85546875" style="79" customWidth="1"/>
    <col min="2" max="2" width="25.85546875" style="79" customWidth="1"/>
    <col min="3" max="30" width="25.85546875" style="79" hidden="1" customWidth="1"/>
    <col min="31" max="32" width="20.85546875" style="79" customWidth="1"/>
    <col min="33" max="33" width="35.85546875" style="79" customWidth="1"/>
    <col min="34" max="61" width="35.85546875" style="79" hidden="1" customWidth="1"/>
    <col min="62" max="63" width="17.85546875" style="79" customWidth="1"/>
    <col min="64" max="64" width="25.7109375" style="79" customWidth="1"/>
    <col min="65" max="65" width="30.85546875" style="79" customWidth="1"/>
    <col min="66" max="66" width="10.85546875" style="79" hidden="1" customWidth="1"/>
    <col min="67" max="67" width="25.85546875" style="79" customWidth="1"/>
    <col min="68" max="95" width="25.85546875" style="79" hidden="1" customWidth="1"/>
    <col min="96" max="96" width="25.85546875" style="79" customWidth="1"/>
    <col min="97" max="124" width="25.85546875" style="79" hidden="1" customWidth="1"/>
    <col min="125" max="125" width="25.85546875" style="79" customWidth="1"/>
    <col min="126" max="126" width="11.42578125" style="79" hidden="1" customWidth="1"/>
    <col min="127" max="127" width="30.85546875" style="79" customWidth="1"/>
    <col min="128" max="128" width="10.85546875" style="79" hidden="1" customWidth="1"/>
    <col min="129" max="129" width="23.85546875" style="145" customWidth="1"/>
    <col min="130" max="157" width="23.85546875" style="108" hidden="1" customWidth="1"/>
    <col min="158" max="158" width="25.85546875" style="108" customWidth="1"/>
    <col min="159" max="159" width="20.85546875" style="108" customWidth="1"/>
    <col min="160" max="160" width="30.85546875" style="79" customWidth="1"/>
    <col min="161" max="188" width="30.85546875" style="79" hidden="1" customWidth="1"/>
    <col min="189" max="189" width="30.85546875" style="79" customWidth="1"/>
    <col min="190" max="190" width="25.42578125" style="79" customWidth="1"/>
    <col min="191" max="191" width="10.85546875" style="79" hidden="1" customWidth="1"/>
    <col min="192" max="192" width="25.42578125" style="79" customWidth="1"/>
    <col min="193" max="193" width="10.85546875" style="79" hidden="1" customWidth="1"/>
    <col min="194" max="194" width="25.140625" style="79" customWidth="1"/>
    <col min="195" max="195" width="17.42578125" style="79" customWidth="1"/>
    <col min="196" max="196" width="10.85546875" style="79" hidden="1" customWidth="1"/>
    <col min="197" max="199" width="30.85546875" style="79" customWidth="1"/>
    <col min="200" max="227" width="30.85546875" style="79" hidden="1" customWidth="1"/>
    <col min="228" max="228" width="30.85546875" style="79" customWidth="1"/>
    <col min="229" max="229" width="30.42578125" style="79" customWidth="1"/>
    <col min="230" max="257" width="30.42578125" style="79" hidden="1" customWidth="1"/>
    <col min="258" max="16384" width="9.140625" style="108"/>
  </cols>
  <sheetData>
    <row r="1" spans="1:258" s="132" customFormat="1" ht="23.25">
      <c r="A1" s="99" t="s">
        <v>801</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335" t="s">
        <v>430</v>
      </c>
      <c r="DZ1" s="336"/>
      <c r="EA1" s="336"/>
      <c r="EB1" s="336"/>
      <c r="EC1" s="336"/>
      <c r="ED1" s="336"/>
      <c r="EE1" s="336"/>
      <c r="EF1" s="336"/>
      <c r="EG1" s="336"/>
      <c r="EH1" s="336"/>
      <c r="EI1" s="336"/>
      <c r="EJ1" s="336"/>
      <c r="EK1" s="336"/>
      <c r="EL1" s="336"/>
      <c r="EM1" s="336"/>
      <c r="EN1" s="336"/>
      <c r="EO1" s="336"/>
      <c r="EP1" s="336"/>
      <c r="EQ1" s="336"/>
      <c r="ER1" s="336"/>
      <c r="ES1" s="336"/>
      <c r="ET1" s="336"/>
      <c r="EU1" s="336"/>
      <c r="EV1" s="336"/>
      <c r="EW1" s="336"/>
      <c r="EX1" s="336"/>
      <c r="EY1" s="336"/>
      <c r="EZ1" s="336"/>
      <c r="FA1" s="336"/>
      <c r="FB1" s="336"/>
      <c r="FC1" s="336"/>
      <c r="FD1" s="336"/>
      <c r="FE1" s="336"/>
      <c r="FF1" s="336"/>
      <c r="FG1" s="336"/>
      <c r="FH1" s="336"/>
      <c r="FI1" s="336"/>
      <c r="FJ1" s="336"/>
      <c r="FK1" s="336"/>
      <c r="FL1" s="336"/>
      <c r="FM1" s="336"/>
      <c r="FN1" s="336"/>
      <c r="FO1" s="336"/>
      <c r="FP1" s="336"/>
      <c r="FQ1" s="336"/>
      <c r="FR1" s="336"/>
      <c r="FS1" s="336"/>
      <c r="FT1" s="336"/>
      <c r="FU1" s="336"/>
      <c r="FV1" s="336"/>
      <c r="FW1" s="336"/>
      <c r="FX1" s="336"/>
      <c r="FY1" s="336"/>
      <c r="FZ1" s="336"/>
      <c r="GA1" s="336"/>
      <c r="GB1" s="336"/>
      <c r="GC1" s="336"/>
      <c r="GD1" s="336"/>
      <c r="GE1" s="336"/>
      <c r="GF1" s="336"/>
      <c r="GG1" s="336"/>
      <c r="GH1" s="336"/>
      <c r="GI1" s="336"/>
      <c r="GJ1" s="336"/>
      <c r="GK1" s="336"/>
      <c r="GL1" s="336"/>
      <c r="GM1" s="336"/>
      <c r="GN1" s="336"/>
      <c r="GO1" s="336"/>
      <c r="GP1" s="336"/>
      <c r="GQ1" s="336"/>
      <c r="GR1" s="336"/>
      <c r="GS1" s="336"/>
      <c r="GT1" s="336"/>
      <c r="GU1" s="336"/>
      <c r="GV1" s="336"/>
      <c r="GW1" s="336"/>
      <c r="GX1" s="336"/>
      <c r="GY1" s="336"/>
      <c r="GZ1" s="336"/>
      <c r="HA1" s="336"/>
      <c r="HB1" s="336"/>
      <c r="HC1" s="336"/>
      <c r="HD1" s="336"/>
      <c r="HE1" s="336"/>
      <c r="HF1" s="336"/>
      <c r="HG1" s="336"/>
      <c r="HH1" s="336"/>
      <c r="HI1" s="336"/>
      <c r="HJ1" s="336"/>
      <c r="HK1" s="336"/>
      <c r="HL1" s="336"/>
      <c r="HM1" s="336"/>
      <c r="HN1" s="336"/>
      <c r="HO1" s="336"/>
      <c r="HP1" s="336"/>
      <c r="HQ1" s="336"/>
      <c r="HR1" s="336"/>
      <c r="HS1" s="336"/>
      <c r="HT1" s="336"/>
      <c r="HU1" s="336"/>
      <c r="HV1" s="336"/>
      <c r="HW1" s="336"/>
      <c r="HX1" s="336"/>
      <c r="HY1" s="336"/>
      <c r="HZ1" s="336"/>
      <c r="IA1" s="336"/>
      <c r="IB1" s="336"/>
      <c r="IC1" s="336"/>
      <c r="ID1" s="336"/>
      <c r="IE1" s="336"/>
      <c r="IF1" s="336"/>
      <c r="IG1" s="336"/>
      <c r="IH1" s="336"/>
      <c r="II1" s="336"/>
      <c r="IJ1" s="336"/>
      <c r="IK1" s="336"/>
      <c r="IL1" s="336"/>
      <c r="IM1" s="336"/>
      <c r="IN1" s="336"/>
      <c r="IO1" s="336"/>
      <c r="IP1" s="336"/>
      <c r="IQ1" s="336"/>
      <c r="IR1" s="336"/>
      <c r="IS1" s="336"/>
      <c r="IT1" s="336"/>
      <c r="IU1" s="336"/>
      <c r="IV1" s="336"/>
      <c r="IW1" s="336"/>
    </row>
    <row r="2" spans="1:258" s="110" customFormat="1" ht="18.75" hidden="1" customHeight="1">
      <c r="A2" s="80" t="s">
        <v>14</v>
      </c>
      <c r="B2" s="110" t="s">
        <v>194</v>
      </c>
      <c r="C2" s="110" t="s">
        <v>194</v>
      </c>
      <c r="D2" s="110" t="s">
        <v>194</v>
      </c>
      <c r="E2" s="110" t="s">
        <v>194</v>
      </c>
      <c r="F2" s="110" t="s">
        <v>194</v>
      </c>
      <c r="G2" s="110" t="s">
        <v>194</v>
      </c>
      <c r="H2" s="110" t="s">
        <v>194</v>
      </c>
      <c r="I2" s="110" t="s">
        <v>194</v>
      </c>
      <c r="J2" s="110" t="s">
        <v>194</v>
      </c>
      <c r="K2" s="110" t="s">
        <v>194</v>
      </c>
      <c r="L2" s="110" t="s">
        <v>194</v>
      </c>
      <c r="M2" s="110" t="s">
        <v>194</v>
      </c>
      <c r="N2" s="110" t="s">
        <v>194</v>
      </c>
      <c r="O2" s="110" t="s">
        <v>194</v>
      </c>
      <c r="P2" s="110" t="s">
        <v>194</v>
      </c>
      <c r="Q2" s="110" t="s">
        <v>194</v>
      </c>
      <c r="R2" s="110" t="s">
        <v>194</v>
      </c>
      <c r="S2" s="110" t="s">
        <v>194</v>
      </c>
      <c r="T2" s="110" t="s">
        <v>194</v>
      </c>
      <c r="U2" s="110" t="s">
        <v>194</v>
      </c>
      <c r="V2" s="110" t="s">
        <v>194</v>
      </c>
      <c r="W2" s="110" t="s">
        <v>194</v>
      </c>
      <c r="X2" s="110" t="s">
        <v>194</v>
      </c>
      <c r="Y2" s="110" t="s">
        <v>194</v>
      </c>
      <c r="Z2" s="110" t="s">
        <v>194</v>
      </c>
      <c r="AA2" s="110" t="s">
        <v>194</v>
      </c>
      <c r="AB2" s="110" t="s">
        <v>194</v>
      </c>
      <c r="AC2" s="110" t="s">
        <v>194</v>
      </c>
      <c r="AD2" s="110" t="s">
        <v>194</v>
      </c>
      <c r="AE2" s="80" t="s">
        <v>802</v>
      </c>
      <c r="AF2" s="80" t="s">
        <v>802</v>
      </c>
      <c r="AG2" s="110" t="s">
        <v>194</v>
      </c>
      <c r="AH2" s="110" t="s">
        <v>194</v>
      </c>
      <c r="AI2" s="110" t="s">
        <v>194</v>
      </c>
      <c r="AJ2" s="110" t="s">
        <v>194</v>
      </c>
      <c r="AK2" s="110" t="s">
        <v>194</v>
      </c>
      <c r="AL2" s="110" t="s">
        <v>194</v>
      </c>
      <c r="AM2" s="110" t="s">
        <v>194</v>
      </c>
      <c r="AN2" s="110" t="s">
        <v>194</v>
      </c>
      <c r="AO2" s="110" t="s">
        <v>194</v>
      </c>
      <c r="AP2" s="110" t="s">
        <v>194</v>
      </c>
      <c r="AQ2" s="110" t="s">
        <v>194</v>
      </c>
      <c r="AR2" s="110" t="s">
        <v>194</v>
      </c>
      <c r="AS2" s="110" t="s">
        <v>194</v>
      </c>
      <c r="AT2" s="110" t="s">
        <v>194</v>
      </c>
      <c r="AU2" s="110" t="s">
        <v>194</v>
      </c>
      <c r="AV2" s="110" t="s">
        <v>194</v>
      </c>
      <c r="AW2" s="110" t="s">
        <v>194</v>
      </c>
      <c r="AX2" s="110" t="s">
        <v>194</v>
      </c>
      <c r="AY2" s="110" t="s">
        <v>194</v>
      </c>
      <c r="AZ2" s="110" t="s">
        <v>194</v>
      </c>
      <c r="BA2" s="110" t="s">
        <v>194</v>
      </c>
      <c r="BB2" s="110" t="s">
        <v>194</v>
      </c>
      <c r="BC2" s="110" t="s">
        <v>194</v>
      </c>
      <c r="BD2" s="110" t="s">
        <v>194</v>
      </c>
      <c r="BE2" s="110" t="s">
        <v>194</v>
      </c>
      <c r="BF2" s="110" t="s">
        <v>194</v>
      </c>
      <c r="BG2" s="110" t="s">
        <v>194</v>
      </c>
      <c r="BH2" s="110" t="s">
        <v>194</v>
      </c>
      <c r="BI2" s="110" t="s">
        <v>194</v>
      </c>
      <c r="BJ2" s="110" t="s">
        <v>194</v>
      </c>
      <c r="BK2" s="110" t="s">
        <v>194</v>
      </c>
      <c r="BL2" s="193" t="s">
        <v>194</v>
      </c>
      <c r="BM2" s="110" t="s">
        <v>194</v>
      </c>
      <c r="BN2" s="110" t="s">
        <v>194</v>
      </c>
      <c r="BO2" s="80" t="s">
        <v>803</v>
      </c>
      <c r="BP2" s="80" t="s">
        <v>803</v>
      </c>
      <c r="BQ2" s="80" t="s">
        <v>803</v>
      </c>
      <c r="BR2" s="80" t="s">
        <v>803</v>
      </c>
      <c r="BS2" s="80" t="s">
        <v>803</v>
      </c>
      <c r="BT2" s="80" t="s">
        <v>803</v>
      </c>
      <c r="BU2" s="80" t="s">
        <v>803</v>
      </c>
      <c r="BV2" s="80" t="s">
        <v>803</v>
      </c>
      <c r="BW2" s="80" t="s">
        <v>803</v>
      </c>
      <c r="BX2" s="80" t="s">
        <v>803</v>
      </c>
      <c r="BY2" s="80" t="s">
        <v>803</v>
      </c>
      <c r="BZ2" s="80" t="s">
        <v>803</v>
      </c>
      <c r="CA2" s="80" t="s">
        <v>803</v>
      </c>
      <c r="CB2" s="80" t="s">
        <v>803</v>
      </c>
      <c r="CC2" s="80" t="s">
        <v>803</v>
      </c>
      <c r="CD2" s="80" t="s">
        <v>803</v>
      </c>
      <c r="CE2" s="80" t="s">
        <v>803</v>
      </c>
      <c r="CF2" s="80" t="s">
        <v>803</v>
      </c>
      <c r="CG2" s="80" t="s">
        <v>803</v>
      </c>
      <c r="CH2" s="80" t="s">
        <v>803</v>
      </c>
      <c r="CI2" s="80" t="s">
        <v>803</v>
      </c>
      <c r="CJ2" s="80" t="s">
        <v>803</v>
      </c>
      <c r="CK2" s="80" t="s">
        <v>803</v>
      </c>
      <c r="CL2" s="80" t="s">
        <v>803</v>
      </c>
      <c r="CM2" s="80" t="s">
        <v>803</v>
      </c>
      <c r="CN2" s="80" t="s">
        <v>803</v>
      </c>
      <c r="CO2" s="80" t="s">
        <v>803</v>
      </c>
      <c r="CP2" s="80" t="s">
        <v>803</v>
      </c>
      <c r="CQ2" s="80" t="s">
        <v>803</v>
      </c>
      <c r="CR2" s="80" t="s">
        <v>804</v>
      </c>
      <c r="CS2" s="80" t="s">
        <v>804</v>
      </c>
      <c r="CT2" s="80" t="s">
        <v>804</v>
      </c>
      <c r="CU2" s="80" t="s">
        <v>804</v>
      </c>
      <c r="CV2" s="80" t="s">
        <v>804</v>
      </c>
      <c r="CW2" s="80" t="s">
        <v>804</v>
      </c>
      <c r="CX2" s="80" t="s">
        <v>804</v>
      </c>
      <c r="CY2" s="80" t="s">
        <v>804</v>
      </c>
      <c r="CZ2" s="80" t="s">
        <v>804</v>
      </c>
      <c r="DA2" s="80" t="s">
        <v>804</v>
      </c>
      <c r="DB2" s="80" t="s">
        <v>804</v>
      </c>
      <c r="DC2" s="80" t="s">
        <v>804</v>
      </c>
      <c r="DD2" s="80" t="s">
        <v>804</v>
      </c>
      <c r="DE2" s="80" t="s">
        <v>804</v>
      </c>
      <c r="DF2" s="80" t="s">
        <v>804</v>
      </c>
      <c r="DG2" s="80" t="s">
        <v>804</v>
      </c>
      <c r="DH2" s="80" t="s">
        <v>804</v>
      </c>
      <c r="DI2" s="80" t="s">
        <v>804</v>
      </c>
      <c r="DJ2" s="80" t="s">
        <v>804</v>
      </c>
      <c r="DK2" s="80" t="s">
        <v>804</v>
      </c>
      <c r="DL2" s="80" t="s">
        <v>804</v>
      </c>
      <c r="DM2" s="80" t="s">
        <v>804</v>
      </c>
      <c r="DN2" s="80" t="s">
        <v>804</v>
      </c>
      <c r="DO2" s="80" t="s">
        <v>804</v>
      </c>
      <c r="DP2" s="80" t="s">
        <v>804</v>
      </c>
      <c r="DQ2" s="80" t="s">
        <v>804</v>
      </c>
      <c r="DR2" s="80" t="s">
        <v>804</v>
      </c>
      <c r="DS2" s="80" t="s">
        <v>804</v>
      </c>
      <c r="DT2" s="80" t="s">
        <v>804</v>
      </c>
      <c r="DU2" s="80" t="s">
        <v>804</v>
      </c>
      <c r="DV2" s="80" t="s">
        <v>804</v>
      </c>
      <c r="DW2" s="110" t="s">
        <v>194</v>
      </c>
      <c r="DX2" s="110" t="s">
        <v>194</v>
      </c>
      <c r="DY2" s="137" t="s">
        <v>805</v>
      </c>
      <c r="DZ2" s="110" t="s">
        <v>805</v>
      </c>
      <c r="EA2" s="110" t="s">
        <v>805</v>
      </c>
      <c r="EB2" s="110" t="s">
        <v>805</v>
      </c>
      <c r="EC2" s="110" t="s">
        <v>805</v>
      </c>
      <c r="ED2" s="110" t="s">
        <v>805</v>
      </c>
      <c r="EE2" s="110" t="s">
        <v>805</v>
      </c>
      <c r="EF2" s="110" t="s">
        <v>805</v>
      </c>
      <c r="EG2" s="110" t="s">
        <v>805</v>
      </c>
      <c r="EH2" s="110" t="s">
        <v>805</v>
      </c>
      <c r="EI2" s="110" t="s">
        <v>805</v>
      </c>
      <c r="EJ2" s="110" t="s">
        <v>805</v>
      </c>
      <c r="EK2" s="110" t="s">
        <v>805</v>
      </c>
      <c r="EL2" s="110" t="s">
        <v>805</v>
      </c>
      <c r="EM2" s="110" t="s">
        <v>805</v>
      </c>
      <c r="EN2" s="110" t="s">
        <v>805</v>
      </c>
      <c r="EO2" s="110" t="s">
        <v>805</v>
      </c>
      <c r="EP2" s="110" t="s">
        <v>805</v>
      </c>
      <c r="EQ2" s="110" t="s">
        <v>805</v>
      </c>
      <c r="ER2" s="110" t="s">
        <v>805</v>
      </c>
      <c r="ES2" s="110" t="s">
        <v>805</v>
      </c>
      <c r="ET2" s="110" t="s">
        <v>805</v>
      </c>
      <c r="EU2" s="110" t="s">
        <v>805</v>
      </c>
      <c r="EV2" s="110" t="s">
        <v>805</v>
      </c>
      <c r="EW2" s="110" t="s">
        <v>805</v>
      </c>
      <c r="EX2" s="110" t="s">
        <v>805</v>
      </c>
      <c r="EY2" s="110" t="s">
        <v>805</v>
      </c>
      <c r="EZ2" s="110" t="s">
        <v>805</v>
      </c>
      <c r="FA2" s="110" t="s">
        <v>805</v>
      </c>
      <c r="FB2" s="80" t="s">
        <v>806</v>
      </c>
      <c r="FC2" s="80" t="s">
        <v>806</v>
      </c>
      <c r="FD2" s="110" t="s">
        <v>805</v>
      </c>
      <c r="FE2" s="110" t="s">
        <v>805</v>
      </c>
      <c r="FF2" s="110" t="s">
        <v>805</v>
      </c>
      <c r="FG2" s="110" t="s">
        <v>805</v>
      </c>
      <c r="FH2" s="110" t="s">
        <v>805</v>
      </c>
      <c r="FI2" s="110" t="s">
        <v>805</v>
      </c>
      <c r="FJ2" s="110" t="s">
        <v>805</v>
      </c>
      <c r="FK2" s="110" t="s">
        <v>805</v>
      </c>
      <c r="FL2" s="110" t="s">
        <v>805</v>
      </c>
      <c r="FM2" s="110" t="s">
        <v>805</v>
      </c>
      <c r="FN2" s="110" t="s">
        <v>805</v>
      </c>
      <c r="FO2" s="110" t="s">
        <v>805</v>
      </c>
      <c r="FP2" s="110" t="s">
        <v>805</v>
      </c>
      <c r="FQ2" s="110" t="s">
        <v>805</v>
      </c>
      <c r="FR2" s="110" t="s">
        <v>805</v>
      </c>
      <c r="FS2" s="110" t="s">
        <v>805</v>
      </c>
      <c r="FT2" s="110" t="s">
        <v>805</v>
      </c>
      <c r="FU2" s="110" t="s">
        <v>805</v>
      </c>
      <c r="FV2" s="110" t="s">
        <v>805</v>
      </c>
      <c r="FW2" s="110" t="s">
        <v>805</v>
      </c>
      <c r="FX2" s="110" t="s">
        <v>805</v>
      </c>
      <c r="FY2" s="110" t="s">
        <v>805</v>
      </c>
      <c r="FZ2" s="110" t="s">
        <v>805</v>
      </c>
      <c r="GA2" s="110" t="s">
        <v>805</v>
      </c>
      <c r="GB2" s="110" t="s">
        <v>805</v>
      </c>
      <c r="GC2" s="110" t="s">
        <v>805</v>
      </c>
      <c r="GD2" s="110" t="s">
        <v>805</v>
      </c>
      <c r="GE2" s="110" t="s">
        <v>805</v>
      </c>
      <c r="GF2" s="110" t="s">
        <v>805</v>
      </c>
      <c r="GG2" s="110" t="s">
        <v>807</v>
      </c>
      <c r="GH2" s="110" t="s">
        <v>805</v>
      </c>
      <c r="GI2" s="110" t="s">
        <v>805</v>
      </c>
      <c r="GJ2" s="110" t="s">
        <v>805</v>
      </c>
      <c r="GK2" s="110" t="s">
        <v>805</v>
      </c>
      <c r="GL2" s="110" t="s">
        <v>194</v>
      </c>
      <c r="GM2" s="110" t="s">
        <v>805</v>
      </c>
      <c r="GN2" s="110" t="s">
        <v>805</v>
      </c>
      <c r="GO2" s="110" t="s">
        <v>808</v>
      </c>
      <c r="GP2" s="110" t="s">
        <v>805</v>
      </c>
      <c r="GQ2" s="110" t="s">
        <v>805</v>
      </c>
      <c r="GR2" s="110" t="s">
        <v>805</v>
      </c>
      <c r="GS2" s="110" t="s">
        <v>805</v>
      </c>
      <c r="GT2" s="110" t="s">
        <v>805</v>
      </c>
      <c r="GU2" s="110" t="s">
        <v>805</v>
      </c>
      <c r="GV2" s="110" t="s">
        <v>805</v>
      </c>
      <c r="GW2" s="110" t="s">
        <v>805</v>
      </c>
      <c r="GX2" s="110" t="s">
        <v>805</v>
      </c>
      <c r="GY2" s="110" t="s">
        <v>805</v>
      </c>
      <c r="GZ2" s="110" t="s">
        <v>805</v>
      </c>
      <c r="HA2" s="110" t="s">
        <v>805</v>
      </c>
      <c r="HB2" s="110" t="s">
        <v>805</v>
      </c>
      <c r="HC2" s="110" t="s">
        <v>805</v>
      </c>
      <c r="HD2" s="110" t="s">
        <v>805</v>
      </c>
      <c r="HE2" s="110" t="s">
        <v>805</v>
      </c>
      <c r="HF2" s="110" t="s">
        <v>805</v>
      </c>
      <c r="HG2" s="110" t="s">
        <v>805</v>
      </c>
      <c r="HH2" s="110" t="s">
        <v>805</v>
      </c>
      <c r="HI2" s="110" t="s">
        <v>805</v>
      </c>
      <c r="HJ2" s="110" t="s">
        <v>805</v>
      </c>
      <c r="HK2" s="110" t="s">
        <v>805</v>
      </c>
      <c r="HL2" s="110" t="s">
        <v>805</v>
      </c>
      <c r="HM2" s="110" t="s">
        <v>805</v>
      </c>
      <c r="HN2" s="110" t="s">
        <v>805</v>
      </c>
      <c r="HO2" s="110" t="s">
        <v>805</v>
      </c>
      <c r="HP2" s="110" t="s">
        <v>805</v>
      </c>
      <c r="HQ2" s="110" t="s">
        <v>805</v>
      </c>
      <c r="HR2" s="110" t="s">
        <v>805</v>
      </c>
      <c r="HS2" s="110" t="s">
        <v>805</v>
      </c>
      <c r="HT2" s="110" t="s">
        <v>805</v>
      </c>
      <c r="HU2" s="110" t="s">
        <v>805</v>
      </c>
      <c r="HV2" s="110" t="s">
        <v>805</v>
      </c>
      <c r="HW2" s="110" t="s">
        <v>805</v>
      </c>
      <c r="HX2" s="110" t="s">
        <v>805</v>
      </c>
      <c r="HY2" s="110" t="s">
        <v>805</v>
      </c>
      <c r="HZ2" s="110" t="s">
        <v>805</v>
      </c>
      <c r="IA2" s="110" t="s">
        <v>805</v>
      </c>
      <c r="IB2" s="110" t="s">
        <v>805</v>
      </c>
      <c r="IC2" s="110" t="s">
        <v>805</v>
      </c>
      <c r="ID2" s="110" t="s">
        <v>805</v>
      </c>
      <c r="IE2" s="110" t="s">
        <v>805</v>
      </c>
      <c r="IF2" s="110" t="s">
        <v>805</v>
      </c>
      <c r="IG2" s="110" t="s">
        <v>805</v>
      </c>
      <c r="IH2" s="110" t="s">
        <v>805</v>
      </c>
      <c r="II2" s="110" t="s">
        <v>805</v>
      </c>
      <c r="IJ2" s="110" t="s">
        <v>805</v>
      </c>
      <c r="IK2" s="110" t="s">
        <v>805</v>
      </c>
      <c r="IL2" s="110" t="s">
        <v>805</v>
      </c>
      <c r="IM2" s="110" t="s">
        <v>805</v>
      </c>
      <c r="IN2" s="110" t="s">
        <v>805</v>
      </c>
      <c r="IO2" s="110" t="s">
        <v>805</v>
      </c>
      <c r="IP2" s="110" t="s">
        <v>805</v>
      </c>
      <c r="IQ2" s="110" t="s">
        <v>805</v>
      </c>
      <c r="IR2" s="110" t="s">
        <v>805</v>
      </c>
      <c r="IS2" s="110" t="s">
        <v>805</v>
      </c>
      <c r="IT2" s="110" t="s">
        <v>805</v>
      </c>
      <c r="IU2" s="110" t="s">
        <v>805</v>
      </c>
      <c r="IV2" s="110" t="s">
        <v>805</v>
      </c>
      <c r="IW2" s="110" t="s">
        <v>805</v>
      </c>
    </row>
    <row r="3" spans="1:258" s="110" customFormat="1" ht="24.6"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68</v>
      </c>
      <c r="AH3" s="93" t="s">
        <v>68</v>
      </c>
      <c r="AI3" s="93" t="s">
        <v>68</v>
      </c>
      <c r="AJ3" s="93" t="s">
        <v>68</v>
      </c>
      <c r="AK3" s="93" t="s">
        <v>68</v>
      </c>
      <c r="AL3" s="93" t="s">
        <v>68</v>
      </c>
      <c r="AM3" s="93" t="s">
        <v>68</v>
      </c>
      <c r="AN3" s="93" t="s">
        <v>68</v>
      </c>
      <c r="AO3" s="93" t="s">
        <v>68</v>
      </c>
      <c r="AP3" s="93" t="s">
        <v>68</v>
      </c>
      <c r="AQ3" s="93" t="s">
        <v>68</v>
      </c>
      <c r="AR3" s="93" t="s">
        <v>68</v>
      </c>
      <c r="AS3" s="93" t="s">
        <v>68</v>
      </c>
      <c r="AT3" s="93" t="s">
        <v>68</v>
      </c>
      <c r="AU3" s="93" t="s">
        <v>68</v>
      </c>
      <c r="AV3" s="93" t="s">
        <v>68</v>
      </c>
      <c r="AW3" s="93" t="s">
        <v>68</v>
      </c>
      <c r="AX3" s="93" t="s">
        <v>68</v>
      </c>
      <c r="AY3" s="93" t="s">
        <v>68</v>
      </c>
      <c r="AZ3" s="93" t="s">
        <v>68</v>
      </c>
      <c r="BA3" s="93" t="s">
        <v>68</v>
      </c>
      <c r="BB3" s="93" t="s">
        <v>68</v>
      </c>
      <c r="BC3" s="93" t="s">
        <v>68</v>
      </c>
      <c r="BD3" s="93" t="s">
        <v>68</v>
      </c>
      <c r="BE3" s="93" t="s">
        <v>68</v>
      </c>
      <c r="BF3" s="93" t="s">
        <v>68</v>
      </c>
      <c r="BG3" s="93" t="s">
        <v>68</v>
      </c>
      <c r="BH3" s="93" t="s">
        <v>68</v>
      </c>
      <c r="BI3" s="93" t="s">
        <v>68</v>
      </c>
      <c r="BJ3" s="93" t="s">
        <v>809</v>
      </c>
      <c r="BK3" s="93" t="s">
        <v>810</v>
      </c>
      <c r="BL3" s="194" t="s">
        <v>811</v>
      </c>
      <c r="BM3" s="93" t="s">
        <v>812</v>
      </c>
      <c r="BN3" s="93" t="s">
        <v>813</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309</v>
      </c>
      <c r="CO3" s="80" t="s">
        <v>309</v>
      </c>
      <c r="CP3" s="80" t="s">
        <v>309</v>
      </c>
      <c r="CQ3" s="80" t="s">
        <v>309</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185</v>
      </c>
      <c r="DR3" s="80" t="s">
        <v>185</v>
      </c>
      <c r="DS3" s="80" t="s">
        <v>185</v>
      </c>
      <c r="DT3" s="80" t="s">
        <v>185</v>
      </c>
      <c r="DU3" s="80" t="s">
        <v>186</v>
      </c>
      <c r="DV3" s="80" t="s">
        <v>186</v>
      </c>
      <c r="DW3" s="93" t="s">
        <v>443</v>
      </c>
      <c r="DX3" s="93" t="s">
        <v>443</v>
      </c>
      <c r="DY3" s="137" t="s">
        <v>18</v>
      </c>
      <c r="DZ3" s="110" t="s">
        <v>18</v>
      </c>
      <c r="EA3" s="110" t="s">
        <v>18</v>
      </c>
      <c r="EB3" s="110" t="s">
        <v>18</v>
      </c>
      <c r="EC3" s="110" t="s">
        <v>18</v>
      </c>
      <c r="ED3" s="110" t="s">
        <v>18</v>
      </c>
      <c r="EE3" s="110" t="s">
        <v>18</v>
      </c>
      <c r="EF3" s="110" t="s">
        <v>18</v>
      </c>
      <c r="EG3" s="110" t="s">
        <v>18</v>
      </c>
      <c r="EH3" s="110" t="s">
        <v>18</v>
      </c>
      <c r="EI3" s="110" t="s">
        <v>18</v>
      </c>
      <c r="EJ3" s="110" t="s">
        <v>18</v>
      </c>
      <c r="EK3" s="110" t="s">
        <v>18</v>
      </c>
      <c r="EL3" s="110" t="s">
        <v>18</v>
      </c>
      <c r="EM3" s="110" t="s">
        <v>18</v>
      </c>
      <c r="EN3" s="110" t="s">
        <v>18</v>
      </c>
      <c r="EO3" s="110" t="s">
        <v>18</v>
      </c>
      <c r="EP3" s="110" t="s">
        <v>18</v>
      </c>
      <c r="EQ3" s="110" t="s">
        <v>18</v>
      </c>
      <c r="ER3" s="110" t="s">
        <v>18</v>
      </c>
      <c r="ES3" s="110" t="s">
        <v>18</v>
      </c>
      <c r="ET3" s="110" t="s">
        <v>18</v>
      </c>
      <c r="EU3" s="110" t="s">
        <v>18</v>
      </c>
      <c r="EV3" s="110" t="s">
        <v>18</v>
      </c>
      <c r="EW3" s="110" t="s">
        <v>18</v>
      </c>
      <c r="EX3" s="110" t="s">
        <v>18</v>
      </c>
      <c r="EY3" s="110" t="s">
        <v>18</v>
      </c>
      <c r="EZ3" s="110" t="s">
        <v>18</v>
      </c>
      <c r="FA3" s="110" t="s">
        <v>18</v>
      </c>
      <c r="FB3" s="80" t="s">
        <v>182</v>
      </c>
      <c r="FC3" s="80" t="s">
        <v>33</v>
      </c>
      <c r="FD3" s="93" t="s">
        <v>19</v>
      </c>
      <c r="FE3" s="93" t="s">
        <v>19</v>
      </c>
      <c r="FF3" s="93" t="s">
        <v>19</v>
      </c>
      <c r="FG3" s="93" t="s">
        <v>19</v>
      </c>
      <c r="FH3" s="93" t="s">
        <v>19</v>
      </c>
      <c r="FI3" s="93" t="s">
        <v>19</v>
      </c>
      <c r="FJ3" s="93" t="s">
        <v>19</v>
      </c>
      <c r="FK3" s="93" t="s">
        <v>19</v>
      </c>
      <c r="FL3" s="93" t="s">
        <v>19</v>
      </c>
      <c r="FM3" s="93" t="s">
        <v>19</v>
      </c>
      <c r="FN3" s="93" t="s">
        <v>19</v>
      </c>
      <c r="FO3" s="93" t="s">
        <v>19</v>
      </c>
      <c r="FP3" s="93" t="s">
        <v>19</v>
      </c>
      <c r="FQ3" s="93" t="s">
        <v>19</v>
      </c>
      <c r="FR3" s="93" t="s">
        <v>19</v>
      </c>
      <c r="FS3" s="93" t="s">
        <v>19</v>
      </c>
      <c r="FT3" s="93" t="s">
        <v>19</v>
      </c>
      <c r="FU3" s="93" t="s">
        <v>19</v>
      </c>
      <c r="FV3" s="93" t="s">
        <v>19</v>
      </c>
      <c r="FW3" s="93" t="s">
        <v>19</v>
      </c>
      <c r="FX3" s="93" t="s">
        <v>19</v>
      </c>
      <c r="FY3" s="93" t="s">
        <v>19</v>
      </c>
      <c r="FZ3" s="93" t="s">
        <v>19</v>
      </c>
      <c r="GA3" s="93" t="s">
        <v>19</v>
      </c>
      <c r="GB3" s="93" t="s">
        <v>19</v>
      </c>
      <c r="GC3" s="93" t="s">
        <v>19</v>
      </c>
      <c r="GD3" s="93" t="s">
        <v>19</v>
      </c>
      <c r="GE3" s="93" t="s">
        <v>19</v>
      </c>
      <c r="GF3" s="93" t="s">
        <v>19</v>
      </c>
      <c r="GG3" s="93" t="s">
        <v>184</v>
      </c>
      <c r="GH3" s="93" t="s">
        <v>814</v>
      </c>
      <c r="GI3" s="93" t="s">
        <v>814</v>
      </c>
      <c r="GJ3" s="93" t="s">
        <v>452</v>
      </c>
      <c r="GK3" s="93" t="s">
        <v>452</v>
      </c>
      <c r="GL3" s="93" t="s">
        <v>815</v>
      </c>
      <c r="GM3" s="93" t="s">
        <v>453</v>
      </c>
      <c r="GN3" s="93" t="s">
        <v>453</v>
      </c>
      <c r="GO3" s="93" t="s">
        <v>184</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c r="IM3" s="93" t="s">
        <v>457</v>
      </c>
      <c r="IN3" s="93" t="s">
        <v>457</v>
      </c>
      <c r="IO3" s="93" t="s">
        <v>457</v>
      </c>
      <c r="IP3" s="93" t="s">
        <v>457</v>
      </c>
      <c r="IQ3" s="93" t="s">
        <v>457</v>
      </c>
      <c r="IR3" s="93" t="s">
        <v>457</v>
      </c>
      <c r="IS3" s="93" t="s">
        <v>457</v>
      </c>
      <c r="IT3" s="93" t="s">
        <v>457</v>
      </c>
      <c r="IU3" s="93" t="s">
        <v>457</v>
      </c>
      <c r="IV3" s="93" t="s">
        <v>457</v>
      </c>
      <c r="IW3" s="93" t="s">
        <v>457</v>
      </c>
    </row>
    <row r="4" spans="1:258" s="110" customFormat="1" ht="24.6" hidden="1" customHeight="1">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93" t="s">
        <v>28</v>
      </c>
      <c r="AH4" s="93" t="s">
        <v>28</v>
      </c>
      <c r="AI4" s="93" t="s">
        <v>28</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194" t="s">
        <v>28</v>
      </c>
      <c r="BM4" s="93" t="s">
        <v>29</v>
      </c>
      <c r="BN4" s="93" t="s">
        <v>30</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31</v>
      </c>
      <c r="DR4" s="80" t="s">
        <v>31</v>
      </c>
      <c r="DS4" s="80" t="s">
        <v>31</v>
      </c>
      <c r="DT4" s="80" t="s">
        <v>31</v>
      </c>
      <c r="DU4" s="80" t="s">
        <v>29</v>
      </c>
      <c r="DV4" s="102" t="s">
        <v>190</v>
      </c>
      <c r="DW4" s="93" t="s">
        <v>191</v>
      </c>
      <c r="DX4" s="93" t="s">
        <v>30</v>
      </c>
      <c r="DY4" s="137" t="s">
        <v>31</v>
      </c>
      <c r="DZ4" s="110" t="s">
        <v>31</v>
      </c>
      <c r="EA4" s="110" t="s">
        <v>31</v>
      </c>
      <c r="EB4" s="110" t="s">
        <v>31</v>
      </c>
      <c r="EC4" s="110" t="s">
        <v>31</v>
      </c>
      <c r="ED4" s="110" t="s">
        <v>31</v>
      </c>
      <c r="EE4" s="110" t="s">
        <v>31</v>
      </c>
      <c r="EF4" s="110" t="s">
        <v>31</v>
      </c>
      <c r="EG4" s="110" t="s">
        <v>31</v>
      </c>
      <c r="EH4" s="110" t="s">
        <v>31</v>
      </c>
      <c r="EI4" s="110" t="s">
        <v>31</v>
      </c>
      <c r="EJ4" s="110" t="s">
        <v>31</v>
      </c>
      <c r="EK4" s="110" t="s">
        <v>31</v>
      </c>
      <c r="EL4" s="110" t="s">
        <v>31</v>
      </c>
      <c r="EM4" s="110" t="s">
        <v>31</v>
      </c>
      <c r="EN4" s="110" t="s">
        <v>31</v>
      </c>
      <c r="EO4" s="110" t="s">
        <v>31</v>
      </c>
      <c r="EP4" s="110" t="s">
        <v>31</v>
      </c>
      <c r="EQ4" s="110" t="s">
        <v>31</v>
      </c>
      <c r="ER4" s="110" t="s">
        <v>31</v>
      </c>
      <c r="ES4" s="110" t="s">
        <v>31</v>
      </c>
      <c r="ET4" s="110" t="s">
        <v>31</v>
      </c>
      <c r="EU4" s="110" t="s">
        <v>31</v>
      </c>
      <c r="EV4" s="110" t="s">
        <v>31</v>
      </c>
      <c r="EW4" s="110" t="s">
        <v>31</v>
      </c>
      <c r="EX4" s="110" t="s">
        <v>31</v>
      </c>
      <c r="EY4" s="110" t="s">
        <v>31</v>
      </c>
      <c r="EZ4" s="110" t="s">
        <v>31</v>
      </c>
      <c r="FA4" s="11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191</v>
      </c>
      <c r="GI4" s="80" t="s">
        <v>190</v>
      </c>
      <c r="GJ4" s="80" t="s">
        <v>29</v>
      </c>
      <c r="GK4" s="80" t="s">
        <v>190</v>
      </c>
      <c r="GL4" s="80" t="s">
        <v>31</v>
      </c>
      <c r="GM4" s="80" t="s">
        <v>191</v>
      </c>
      <c r="GN4" s="80" t="s">
        <v>190</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c r="IM4" s="80" t="s">
        <v>31</v>
      </c>
      <c r="IN4" s="80" t="s">
        <v>31</v>
      </c>
      <c r="IO4" s="80" t="s">
        <v>31</v>
      </c>
      <c r="IP4" s="80" t="s">
        <v>31</v>
      </c>
      <c r="IQ4" s="80" t="s">
        <v>31</v>
      </c>
      <c r="IR4" s="80" t="s">
        <v>31</v>
      </c>
      <c r="IS4" s="80" t="s">
        <v>31</v>
      </c>
      <c r="IT4" s="80" t="s">
        <v>31</v>
      </c>
      <c r="IU4" s="80" t="s">
        <v>31</v>
      </c>
      <c r="IV4" s="80" t="s">
        <v>31</v>
      </c>
      <c r="IW4" s="80" t="s">
        <v>31</v>
      </c>
    </row>
    <row r="5" spans="1:258" s="110" customFormat="1" ht="32.1" hidden="1" customHeight="1">
      <c r="A5" s="80" t="s">
        <v>32</v>
      </c>
      <c r="B5" s="93" t="s">
        <v>33</v>
      </c>
      <c r="C5" s="93" t="s">
        <v>33</v>
      </c>
      <c r="D5" s="93" t="s">
        <v>33</v>
      </c>
      <c r="E5" s="93" t="s">
        <v>33</v>
      </c>
      <c r="F5" s="93" t="s">
        <v>33</v>
      </c>
      <c r="G5" s="93" t="s">
        <v>33</v>
      </c>
      <c r="H5" s="93" t="s">
        <v>33</v>
      </c>
      <c r="I5" s="93" t="s">
        <v>33</v>
      </c>
      <c r="J5" s="93" t="s">
        <v>33</v>
      </c>
      <c r="K5" s="93" t="s">
        <v>33</v>
      </c>
      <c r="L5" s="93" t="s">
        <v>33</v>
      </c>
      <c r="M5" s="93" t="s">
        <v>33</v>
      </c>
      <c r="N5" s="93" t="s">
        <v>33</v>
      </c>
      <c r="O5" s="93" t="s">
        <v>33</v>
      </c>
      <c r="P5" s="93" t="s">
        <v>33</v>
      </c>
      <c r="Q5" s="93" t="s">
        <v>33</v>
      </c>
      <c r="R5" s="93" t="s">
        <v>33</v>
      </c>
      <c r="S5" s="93" t="s">
        <v>33</v>
      </c>
      <c r="T5" s="93" t="s">
        <v>33</v>
      </c>
      <c r="U5" s="93" t="s">
        <v>33</v>
      </c>
      <c r="V5" s="93" t="s">
        <v>33</v>
      </c>
      <c r="W5" s="93" t="s">
        <v>33</v>
      </c>
      <c r="X5" s="93" t="s">
        <v>33</v>
      </c>
      <c r="Y5" s="93" t="s">
        <v>33</v>
      </c>
      <c r="Z5" s="93" t="s">
        <v>33</v>
      </c>
      <c r="AA5" s="93" t="s">
        <v>33</v>
      </c>
      <c r="AB5" s="93" t="s">
        <v>33</v>
      </c>
      <c r="AC5" s="93" t="s">
        <v>33</v>
      </c>
      <c r="AD5" s="93" t="s">
        <v>33</v>
      </c>
      <c r="AE5" s="93"/>
      <c r="AF5" s="93"/>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t="s">
        <v>33</v>
      </c>
      <c r="BA5" s="93" t="s">
        <v>33</v>
      </c>
      <c r="BB5" s="93" t="s">
        <v>33</v>
      </c>
      <c r="BC5" s="93" t="s">
        <v>33</v>
      </c>
      <c r="BD5" s="93" t="s">
        <v>33</v>
      </c>
      <c r="BE5" s="93" t="s">
        <v>33</v>
      </c>
      <c r="BF5" s="93" t="s">
        <v>33</v>
      </c>
      <c r="BG5" s="93" t="s">
        <v>33</v>
      </c>
      <c r="BH5" s="93" t="s">
        <v>33</v>
      </c>
      <c r="BI5" s="93" t="s">
        <v>33</v>
      </c>
      <c r="BJ5" s="93"/>
      <c r="BK5" s="93"/>
      <c r="BL5" s="194"/>
      <c r="BM5" s="93" t="s">
        <v>36</v>
      </c>
      <c r="BN5" s="93" t="s">
        <v>36</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t="s">
        <v>33</v>
      </c>
      <c r="DR5" s="80" t="s">
        <v>33</v>
      </c>
      <c r="DS5" s="80" t="s">
        <v>33</v>
      </c>
      <c r="DT5" s="80" t="s">
        <v>33</v>
      </c>
      <c r="DU5" s="80"/>
      <c r="DV5" s="80" t="s">
        <v>34</v>
      </c>
      <c r="DW5" s="93" t="s">
        <v>194</v>
      </c>
      <c r="DX5" s="93" t="s">
        <v>194</v>
      </c>
      <c r="DY5" s="137" t="s">
        <v>33</v>
      </c>
      <c r="DZ5" s="110" t="s">
        <v>33</v>
      </c>
      <c r="EA5" s="110" t="s">
        <v>33</v>
      </c>
      <c r="EB5" s="110" t="s">
        <v>33</v>
      </c>
      <c r="EC5" s="110" t="s">
        <v>33</v>
      </c>
      <c r="ED5" s="110" t="s">
        <v>33</v>
      </c>
      <c r="EE5" s="110" t="s">
        <v>33</v>
      </c>
      <c r="EF5" s="110" t="s">
        <v>33</v>
      </c>
      <c r="EG5" s="110" t="s">
        <v>33</v>
      </c>
      <c r="EH5" s="110" t="s">
        <v>33</v>
      </c>
      <c r="EI5" s="110" t="s">
        <v>33</v>
      </c>
      <c r="EJ5" s="110" t="s">
        <v>33</v>
      </c>
      <c r="EK5" s="110" t="s">
        <v>33</v>
      </c>
      <c r="EL5" s="110" t="s">
        <v>33</v>
      </c>
      <c r="EM5" s="110" t="s">
        <v>33</v>
      </c>
      <c r="EN5" s="110" t="s">
        <v>33</v>
      </c>
      <c r="EO5" s="110" t="s">
        <v>33</v>
      </c>
      <c r="EP5" s="110" t="s">
        <v>33</v>
      </c>
      <c r="EQ5" s="110" t="s">
        <v>33</v>
      </c>
      <c r="ER5" s="110" t="s">
        <v>33</v>
      </c>
      <c r="ES5" s="110" t="s">
        <v>33</v>
      </c>
      <c r="ET5" s="110" t="s">
        <v>33</v>
      </c>
      <c r="EU5" s="110" t="s">
        <v>33</v>
      </c>
      <c r="EV5" s="110" t="s">
        <v>33</v>
      </c>
      <c r="EW5" s="110" t="s">
        <v>33</v>
      </c>
      <c r="EX5" s="110" t="s">
        <v>33</v>
      </c>
      <c r="EY5" s="110" t="s">
        <v>33</v>
      </c>
      <c r="EZ5" s="110" t="s">
        <v>33</v>
      </c>
      <c r="FA5" s="110" t="s">
        <v>33</v>
      </c>
      <c r="FB5" s="93"/>
      <c r="FC5" s="93"/>
      <c r="FD5" s="93" t="s">
        <v>33</v>
      </c>
      <c r="FE5" s="93" t="s">
        <v>33</v>
      </c>
      <c r="FF5" s="93" t="s">
        <v>33</v>
      </c>
      <c r="FG5" s="93" t="s">
        <v>33</v>
      </c>
      <c r="FH5" s="93" t="s">
        <v>33</v>
      </c>
      <c r="FI5" s="93" t="s">
        <v>33</v>
      </c>
      <c r="FJ5" s="93" t="s">
        <v>33</v>
      </c>
      <c r="FK5" s="93" t="s">
        <v>33</v>
      </c>
      <c r="FL5" s="93" t="s">
        <v>33</v>
      </c>
      <c r="FM5" s="93" t="s">
        <v>33</v>
      </c>
      <c r="FN5" s="93" t="s">
        <v>33</v>
      </c>
      <c r="FO5" s="93" t="s">
        <v>33</v>
      </c>
      <c r="FP5" s="93" t="s">
        <v>33</v>
      </c>
      <c r="FQ5" s="93" t="s">
        <v>33</v>
      </c>
      <c r="FR5" s="93" t="s">
        <v>33</v>
      </c>
      <c r="FS5" s="93" t="s">
        <v>33</v>
      </c>
      <c r="FT5" s="93" t="s">
        <v>33</v>
      </c>
      <c r="FU5" s="93" t="s">
        <v>33</v>
      </c>
      <c r="FV5" s="93" t="s">
        <v>33</v>
      </c>
      <c r="FW5" s="93" t="s">
        <v>33</v>
      </c>
      <c r="FX5" s="93" t="s">
        <v>33</v>
      </c>
      <c r="FY5" s="93" t="s">
        <v>33</v>
      </c>
      <c r="FZ5" s="93" t="s">
        <v>33</v>
      </c>
      <c r="GA5" s="93" t="s">
        <v>33</v>
      </c>
      <c r="GB5" s="93" t="s">
        <v>33</v>
      </c>
      <c r="GC5" s="93" t="s">
        <v>33</v>
      </c>
      <c r="GD5" s="93" t="s">
        <v>33</v>
      </c>
      <c r="GE5" s="93" t="s">
        <v>33</v>
      </c>
      <c r="GF5" s="93" t="s">
        <v>33</v>
      </c>
      <c r="GG5" s="93"/>
      <c r="GH5" s="93"/>
      <c r="GI5" s="93" t="s">
        <v>34</v>
      </c>
      <c r="GJ5" s="93"/>
      <c r="GK5" s="93" t="s">
        <v>34</v>
      </c>
      <c r="GL5" s="93" t="s">
        <v>811</v>
      </c>
      <c r="GM5" s="93"/>
      <c r="GN5" s="93" t="s">
        <v>34</v>
      </c>
      <c r="GO5" s="93"/>
      <c r="GP5" s="79" t="s">
        <v>461</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R5" s="79" t="s">
        <v>33</v>
      </c>
      <c r="HS5" s="79" t="s">
        <v>33</v>
      </c>
      <c r="HT5" s="79" t="s">
        <v>461</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c r="IW5" s="79" t="s">
        <v>33</v>
      </c>
    </row>
    <row r="6" spans="1:258" s="140" customFormat="1" ht="15" hidden="1">
      <c r="A6" s="138" t="s">
        <v>39</v>
      </c>
      <c r="B6" s="133"/>
      <c r="C6" s="133"/>
      <c r="D6" s="133"/>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95"/>
      <c r="BM6" s="133"/>
      <c r="BN6" s="133"/>
      <c r="BO6" s="138"/>
      <c r="BP6" s="138"/>
      <c r="BQ6" s="138"/>
      <c r="BR6" s="138"/>
      <c r="BS6" s="138"/>
      <c r="BT6" s="138"/>
      <c r="BU6" s="138"/>
      <c r="BV6" s="138"/>
      <c r="BW6" s="138"/>
      <c r="BX6" s="138"/>
      <c r="BY6" s="138"/>
      <c r="BZ6" s="138"/>
      <c r="CA6" s="138"/>
      <c r="CB6" s="138"/>
      <c r="CC6" s="138"/>
      <c r="CD6" s="138"/>
      <c r="CE6" s="138"/>
      <c r="CF6" s="138"/>
      <c r="CG6" s="138"/>
      <c r="CH6" s="138"/>
      <c r="CI6" s="138"/>
      <c r="CJ6" s="138"/>
      <c r="CK6" s="138"/>
      <c r="CL6" s="138"/>
      <c r="CM6" s="138"/>
      <c r="CN6" s="138"/>
      <c r="CO6" s="138"/>
      <c r="CP6" s="138"/>
      <c r="CQ6" s="138"/>
      <c r="CR6" s="138"/>
      <c r="CS6" s="138"/>
      <c r="CT6" s="138"/>
      <c r="CU6" s="138"/>
      <c r="CV6" s="138"/>
      <c r="CW6" s="138"/>
      <c r="CX6" s="138"/>
      <c r="CY6" s="138"/>
      <c r="CZ6" s="138"/>
      <c r="DA6" s="138"/>
      <c r="DB6" s="138"/>
      <c r="DC6" s="138"/>
      <c r="DD6" s="138"/>
      <c r="DE6" s="138"/>
      <c r="DF6" s="138"/>
      <c r="DG6" s="138"/>
      <c r="DH6" s="138"/>
      <c r="DI6" s="138"/>
      <c r="DJ6" s="138"/>
      <c r="DK6" s="138"/>
      <c r="DL6" s="138"/>
      <c r="DM6" s="138"/>
      <c r="DN6" s="138"/>
      <c r="DO6" s="138"/>
      <c r="DP6" s="138"/>
      <c r="DQ6" s="138"/>
      <c r="DR6" s="138"/>
      <c r="DS6" s="138"/>
      <c r="DT6" s="138"/>
      <c r="DU6" s="138"/>
      <c r="DV6" s="138"/>
      <c r="DW6" s="133"/>
      <c r="DX6" s="133"/>
      <c r="DY6" s="139"/>
      <c r="FB6" s="133"/>
      <c r="FC6" s="133"/>
      <c r="FD6" s="133"/>
      <c r="FE6" s="133"/>
      <c r="FF6" s="133"/>
      <c r="FG6" s="133"/>
      <c r="FH6" s="133"/>
      <c r="FI6" s="133"/>
      <c r="FJ6" s="133"/>
      <c r="FK6" s="133"/>
      <c r="FL6" s="133"/>
      <c r="FM6" s="133"/>
      <c r="FN6" s="133"/>
      <c r="FO6" s="133"/>
      <c r="FP6" s="133"/>
      <c r="FQ6" s="133"/>
      <c r="FR6" s="133"/>
      <c r="FS6" s="133"/>
      <c r="FT6" s="133"/>
      <c r="FU6" s="133"/>
      <c r="FV6" s="133"/>
      <c r="FW6" s="133"/>
      <c r="FX6" s="133"/>
      <c r="FY6" s="133"/>
      <c r="FZ6" s="133"/>
      <c r="GA6" s="133"/>
      <c r="GB6" s="133"/>
      <c r="GC6" s="133"/>
      <c r="GD6" s="133"/>
      <c r="GE6" s="133"/>
      <c r="GF6" s="133"/>
      <c r="GG6" s="133"/>
      <c r="GH6" s="133"/>
      <c r="GI6" s="133"/>
      <c r="GJ6" s="133"/>
      <c r="GK6" s="133"/>
      <c r="GL6" s="133"/>
      <c r="GM6" s="133"/>
      <c r="GN6" s="133"/>
      <c r="GO6" s="133"/>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1</v>
      </c>
      <c r="HJ6" s="93">
        <v>1</v>
      </c>
      <c r="HK6" s="93">
        <v>1</v>
      </c>
      <c r="HL6" s="93">
        <v>1</v>
      </c>
      <c r="HM6" s="93">
        <v>1</v>
      </c>
      <c r="HN6" s="93">
        <v>1</v>
      </c>
      <c r="HO6" s="93">
        <v>1</v>
      </c>
      <c r="HP6" s="93">
        <v>1</v>
      </c>
      <c r="HQ6" s="93">
        <v>1</v>
      </c>
      <c r="HR6" s="93">
        <v>1</v>
      </c>
      <c r="HS6" s="93">
        <v>1</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c r="IM6" s="93">
        <v>2</v>
      </c>
      <c r="IN6" s="93">
        <v>2</v>
      </c>
      <c r="IO6" s="93">
        <v>2</v>
      </c>
      <c r="IP6" s="93">
        <v>2</v>
      </c>
      <c r="IQ6" s="93">
        <v>2</v>
      </c>
      <c r="IR6" s="93">
        <v>2</v>
      </c>
      <c r="IS6" s="93">
        <v>2</v>
      </c>
      <c r="IT6" s="93">
        <v>2</v>
      </c>
      <c r="IU6" s="93">
        <v>2</v>
      </c>
      <c r="IV6" s="93">
        <v>2</v>
      </c>
      <c r="IW6" s="93">
        <v>2</v>
      </c>
      <c r="IX6" s="93"/>
    </row>
    <row r="7" spans="1:258" s="140" customFormat="1" ht="15" hidden="1">
      <c r="A7" s="138" t="s">
        <v>40</v>
      </c>
      <c r="B7" s="133" t="s">
        <v>9</v>
      </c>
      <c r="C7" s="138" t="s">
        <v>41</v>
      </c>
      <c r="D7" s="138" t="s">
        <v>42</v>
      </c>
      <c r="E7" s="138" t="s">
        <v>43</v>
      </c>
      <c r="F7" s="138" t="s">
        <v>44</v>
      </c>
      <c r="G7" s="138" t="s">
        <v>45</v>
      </c>
      <c r="H7" s="138" t="s">
        <v>46</v>
      </c>
      <c r="I7" s="138" t="s">
        <v>47</v>
      </c>
      <c r="J7" s="138" t="s">
        <v>48</v>
      </c>
      <c r="K7" s="138" t="s">
        <v>49</v>
      </c>
      <c r="L7" s="138" t="s">
        <v>50</v>
      </c>
      <c r="M7" s="138" t="s">
        <v>51</v>
      </c>
      <c r="N7" s="138" t="s">
        <v>52</v>
      </c>
      <c r="O7" s="138" t="s">
        <v>53</v>
      </c>
      <c r="P7" s="138" t="s">
        <v>54</v>
      </c>
      <c r="Q7" s="138" t="s">
        <v>55</v>
      </c>
      <c r="R7" s="138" t="s">
        <v>56</v>
      </c>
      <c r="S7" s="138" t="s">
        <v>5676</v>
      </c>
      <c r="T7" s="138" t="s">
        <v>57</v>
      </c>
      <c r="U7" s="138" t="s">
        <v>58</v>
      </c>
      <c r="V7" s="138" t="s">
        <v>59</v>
      </c>
      <c r="W7" s="138" t="s">
        <v>60</v>
      </c>
      <c r="X7" s="138" t="s">
        <v>61</v>
      </c>
      <c r="Y7" s="138" t="s">
        <v>62</v>
      </c>
      <c r="Z7" s="138" t="s">
        <v>63</v>
      </c>
      <c r="AA7" s="138" t="s">
        <v>64</v>
      </c>
      <c r="AB7" s="138" t="s">
        <v>5677</v>
      </c>
      <c r="AC7" s="138" t="s">
        <v>65</v>
      </c>
      <c r="AD7" s="138" t="s">
        <v>5674</v>
      </c>
      <c r="AE7" s="133"/>
      <c r="AF7" s="133"/>
      <c r="AG7" s="133" t="s">
        <v>9</v>
      </c>
      <c r="AH7" s="138" t="s">
        <v>41</v>
      </c>
      <c r="AI7" s="138" t="s">
        <v>42</v>
      </c>
      <c r="AJ7" s="138" t="s">
        <v>43</v>
      </c>
      <c r="AK7" s="138" t="s">
        <v>44</v>
      </c>
      <c r="AL7" s="138" t="s">
        <v>45</v>
      </c>
      <c r="AM7" s="138" t="s">
        <v>46</v>
      </c>
      <c r="AN7" s="138" t="s">
        <v>47</v>
      </c>
      <c r="AO7" s="138" t="s">
        <v>48</v>
      </c>
      <c r="AP7" s="138" t="s">
        <v>49</v>
      </c>
      <c r="AQ7" s="138" t="s">
        <v>50</v>
      </c>
      <c r="AR7" s="138" t="s">
        <v>51</v>
      </c>
      <c r="AS7" s="138" t="s">
        <v>52</v>
      </c>
      <c r="AT7" s="138" t="s">
        <v>53</v>
      </c>
      <c r="AU7" s="138" t="s">
        <v>54</v>
      </c>
      <c r="AV7" s="138" t="s">
        <v>55</v>
      </c>
      <c r="AW7" s="138" t="s">
        <v>56</v>
      </c>
      <c r="AX7" s="138" t="s">
        <v>5676</v>
      </c>
      <c r="AY7" s="138" t="s">
        <v>57</v>
      </c>
      <c r="AZ7" s="138" t="s">
        <v>58</v>
      </c>
      <c r="BA7" s="138" t="s">
        <v>59</v>
      </c>
      <c r="BB7" s="138" t="s">
        <v>60</v>
      </c>
      <c r="BC7" s="138" t="s">
        <v>61</v>
      </c>
      <c r="BD7" s="138" t="s">
        <v>62</v>
      </c>
      <c r="BE7" s="138" t="s">
        <v>63</v>
      </c>
      <c r="BF7" s="138" t="s">
        <v>64</v>
      </c>
      <c r="BG7" s="138" t="s">
        <v>5677</v>
      </c>
      <c r="BH7" s="138" t="s">
        <v>65</v>
      </c>
      <c r="BI7" s="138" t="s">
        <v>5674</v>
      </c>
      <c r="BJ7" s="133"/>
      <c r="BK7" s="133"/>
      <c r="BL7" s="195"/>
      <c r="BM7" s="133"/>
      <c r="BN7" s="133"/>
      <c r="BO7" s="138" t="s">
        <v>9</v>
      </c>
      <c r="BP7" s="138" t="s">
        <v>41</v>
      </c>
      <c r="BQ7" s="138" t="s">
        <v>42</v>
      </c>
      <c r="BR7" s="138" t="s">
        <v>43</v>
      </c>
      <c r="BS7" s="138" t="s">
        <v>44</v>
      </c>
      <c r="BT7" s="138" t="s">
        <v>45</v>
      </c>
      <c r="BU7" s="138" t="s">
        <v>46</v>
      </c>
      <c r="BV7" s="138" t="s">
        <v>47</v>
      </c>
      <c r="BW7" s="138" t="s">
        <v>48</v>
      </c>
      <c r="BX7" s="138" t="s">
        <v>49</v>
      </c>
      <c r="BY7" s="138" t="s">
        <v>50</v>
      </c>
      <c r="BZ7" s="138" t="s">
        <v>51</v>
      </c>
      <c r="CA7" s="138" t="s">
        <v>52</v>
      </c>
      <c r="CB7" s="138" t="s">
        <v>53</v>
      </c>
      <c r="CC7" s="138" t="s">
        <v>54</v>
      </c>
      <c r="CD7" s="138" t="s">
        <v>55</v>
      </c>
      <c r="CE7" s="138" t="s">
        <v>56</v>
      </c>
      <c r="CF7" s="138" t="s">
        <v>5676</v>
      </c>
      <c r="CG7" s="138" t="s">
        <v>57</v>
      </c>
      <c r="CH7" s="138" t="s">
        <v>58</v>
      </c>
      <c r="CI7" s="138" t="s">
        <v>59</v>
      </c>
      <c r="CJ7" s="138" t="s">
        <v>60</v>
      </c>
      <c r="CK7" s="138" t="s">
        <v>61</v>
      </c>
      <c r="CL7" s="138" t="s">
        <v>62</v>
      </c>
      <c r="CM7" s="138" t="s">
        <v>63</v>
      </c>
      <c r="CN7" s="138" t="s">
        <v>64</v>
      </c>
      <c r="CO7" s="138" t="s">
        <v>5677</v>
      </c>
      <c r="CP7" s="138" t="s">
        <v>65</v>
      </c>
      <c r="CQ7" s="138" t="s">
        <v>5674</v>
      </c>
      <c r="CR7" s="138" t="s">
        <v>9</v>
      </c>
      <c r="CS7" s="138" t="s">
        <v>41</v>
      </c>
      <c r="CT7" s="138" t="s">
        <v>42</v>
      </c>
      <c r="CU7" s="138" t="s">
        <v>43</v>
      </c>
      <c r="CV7" s="138" t="s">
        <v>44</v>
      </c>
      <c r="CW7" s="138" t="s">
        <v>45</v>
      </c>
      <c r="CX7" s="138" t="s">
        <v>46</v>
      </c>
      <c r="CY7" s="138" t="s">
        <v>47</v>
      </c>
      <c r="CZ7" s="138" t="s">
        <v>48</v>
      </c>
      <c r="DA7" s="138" t="s">
        <v>49</v>
      </c>
      <c r="DB7" s="138" t="s">
        <v>50</v>
      </c>
      <c r="DC7" s="138" t="s">
        <v>51</v>
      </c>
      <c r="DD7" s="138" t="s">
        <v>52</v>
      </c>
      <c r="DE7" s="138" t="s">
        <v>53</v>
      </c>
      <c r="DF7" s="138" t="s">
        <v>54</v>
      </c>
      <c r="DG7" s="138" t="s">
        <v>55</v>
      </c>
      <c r="DH7" s="138" t="s">
        <v>56</v>
      </c>
      <c r="DI7" s="138" t="s">
        <v>5676</v>
      </c>
      <c r="DJ7" s="138" t="s">
        <v>57</v>
      </c>
      <c r="DK7" s="138" t="s">
        <v>58</v>
      </c>
      <c r="DL7" s="138" t="s">
        <v>59</v>
      </c>
      <c r="DM7" s="138" t="s">
        <v>60</v>
      </c>
      <c r="DN7" s="138" t="s">
        <v>61</v>
      </c>
      <c r="DO7" s="138" t="s">
        <v>62</v>
      </c>
      <c r="DP7" s="138" t="s">
        <v>63</v>
      </c>
      <c r="DQ7" s="138" t="s">
        <v>64</v>
      </c>
      <c r="DR7" s="138" t="s">
        <v>5677</v>
      </c>
      <c r="DS7" s="138" t="s">
        <v>65</v>
      </c>
      <c r="DT7" s="138" t="s">
        <v>5674</v>
      </c>
      <c r="DU7" s="138"/>
      <c r="DV7" s="138"/>
      <c r="DW7" s="133"/>
      <c r="DX7" s="133"/>
      <c r="DY7" s="139" t="s">
        <v>9</v>
      </c>
      <c r="DZ7" s="141" t="s">
        <v>41</v>
      </c>
      <c r="EA7" s="141" t="s">
        <v>42</v>
      </c>
      <c r="EB7" s="141" t="s">
        <v>43</v>
      </c>
      <c r="EC7" s="141" t="s">
        <v>44</v>
      </c>
      <c r="ED7" s="141" t="s">
        <v>45</v>
      </c>
      <c r="EE7" s="141" t="s">
        <v>46</v>
      </c>
      <c r="EF7" s="141" t="s">
        <v>47</v>
      </c>
      <c r="EG7" s="141" t="s">
        <v>48</v>
      </c>
      <c r="EH7" s="141" t="s">
        <v>49</v>
      </c>
      <c r="EI7" s="141" t="s">
        <v>50</v>
      </c>
      <c r="EJ7" s="141" t="s">
        <v>51</v>
      </c>
      <c r="EK7" s="141" t="s">
        <v>52</v>
      </c>
      <c r="EL7" s="141" t="s">
        <v>53</v>
      </c>
      <c r="EM7" s="141" t="s">
        <v>54</v>
      </c>
      <c r="EN7" s="141" t="s">
        <v>55</v>
      </c>
      <c r="EO7" s="141" t="s">
        <v>56</v>
      </c>
      <c r="EP7" s="141" t="s">
        <v>5676</v>
      </c>
      <c r="EQ7" s="141" t="s">
        <v>57</v>
      </c>
      <c r="ER7" s="141" t="s">
        <v>58</v>
      </c>
      <c r="ES7" s="141" t="s">
        <v>59</v>
      </c>
      <c r="ET7" s="141" t="s">
        <v>60</v>
      </c>
      <c r="EU7" s="141" t="s">
        <v>61</v>
      </c>
      <c r="EV7" s="141" t="s">
        <v>62</v>
      </c>
      <c r="EW7" s="141" t="s">
        <v>63</v>
      </c>
      <c r="EX7" s="141" t="s">
        <v>64</v>
      </c>
      <c r="EY7" s="141" t="s">
        <v>5677</v>
      </c>
      <c r="EZ7" s="141" t="s">
        <v>65</v>
      </c>
      <c r="FA7" s="141" t="s">
        <v>5674</v>
      </c>
      <c r="FB7" s="133"/>
      <c r="FC7" s="133"/>
      <c r="FD7" s="133" t="s">
        <v>9</v>
      </c>
      <c r="FE7" s="138" t="s">
        <v>41</v>
      </c>
      <c r="FF7" s="138" t="s">
        <v>42</v>
      </c>
      <c r="FG7" s="138" t="s">
        <v>43</v>
      </c>
      <c r="FH7" s="138" t="s">
        <v>44</v>
      </c>
      <c r="FI7" s="138" t="s">
        <v>45</v>
      </c>
      <c r="FJ7" s="138" t="s">
        <v>46</v>
      </c>
      <c r="FK7" s="138" t="s">
        <v>47</v>
      </c>
      <c r="FL7" s="138" t="s">
        <v>48</v>
      </c>
      <c r="FM7" s="138" t="s">
        <v>49</v>
      </c>
      <c r="FN7" s="138" t="s">
        <v>50</v>
      </c>
      <c r="FO7" s="138" t="s">
        <v>51</v>
      </c>
      <c r="FP7" s="138" t="s">
        <v>52</v>
      </c>
      <c r="FQ7" s="138" t="s">
        <v>53</v>
      </c>
      <c r="FR7" s="138" t="s">
        <v>54</v>
      </c>
      <c r="FS7" s="138" t="s">
        <v>55</v>
      </c>
      <c r="FT7" s="138" t="s">
        <v>56</v>
      </c>
      <c r="FU7" s="138" t="s">
        <v>5676</v>
      </c>
      <c r="FV7" s="138" t="s">
        <v>57</v>
      </c>
      <c r="FW7" s="138" t="s">
        <v>58</v>
      </c>
      <c r="FX7" s="138" t="s">
        <v>59</v>
      </c>
      <c r="FY7" s="138" t="s">
        <v>60</v>
      </c>
      <c r="FZ7" s="138" t="s">
        <v>61</v>
      </c>
      <c r="GA7" s="138" t="s">
        <v>62</v>
      </c>
      <c r="GB7" s="138" t="s">
        <v>63</v>
      </c>
      <c r="GC7" s="138" t="s">
        <v>64</v>
      </c>
      <c r="GD7" s="138" t="s">
        <v>5677</v>
      </c>
      <c r="GE7" s="138" t="s">
        <v>65</v>
      </c>
      <c r="GF7" s="138" t="s">
        <v>5674</v>
      </c>
      <c r="GG7" s="133"/>
      <c r="GH7" s="133"/>
      <c r="GI7" s="133"/>
      <c r="GJ7" s="133"/>
      <c r="GK7" s="133"/>
      <c r="GL7" s="133"/>
      <c r="GM7" s="133"/>
      <c r="GN7" s="133"/>
      <c r="GO7" s="133"/>
      <c r="GP7" s="79"/>
      <c r="GQ7" s="79" t="s">
        <v>9</v>
      </c>
      <c r="GR7" s="80" t="s">
        <v>41</v>
      </c>
      <c r="GS7" s="80" t="s">
        <v>42</v>
      </c>
      <c r="GT7" s="80" t="s">
        <v>43</v>
      </c>
      <c r="GU7" s="80" t="s">
        <v>44</v>
      </c>
      <c r="GV7" s="80" t="s">
        <v>45</v>
      </c>
      <c r="GW7" s="80" t="s">
        <v>46</v>
      </c>
      <c r="GX7" s="80" t="s">
        <v>47</v>
      </c>
      <c r="GY7" s="80" t="s">
        <v>48</v>
      </c>
      <c r="GZ7" s="80" t="s">
        <v>49</v>
      </c>
      <c r="HA7" s="80" t="s">
        <v>50</v>
      </c>
      <c r="HB7" s="80" t="s">
        <v>51</v>
      </c>
      <c r="HC7" s="80" t="s">
        <v>52</v>
      </c>
      <c r="HD7" s="80" t="s">
        <v>53</v>
      </c>
      <c r="HE7" s="80" t="s">
        <v>54</v>
      </c>
      <c r="HF7" s="80" t="s">
        <v>55</v>
      </c>
      <c r="HG7" s="80" t="s">
        <v>56</v>
      </c>
      <c r="HH7" s="80" t="s">
        <v>5676</v>
      </c>
      <c r="HI7" s="80" t="s">
        <v>57</v>
      </c>
      <c r="HJ7" s="80" t="s">
        <v>58</v>
      </c>
      <c r="HK7" s="80" t="s">
        <v>59</v>
      </c>
      <c r="HL7" s="80" t="s">
        <v>60</v>
      </c>
      <c r="HM7" s="80" t="s">
        <v>61</v>
      </c>
      <c r="HN7" s="80" t="s">
        <v>62</v>
      </c>
      <c r="HO7" s="80" t="s">
        <v>63</v>
      </c>
      <c r="HP7" s="80" t="s">
        <v>64</v>
      </c>
      <c r="HQ7" s="80" t="s">
        <v>5677</v>
      </c>
      <c r="HR7" s="80" t="s">
        <v>65</v>
      </c>
      <c r="HS7" s="80" t="s">
        <v>5674</v>
      </c>
      <c r="HT7" s="79"/>
      <c r="HU7" s="108" t="s">
        <v>9</v>
      </c>
      <c r="HV7" s="105" t="s">
        <v>41</v>
      </c>
      <c r="HW7" s="105" t="s">
        <v>42</v>
      </c>
      <c r="HX7" s="105" t="s">
        <v>43</v>
      </c>
      <c r="HY7" s="105" t="s">
        <v>44</v>
      </c>
      <c r="HZ7" s="105" t="s">
        <v>45</v>
      </c>
      <c r="IA7" s="105" t="s">
        <v>46</v>
      </c>
      <c r="IB7" s="105" t="s">
        <v>47</v>
      </c>
      <c r="IC7" s="105" t="s">
        <v>48</v>
      </c>
      <c r="ID7" s="105" t="s">
        <v>49</v>
      </c>
      <c r="IE7" s="105" t="s">
        <v>50</v>
      </c>
      <c r="IF7" s="105" t="s">
        <v>51</v>
      </c>
      <c r="IG7" s="105" t="s">
        <v>52</v>
      </c>
      <c r="IH7" s="105" t="s">
        <v>53</v>
      </c>
      <c r="II7" s="105" t="s">
        <v>54</v>
      </c>
      <c r="IJ7" s="105" t="s">
        <v>55</v>
      </c>
      <c r="IK7" s="105" t="s">
        <v>56</v>
      </c>
      <c r="IL7" s="105" t="s">
        <v>5676</v>
      </c>
      <c r="IM7" s="105" t="s">
        <v>57</v>
      </c>
      <c r="IN7" s="105" t="s">
        <v>58</v>
      </c>
      <c r="IO7" s="105" t="s">
        <v>59</v>
      </c>
      <c r="IP7" s="105" t="s">
        <v>60</v>
      </c>
      <c r="IQ7" s="105" t="s">
        <v>61</v>
      </c>
      <c r="IR7" s="105" t="s">
        <v>62</v>
      </c>
      <c r="IS7" s="105" t="s">
        <v>63</v>
      </c>
      <c r="IT7" s="105" t="s">
        <v>64</v>
      </c>
      <c r="IU7" s="105" t="s">
        <v>5677</v>
      </c>
      <c r="IV7" s="105" t="s">
        <v>65</v>
      </c>
      <c r="IW7" s="105" t="s">
        <v>5674</v>
      </c>
    </row>
    <row r="8" spans="1:258" s="134" customFormat="1" ht="29.85"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816</v>
      </c>
      <c r="AF8" s="279" t="s">
        <v>817</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818</v>
      </c>
      <c r="BK8" s="18" t="s">
        <v>819</v>
      </c>
      <c r="BL8" s="18" t="s">
        <v>820</v>
      </c>
      <c r="BM8" s="18" t="s">
        <v>821</v>
      </c>
      <c r="BN8" s="18"/>
      <c r="BO8" s="18" t="s">
        <v>317</v>
      </c>
      <c r="BP8" s="18" t="s">
        <v>6377</v>
      </c>
      <c r="BQ8" s="18" t="s">
        <v>6380</v>
      </c>
      <c r="BR8" s="18" t="s">
        <v>6382</v>
      </c>
      <c r="BS8" s="18" t="s">
        <v>6384</v>
      </c>
      <c r="BT8" s="18" t="s">
        <v>6388</v>
      </c>
      <c r="BU8" s="18" t="s">
        <v>6375</v>
      </c>
      <c r="BV8" s="18" t="s">
        <v>6386</v>
      </c>
      <c r="BW8" s="18" t="s">
        <v>6395</v>
      </c>
      <c r="BX8" s="18" t="s">
        <v>6376</v>
      </c>
      <c r="BY8" s="18" t="s">
        <v>6392</v>
      </c>
      <c r="BZ8" s="18" t="s">
        <v>6394</v>
      </c>
      <c r="CA8" s="18" t="s">
        <v>6381</v>
      </c>
      <c r="CB8" s="18" t="s">
        <v>6398</v>
      </c>
      <c r="CC8" s="18" t="s">
        <v>6396</v>
      </c>
      <c r="CD8" s="18" t="s">
        <v>6379</v>
      </c>
      <c r="CE8" s="18" t="s">
        <v>6378</v>
      </c>
      <c r="CF8" s="18" t="s">
        <v>6399</v>
      </c>
      <c r="CG8" s="18" t="s">
        <v>6383</v>
      </c>
      <c r="CH8" s="18" t="s">
        <v>6385</v>
      </c>
      <c r="CI8" s="18" t="s">
        <v>6400</v>
      </c>
      <c r="CJ8" s="18" t="s">
        <v>6387</v>
      </c>
      <c r="CK8" s="18" t="s">
        <v>6389</v>
      </c>
      <c r="CL8" s="18" t="s">
        <v>6390</v>
      </c>
      <c r="CM8" s="18" t="s">
        <v>6391</v>
      </c>
      <c r="CN8" s="18" t="s">
        <v>6393</v>
      </c>
      <c r="CO8" s="18" t="s">
        <v>6402</v>
      </c>
      <c r="CP8" s="18" t="s">
        <v>6397</v>
      </c>
      <c r="CQ8" s="18" t="s">
        <v>6401</v>
      </c>
      <c r="CR8" s="18" t="s">
        <v>209</v>
      </c>
      <c r="CS8" s="18" t="s">
        <v>6348</v>
      </c>
      <c r="CT8" s="18" t="s">
        <v>6349</v>
      </c>
      <c r="CU8" s="18" t="s">
        <v>6350</v>
      </c>
      <c r="CV8" s="18" t="s">
        <v>6351</v>
      </c>
      <c r="CW8" s="18" t="s">
        <v>6352</v>
      </c>
      <c r="CX8" s="18" t="s">
        <v>6353</v>
      </c>
      <c r="CY8" s="18" t="s">
        <v>6354</v>
      </c>
      <c r="CZ8" s="18" t="s">
        <v>6355</v>
      </c>
      <c r="DA8" s="18" t="s">
        <v>6356</v>
      </c>
      <c r="DB8" s="18" t="s">
        <v>6357</v>
      </c>
      <c r="DC8" s="18" t="s">
        <v>6358</v>
      </c>
      <c r="DD8" s="18" t="s">
        <v>6359</v>
      </c>
      <c r="DE8" s="18" t="s">
        <v>6360</v>
      </c>
      <c r="DF8" s="18" t="s">
        <v>6361</v>
      </c>
      <c r="DG8" s="18" t="s">
        <v>6362</v>
      </c>
      <c r="DH8" s="18" t="s">
        <v>6363</v>
      </c>
      <c r="DI8" s="18" t="s">
        <v>6364</v>
      </c>
      <c r="DJ8" s="18" t="s">
        <v>6365</v>
      </c>
      <c r="DK8" s="18" t="s">
        <v>6366</v>
      </c>
      <c r="DL8" s="18" t="s">
        <v>6367</v>
      </c>
      <c r="DM8" s="18" t="s">
        <v>6368</v>
      </c>
      <c r="DN8" s="18" t="s">
        <v>6369</v>
      </c>
      <c r="DO8" s="18" t="s">
        <v>6370</v>
      </c>
      <c r="DP8" s="18" t="s">
        <v>6371</v>
      </c>
      <c r="DQ8" s="18" t="s">
        <v>6372</v>
      </c>
      <c r="DR8" s="18" t="s">
        <v>6358</v>
      </c>
      <c r="DS8" s="18" t="s">
        <v>6373</v>
      </c>
      <c r="DT8" s="18" t="s">
        <v>6374</v>
      </c>
      <c r="DU8" s="18" t="s">
        <v>318</v>
      </c>
      <c r="DV8" s="18"/>
      <c r="DW8" s="18" t="s">
        <v>822</v>
      </c>
      <c r="DX8" s="18"/>
      <c r="DY8" s="211" t="s">
        <v>474</v>
      </c>
      <c r="DZ8" s="191" t="s">
        <v>6551</v>
      </c>
      <c r="EA8" s="191" t="s">
        <v>6552</v>
      </c>
      <c r="EB8" s="191" t="s">
        <v>6553</v>
      </c>
      <c r="EC8" s="191" t="s">
        <v>6554</v>
      </c>
      <c r="ED8" s="191" t="s">
        <v>6555</v>
      </c>
      <c r="EE8" s="191" t="s">
        <v>6556</v>
      </c>
      <c r="EF8" s="191" t="s">
        <v>6557</v>
      </c>
      <c r="EG8" s="191" t="s">
        <v>6558</v>
      </c>
      <c r="EH8" s="191" t="s">
        <v>6559</v>
      </c>
      <c r="EI8" s="191" t="s">
        <v>6560</v>
      </c>
      <c r="EJ8" s="191" t="s">
        <v>6561</v>
      </c>
      <c r="EK8" s="191" t="s">
        <v>6562</v>
      </c>
      <c r="EL8" s="191" t="s">
        <v>6563</v>
      </c>
      <c r="EM8" s="191" t="s">
        <v>6564</v>
      </c>
      <c r="EN8" s="191" t="s">
        <v>6565</v>
      </c>
      <c r="EO8" s="191" t="s">
        <v>6566</v>
      </c>
      <c r="EP8" s="191" t="s">
        <v>6567</v>
      </c>
      <c r="EQ8" s="191" t="s">
        <v>6568</v>
      </c>
      <c r="ER8" s="191" t="s">
        <v>6569</v>
      </c>
      <c r="ES8" s="191" t="s">
        <v>6570</v>
      </c>
      <c r="ET8" s="191" t="s">
        <v>6571</v>
      </c>
      <c r="EU8" s="191" t="s">
        <v>6572</v>
      </c>
      <c r="EV8" s="191" t="s">
        <v>6573</v>
      </c>
      <c r="EW8" s="191" t="s">
        <v>6574</v>
      </c>
      <c r="EX8" s="191" t="s">
        <v>6575</v>
      </c>
      <c r="EY8" s="191" t="s">
        <v>6561</v>
      </c>
      <c r="EZ8" s="191" t="s">
        <v>6576</v>
      </c>
      <c r="FA8" s="191" t="s">
        <v>6577</v>
      </c>
      <c r="FB8" s="275" t="s">
        <v>823</v>
      </c>
      <c r="FC8" s="276" t="s">
        <v>824</v>
      </c>
      <c r="FD8" s="5" t="s">
        <v>475</v>
      </c>
      <c r="FE8" s="5" t="s">
        <v>6326</v>
      </c>
      <c r="FF8" s="5" t="s">
        <v>6327</v>
      </c>
      <c r="FG8" s="5" t="s">
        <v>6328</v>
      </c>
      <c r="FH8" s="5" t="s">
        <v>6329</v>
      </c>
      <c r="FI8" s="5" t="s">
        <v>6330</v>
      </c>
      <c r="FJ8" s="5" t="s">
        <v>6331</v>
      </c>
      <c r="FK8" s="5" t="s">
        <v>6332</v>
      </c>
      <c r="FL8" s="5" t="s">
        <v>6333</v>
      </c>
      <c r="FM8" s="5" t="s">
        <v>68</v>
      </c>
      <c r="FN8" s="5" t="s">
        <v>6334</v>
      </c>
      <c r="FO8" s="5" t="s">
        <v>6335</v>
      </c>
      <c r="FP8" s="5" t="s">
        <v>6336</v>
      </c>
      <c r="FQ8" s="5" t="s">
        <v>6495</v>
      </c>
      <c r="FR8" s="5" t="s">
        <v>6338</v>
      </c>
      <c r="FS8" s="5" t="s">
        <v>6339</v>
      </c>
      <c r="FT8" s="5" t="s">
        <v>6340</v>
      </c>
      <c r="FU8" s="5" t="s">
        <v>6341</v>
      </c>
      <c r="FV8" s="5" t="s">
        <v>6342</v>
      </c>
      <c r="FW8" s="5" t="s">
        <v>6496</v>
      </c>
      <c r="FX8" s="5" t="s">
        <v>6328</v>
      </c>
      <c r="FY8" s="5" t="s">
        <v>6335</v>
      </c>
      <c r="FZ8" s="5" t="s">
        <v>6344</v>
      </c>
      <c r="GA8" s="5" t="s">
        <v>6345</v>
      </c>
      <c r="GB8" s="5" t="s">
        <v>6335</v>
      </c>
      <c r="GC8" s="5" t="s">
        <v>6335</v>
      </c>
      <c r="GD8" s="5" t="s">
        <v>6335</v>
      </c>
      <c r="GE8" s="5" t="s">
        <v>6346</v>
      </c>
      <c r="GF8" s="5" t="s">
        <v>6347</v>
      </c>
      <c r="GG8" s="5" t="s">
        <v>825</v>
      </c>
      <c r="GH8" s="5" t="s">
        <v>826</v>
      </c>
      <c r="GI8" s="5"/>
      <c r="GJ8" s="5" t="s">
        <v>484</v>
      </c>
      <c r="GK8" s="5"/>
      <c r="GL8" s="5" t="s">
        <v>480</v>
      </c>
      <c r="GM8" s="5" t="s">
        <v>485</v>
      </c>
      <c r="GN8" s="5"/>
      <c r="GO8" s="5" t="s">
        <v>489</v>
      </c>
      <c r="GP8" s="281" t="s">
        <v>490</v>
      </c>
      <c r="GQ8" s="5" t="s">
        <v>491</v>
      </c>
      <c r="GR8" s="5" t="s">
        <v>6524</v>
      </c>
      <c r="GS8" s="5" t="s">
        <v>6525</v>
      </c>
      <c r="GT8" s="5" t="s">
        <v>6526</v>
      </c>
      <c r="GU8" s="5" t="s">
        <v>6527</v>
      </c>
      <c r="GV8" s="5" t="s">
        <v>6528</v>
      </c>
      <c r="GW8" s="5" t="s">
        <v>6529</v>
      </c>
      <c r="GX8" s="5" t="s">
        <v>6530</v>
      </c>
      <c r="GY8" s="5" t="s">
        <v>6531</v>
      </c>
      <c r="GZ8" s="5" t="s">
        <v>6532</v>
      </c>
      <c r="HA8" s="5" t="s">
        <v>6533</v>
      </c>
      <c r="HB8" s="5" t="s">
        <v>6534</v>
      </c>
      <c r="HC8" s="5" t="s">
        <v>6535</v>
      </c>
      <c r="HD8" s="5" t="s">
        <v>6549</v>
      </c>
      <c r="HE8" s="5" t="s">
        <v>6536</v>
      </c>
      <c r="HF8" s="5" t="s">
        <v>6537</v>
      </c>
      <c r="HG8" s="5" t="s">
        <v>6538</v>
      </c>
      <c r="HH8" s="5" t="s">
        <v>6539</v>
      </c>
      <c r="HI8" s="5" t="s">
        <v>6540</v>
      </c>
      <c r="HJ8" s="5" t="s">
        <v>6550</v>
      </c>
      <c r="HK8" s="5" t="s">
        <v>6541</v>
      </c>
      <c r="HL8" s="5" t="s">
        <v>6542</v>
      </c>
      <c r="HM8" s="5" t="s">
        <v>6543</v>
      </c>
      <c r="HN8" s="5" t="s">
        <v>6544</v>
      </c>
      <c r="HO8" s="5" t="s">
        <v>6545</v>
      </c>
      <c r="HP8" s="5" t="s">
        <v>6546</v>
      </c>
      <c r="HQ8" s="5" t="s">
        <v>6534</v>
      </c>
      <c r="HR8" s="5" t="s">
        <v>6547</v>
      </c>
      <c r="HS8" s="282" t="s">
        <v>6548</v>
      </c>
      <c r="HT8" s="281" t="s">
        <v>492</v>
      </c>
      <c r="HU8" s="5" t="s">
        <v>493</v>
      </c>
      <c r="HV8" s="5" t="s">
        <v>6524</v>
      </c>
      <c r="HW8" s="5" t="s">
        <v>6525</v>
      </c>
      <c r="HX8" s="5" t="s">
        <v>6526</v>
      </c>
      <c r="HY8" s="5" t="s">
        <v>6527</v>
      </c>
      <c r="HZ8" s="5" t="s">
        <v>6528</v>
      </c>
      <c r="IA8" s="5" t="s">
        <v>6529</v>
      </c>
      <c r="IB8" s="5" t="s">
        <v>6530</v>
      </c>
      <c r="IC8" s="5" t="s">
        <v>6531</v>
      </c>
      <c r="ID8" s="5" t="s">
        <v>6532</v>
      </c>
      <c r="IE8" s="5" t="s">
        <v>6533</v>
      </c>
      <c r="IF8" s="5" t="s">
        <v>6534</v>
      </c>
      <c r="IG8" s="5" t="s">
        <v>6535</v>
      </c>
      <c r="IH8" s="5" t="s">
        <v>6549</v>
      </c>
      <c r="II8" s="5" t="s">
        <v>6536</v>
      </c>
      <c r="IJ8" s="5" t="s">
        <v>6537</v>
      </c>
      <c r="IK8" s="5" t="s">
        <v>6538</v>
      </c>
      <c r="IL8" s="5" t="s">
        <v>6539</v>
      </c>
      <c r="IM8" s="5" t="s">
        <v>6540</v>
      </c>
      <c r="IN8" s="5" t="s">
        <v>6550</v>
      </c>
      <c r="IO8" s="5" t="s">
        <v>6541</v>
      </c>
      <c r="IP8" s="5" t="s">
        <v>6542</v>
      </c>
      <c r="IQ8" s="5" t="s">
        <v>6543</v>
      </c>
      <c r="IR8" s="5" t="s">
        <v>6544</v>
      </c>
      <c r="IS8" s="5" t="s">
        <v>6545</v>
      </c>
      <c r="IT8" s="5" t="s">
        <v>6546</v>
      </c>
      <c r="IU8" s="5" t="s">
        <v>6534</v>
      </c>
      <c r="IV8" s="5" t="s">
        <v>6547</v>
      </c>
      <c r="IW8" s="282" t="s">
        <v>6548</v>
      </c>
      <c r="IX8" s="292"/>
    </row>
    <row r="9" spans="1:258" s="134" customFormat="1" ht="100.35" customHeight="1">
      <c r="A9" s="74" t="s">
        <v>66</v>
      </c>
      <c r="B9" s="25" t="s">
        <v>6016</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6015</v>
      </c>
      <c r="AG9" s="7" t="s">
        <v>6048</v>
      </c>
      <c r="AH9" s="7"/>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827</v>
      </c>
      <c r="BK9" s="25" t="s">
        <v>828</v>
      </c>
      <c r="BL9" s="25" t="s">
        <v>5872</v>
      </c>
      <c r="BM9" s="25" t="s">
        <v>829</v>
      </c>
      <c r="BN9" s="25"/>
      <c r="BO9" s="25" t="s">
        <v>830</v>
      </c>
      <c r="BP9" s="25" t="s">
        <v>6191</v>
      </c>
      <c r="BQ9" s="25" t="s">
        <v>6192</v>
      </c>
      <c r="BR9" s="25" t="s">
        <v>6193</v>
      </c>
      <c r="BS9" s="25" t="s">
        <v>6194</v>
      </c>
      <c r="BT9" s="25" t="s">
        <v>6195</v>
      </c>
      <c r="BU9" s="25" t="s">
        <v>6196</v>
      </c>
      <c r="BV9" s="25" t="s">
        <v>6197</v>
      </c>
      <c r="BW9" s="25" t="s">
        <v>6198</v>
      </c>
      <c r="BX9" s="25" t="s">
        <v>6199</v>
      </c>
      <c r="BY9" s="25" t="s">
        <v>6200</v>
      </c>
      <c r="BZ9" s="25" t="s">
        <v>6201</v>
      </c>
      <c r="CA9" s="25" t="s">
        <v>6202</v>
      </c>
      <c r="CB9" s="25" t="s">
        <v>6203</v>
      </c>
      <c r="CC9" s="25" t="s">
        <v>6204</v>
      </c>
      <c r="CD9" s="25" t="s">
        <v>6205</v>
      </c>
      <c r="CE9" s="25" t="s">
        <v>6206</v>
      </c>
      <c r="CF9" s="25" t="s">
        <v>6207</v>
      </c>
      <c r="CG9" s="25" t="s">
        <v>6208</v>
      </c>
      <c r="CH9" s="25" t="s">
        <v>6209</v>
      </c>
      <c r="CI9" s="25" t="s">
        <v>6210</v>
      </c>
      <c r="CJ9" s="25" t="s">
        <v>6211</v>
      </c>
      <c r="CK9" s="25" t="s">
        <v>6212</v>
      </c>
      <c r="CL9" s="25" t="s">
        <v>6213</v>
      </c>
      <c r="CM9" s="25" t="s">
        <v>6214</v>
      </c>
      <c r="CN9" s="25" t="s">
        <v>6215</v>
      </c>
      <c r="CO9" s="25" t="s">
        <v>6216</v>
      </c>
      <c r="CP9" s="25" t="s">
        <v>6217</v>
      </c>
      <c r="CQ9" s="25" t="s">
        <v>6218</v>
      </c>
      <c r="CR9" s="25" t="s">
        <v>5995</v>
      </c>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t="s">
        <v>831</v>
      </c>
      <c r="DV9" s="25"/>
      <c r="DW9" s="25" t="s">
        <v>832</v>
      </c>
      <c r="DX9" s="25"/>
      <c r="DY9" s="65" t="s">
        <v>6017</v>
      </c>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277" t="s">
        <v>6001</v>
      </c>
      <c r="FC9" s="210" t="s">
        <v>6018</v>
      </c>
      <c r="FD9" s="75" t="s">
        <v>6049</v>
      </c>
      <c r="FE9" s="75"/>
      <c r="FF9" s="75"/>
      <c r="FG9" s="75"/>
      <c r="FH9" s="75"/>
      <c r="FI9" s="75"/>
      <c r="FJ9" s="75"/>
      <c r="FK9" s="75"/>
      <c r="FL9" s="75"/>
      <c r="FM9" s="75"/>
      <c r="FN9" s="75"/>
      <c r="FO9" s="75"/>
      <c r="FP9" s="75"/>
      <c r="FQ9" s="75"/>
      <c r="FR9" s="75"/>
      <c r="FS9" s="75"/>
      <c r="FT9" s="75"/>
      <c r="FU9" s="75"/>
      <c r="FV9" s="75"/>
      <c r="FW9" s="75"/>
      <c r="FX9" s="75"/>
      <c r="FY9" s="75"/>
      <c r="FZ9" s="75"/>
      <c r="GA9" s="75"/>
      <c r="GB9" s="75"/>
      <c r="GC9" s="75"/>
      <c r="GD9" s="75"/>
      <c r="GE9" s="75"/>
      <c r="GF9" s="75"/>
      <c r="GG9" s="75" t="s">
        <v>6039</v>
      </c>
      <c r="GH9" s="75" t="s">
        <v>6019</v>
      </c>
      <c r="GI9" s="75"/>
      <c r="GJ9" s="75" t="s">
        <v>6006</v>
      </c>
      <c r="GK9" s="75"/>
      <c r="GL9" s="75" t="s">
        <v>833</v>
      </c>
      <c r="GM9" s="75" t="s">
        <v>6020</v>
      </c>
      <c r="GN9" s="75"/>
      <c r="GO9" s="75" t="s">
        <v>6021</v>
      </c>
      <c r="GP9" s="209"/>
      <c r="GQ9" s="284" t="s">
        <v>6050</v>
      </c>
      <c r="GR9" s="284"/>
      <c r="GS9" s="284"/>
      <c r="GT9" s="284"/>
      <c r="GU9" s="284"/>
      <c r="GV9" s="284"/>
      <c r="GW9" s="284"/>
      <c r="GX9" s="284"/>
      <c r="GY9" s="284"/>
      <c r="GZ9" s="284"/>
      <c r="HA9" s="284"/>
      <c r="HB9" s="284"/>
      <c r="HC9" s="284"/>
      <c r="HD9" s="284"/>
      <c r="HE9" s="284"/>
      <c r="HF9" s="284"/>
      <c r="HG9" s="284"/>
      <c r="HH9" s="284"/>
      <c r="HI9" s="284"/>
      <c r="HJ9" s="284"/>
      <c r="HK9" s="284"/>
      <c r="HL9" s="284"/>
      <c r="HM9" s="284"/>
      <c r="HN9" s="284"/>
      <c r="HO9" s="284"/>
      <c r="HP9" s="284"/>
      <c r="HQ9" s="284"/>
      <c r="HR9" s="284"/>
      <c r="HS9" s="283"/>
      <c r="HT9" s="209"/>
      <c r="HU9" s="284" t="s">
        <v>6050</v>
      </c>
      <c r="HV9" s="288"/>
      <c r="HW9" s="288"/>
      <c r="HX9" s="288"/>
      <c r="HY9" s="288"/>
      <c r="HZ9" s="288"/>
      <c r="IA9" s="288"/>
      <c r="IB9" s="288"/>
      <c r="IC9" s="288"/>
      <c r="ID9" s="288"/>
      <c r="IE9" s="288"/>
      <c r="IF9" s="288"/>
      <c r="IG9" s="288"/>
      <c r="IH9" s="288"/>
      <c r="II9" s="288"/>
      <c r="IJ9" s="288"/>
      <c r="IK9" s="288"/>
      <c r="IL9" s="288"/>
      <c r="IM9" s="288"/>
      <c r="IN9" s="288"/>
      <c r="IO9" s="288"/>
      <c r="IP9" s="288"/>
      <c r="IQ9" s="288"/>
      <c r="IR9" s="288"/>
      <c r="IS9" s="288"/>
      <c r="IT9" s="288"/>
      <c r="IU9" s="288"/>
      <c r="IV9" s="288"/>
      <c r="IW9" s="289"/>
      <c r="IX9" s="292"/>
    </row>
    <row r="10" spans="1:258" ht="15.75"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106"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106"/>
      <c r="BN10" s="106"/>
      <c r="BO10" s="106" t="s">
        <v>10</v>
      </c>
      <c r="BP10" s="106" t="s">
        <v>78</v>
      </c>
      <c r="BQ10" s="106" t="s">
        <v>79</v>
      </c>
      <c r="BR10" s="106" t="s">
        <v>80</v>
      </c>
      <c r="BS10" s="106" t="s">
        <v>81</v>
      </c>
      <c r="BT10" s="106" t="s">
        <v>82</v>
      </c>
      <c r="BU10" s="106" t="s">
        <v>83</v>
      </c>
      <c r="BV10" s="106" t="s">
        <v>84</v>
      </c>
      <c r="BW10" s="106" t="s">
        <v>85</v>
      </c>
      <c r="BX10" s="106" t="s">
        <v>86</v>
      </c>
      <c r="BY10" s="106" t="s">
        <v>87</v>
      </c>
      <c r="BZ10" s="106" t="s">
        <v>88</v>
      </c>
      <c r="CA10" s="106" t="s">
        <v>89</v>
      </c>
      <c r="CB10" s="106" t="s">
        <v>90</v>
      </c>
      <c r="CC10" s="106" t="s">
        <v>91</v>
      </c>
      <c r="CD10" s="106" t="s">
        <v>92</v>
      </c>
      <c r="CE10" s="106" t="s">
        <v>93</v>
      </c>
      <c r="CF10" s="106" t="s">
        <v>5675</v>
      </c>
      <c r="CG10" s="106" t="s">
        <v>94</v>
      </c>
      <c r="CH10" s="106" t="s">
        <v>12</v>
      </c>
      <c r="CI10" s="106" t="s">
        <v>95</v>
      </c>
      <c r="CJ10" s="106" t="s">
        <v>96</v>
      </c>
      <c r="CK10" s="106" t="s">
        <v>97</v>
      </c>
      <c r="CL10" s="106" t="s">
        <v>98</v>
      </c>
      <c r="CM10" s="106" t="s">
        <v>99</v>
      </c>
      <c r="CN10" s="106" t="s">
        <v>100</v>
      </c>
      <c r="CO10" s="106" t="s">
        <v>5678</v>
      </c>
      <c r="CP10" s="106" t="s">
        <v>101</v>
      </c>
      <c r="CQ10" s="106" t="s">
        <v>5679</v>
      </c>
      <c r="CR10" s="106" t="s">
        <v>10</v>
      </c>
      <c r="CS10" s="106" t="s">
        <v>78</v>
      </c>
      <c r="CT10" s="106" t="s">
        <v>79</v>
      </c>
      <c r="CU10" s="106" t="s">
        <v>80</v>
      </c>
      <c r="CV10" s="106" t="s">
        <v>81</v>
      </c>
      <c r="CW10" s="106" t="s">
        <v>82</v>
      </c>
      <c r="CX10" s="106" t="s">
        <v>83</v>
      </c>
      <c r="CY10" s="106" t="s">
        <v>84</v>
      </c>
      <c r="CZ10" s="106" t="s">
        <v>85</v>
      </c>
      <c r="DA10" s="106" t="s">
        <v>86</v>
      </c>
      <c r="DB10" s="106" t="s">
        <v>87</v>
      </c>
      <c r="DC10" s="106" t="s">
        <v>88</v>
      </c>
      <c r="DD10" s="106" t="s">
        <v>89</v>
      </c>
      <c r="DE10" s="106" t="s">
        <v>90</v>
      </c>
      <c r="DF10" s="106" t="s">
        <v>91</v>
      </c>
      <c r="DG10" s="106" t="s">
        <v>92</v>
      </c>
      <c r="DH10" s="106" t="s">
        <v>93</v>
      </c>
      <c r="DI10" s="106" t="s">
        <v>5675</v>
      </c>
      <c r="DJ10" s="106" t="s">
        <v>94</v>
      </c>
      <c r="DK10" s="106" t="s">
        <v>12</v>
      </c>
      <c r="DL10" s="106" t="s">
        <v>95</v>
      </c>
      <c r="DM10" s="106" t="s">
        <v>96</v>
      </c>
      <c r="DN10" s="106" t="s">
        <v>97</v>
      </c>
      <c r="DO10" s="106" t="s">
        <v>98</v>
      </c>
      <c r="DP10" s="106" t="s">
        <v>99</v>
      </c>
      <c r="DQ10" s="106" t="s">
        <v>100</v>
      </c>
      <c r="DR10" s="106" t="s">
        <v>5678</v>
      </c>
      <c r="DS10" s="106" t="s">
        <v>101</v>
      </c>
      <c r="DT10" s="106" t="s">
        <v>5679</v>
      </c>
      <c r="DU10" s="106"/>
      <c r="DV10" s="106"/>
      <c r="DW10" s="106"/>
      <c r="DX10" s="106"/>
      <c r="DY10" s="142" t="s">
        <v>10</v>
      </c>
      <c r="DZ10" s="84" t="s">
        <v>78</v>
      </c>
      <c r="EA10" s="84" t="s">
        <v>79</v>
      </c>
      <c r="EB10" s="84" t="s">
        <v>80</v>
      </c>
      <c r="EC10" s="84" t="s">
        <v>81</v>
      </c>
      <c r="ED10" s="84" t="s">
        <v>82</v>
      </c>
      <c r="EE10" s="84" t="s">
        <v>83</v>
      </c>
      <c r="EF10" s="84" t="s">
        <v>84</v>
      </c>
      <c r="EG10" s="84" t="s">
        <v>85</v>
      </c>
      <c r="EH10" s="84" t="s">
        <v>86</v>
      </c>
      <c r="EI10" s="84" t="s">
        <v>87</v>
      </c>
      <c r="EJ10" s="84" t="s">
        <v>88</v>
      </c>
      <c r="EK10" s="84" t="s">
        <v>89</v>
      </c>
      <c r="EL10" s="84" t="s">
        <v>90</v>
      </c>
      <c r="EM10" s="84" t="s">
        <v>91</v>
      </c>
      <c r="EN10" s="84" t="s">
        <v>92</v>
      </c>
      <c r="EO10" s="84" t="s">
        <v>93</v>
      </c>
      <c r="EP10" s="84" t="s">
        <v>5675</v>
      </c>
      <c r="EQ10" s="84" t="s">
        <v>94</v>
      </c>
      <c r="ER10" s="84" t="s">
        <v>12</v>
      </c>
      <c r="ES10" s="84" t="s">
        <v>95</v>
      </c>
      <c r="ET10" s="84" t="s">
        <v>96</v>
      </c>
      <c r="EU10" s="84" t="s">
        <v>97</v>
      </c>
      <c r="EV10" s="84" t="s">
        <v>98</v>
      </c>
      <c r="EW10" s="84" t="s">
        <v>99</v>
      </c>
      <c r="EX10" s="84" t="s">
        <v>100</v>
      </c>
      <c r="EY10" s="84" t="s">
        <v>5678</v>
      </c>
      <c r="EZ10" s="84" t="s">
        <v>101</v>
      </c>
      <c r="FA10" s="84" t="s">
        <v>5679</v>
      </c>
      <c r="FB10" s="84"/>
      <c r="FC10" s="84"/>
      <c r="FD10" s="84" t="s">
        <v>10</v>
      </c>
      <c r="FE10" s="84" t="s">
        <v>78</v>
      </c>
      <c r="FF10" s="84" t="s">
        <v>79</v>
      </c>
      <c r="FG10" s="84" t="s">
        <v>80</v>
      </c>
      <c r="FH10" s="84" t="s">
        <v>81</v>
      </c>
      <c r="FI10" s="84" t="s">
        <v>82</v>
      </c>
      <c r="FJ10" s="84" t="s">
        <v>83</v>
      </c>
      <c r="FK10" s="84" t="s">
        <v>84</v>
      </c>
      <c r="FL10" s="84" t="s">
        <v>85</v>
      </c>
      <c r="FM10" s="84" t="s">
        <v>86</v>
      </c>
      <c r="FN10" s="84" t="s">
        <v>87</v>
      </c>
      <c r="FO10" s="84" t="s">
        <v>88</v>
      </c>
      <c r="FP10" s="84" t="s">
        <v>89</v>
      </c>
      <c r="FQ10" s="84" t="s">
        <v>90</v>
      </c>
      <c r="FR10" s="84" t="s">
        <v>91</v>
      </c>
      <c r="FS10" s="84" t="s">
        <v>92</v>
      </c>
      <c r="FT10" s="84" t="s">
        <v>93</v>
      </c>
      <c r="FU10" s="84" t="s">
        <v>5675</v>
      </c>
      <c r="FV10" s="84" t="s">
        <v>94</v>
      </c>
      <c r="FW10" s="84" t="s">
        <v>12</v>
      </c>
      <c r="FX10" s="84" t="s">
        <v>95</v>
      </c>
      <c r="FY10" s="84" t="s">
        <v>96</v>
      </c>
      <c r="FZ10" s="84" t="s">
        <v>97</v>
      </c>
      <c r="GA10" s="84" t="s">
        <v>98</v>
      </c>
      <c r="GB10" s="84" t="s">
        <v>99</v>
      </c>
      <c r="GC10" s="84" t="s">
        <v>100</v>
      </c>
      <c r="GD10" s="84" t="s">
        <v>5678</v>
      </c>
      <c r="GE10" s="84" t="s">
        <v>101</v>
      </c>
      <c r="GF10" s="84" t="s">
        <v>5679</v>
      </c>
      <c r="GG10" s="84"/>
      <c r="GH10" s="84"/>
      <c r="GI10" s="84"/>
      <c r="GJ10" s="84"/>
      <c r="GK10" s="84"/>
      <c r="GL10" s="84"/>
      <c r="GM10" s="84"/>
      <c r="GN10" s="84"/>
      <c r="GO10" s="84"/>
      <c r="GP10" s="84"/>
      <c r="GQ10" s="84" t="s">
        <v>10</v>
      </c>
      <c r="GR10" s="84" t="s">
        <v>78</v>
      </c>
      <c r="GS10" s="84" t="s">
        <v>79</v>
      </c>
      <c r="GT10" s="84" t="s">
        <v>80</v>
      </c>
      <c r="GU10" s="84" t="s">
        <v>81</v>
      </c>
      <c r="GV10" s="84" t="s">
        <v>82</v>
      </c>
      <c r="GW10" s="84" t="s">
        <v>83</v>
      </c>
      <c r="GX10" s="84" t="s">
        <v>84</v>
      </c>
      <c r="GY10" s="84" t="s">
        <v>85</v>
      </c>
      <c r="GZ10" s="84" t="s">
        <v>86</v>
      </c>
      <c r="HA10" s="84" t="s">
        <v>87</v>
      </c>
      <c r="HB10" s="84" t="s">
        <v>88</v>
      </c>
      <c r="HC10" s="84" t="s">
        <v>89</v>
      </c>
      <c r="HD10" s="84" t="s">
        <v>90</v>
      </c>
      <c r="HE10" s="84" t="s">
        <v>91</v>
      </c>
      <c r="HF10" s="84" t="s">
        <v>92</v>
      </c>
      <c r="HG10" s="84" t="s">
        <v>93</v>
      </c>
      <c r="HH10" s="84" t="s">
        <v>5675</v>
      </c>
      <c r="HI10" s="84" t="s">
        <v>94</v>
      </c>
      <c r="HJ10" s="84" t="s">
        <v>12</v>
      </c>
      <c r="HK10" s="84" t="s">
        <v>95</v>
      </c>
      <c r="HL10" s="84" t="s">
        <v>96</v>
      </c>
      <c r="HM10" s="84" t="s">
        <v>97</v>
      </c>
      <c r="HN10" s="84" t="s">
        <v>98</v>
      </c>
      <c r="HO10" s="84" t="s">
        <v>99</v>
      </c>
      <c r="HP10" s="84" t="s">
        <v>100</v>
      </c>
      <c r="HQ10" s="84" t="s">
        <v>5678</v>
      </c>
      <c r="HR10" s="84" t="s">
        <v>101</v>
      </c>
      <c r="HS10" s="84" t="s">
        <v>5679</v>
      </c>
      <c r="HT10" s="84"/>
      <c r="HU10" s="84" t="s">
        <v>10</v>
      </c>
      <c r="HV10" s="84" t="s">
        <v>78</v>
      </c>
      <c r="HW10" s="84" t="s">
        <v>79</v>
      </c>
      <c r="HX10" s="84" t="s">
        <v>80</v>
      </c>
      <c r="HY10" s="84" t="s">
        <v>81</v>
      </c>
      <c r="HZ10" s="84" t="s">
        <v>82</v>
      </c>
      <c r="IA10" s="84" t="s">
        <v>83</v>
      </c>
      <c r="IB10" s="84" t="s">
        <v>84</v>
      </c>
      <c r="IC10" s="84" t="s">
        <v>85</v>
      </c>
      <c r="ID10" s="84" t="s">
        <v>86</v>
      </c>
      <c r="IE10" s="84" t="s">
        <v>87</v>
      </c>
      <c r="IF10" s="84" t="s">
        <v>88</v>
      </c>
      <c r="IG10" s="84" t="s">
        <v>89</v>
      </c>
      <c r="IH10" s="84" t="s">
        <v>90</v>
      </c>
      <c r="II10" s="84" t="s">
        <v>91</v>
      </c>
      <c r="IJ10" s="84" t="s">
        <v>92</v>
      </c>
      <c r="IK10" s="84" t="s">
        <v>93</v>
      </c>
      <c r="IL10" s="84" t="s">
        <v>5675</v>
      </c>
      <c r="IM10" s="84" t="s">
        <v>94</v>
      </c>
      <c r="IN10" s="84" t="s">
        <v>12</v>
      </c>
      <c r="IO10" s="84" t="s">
        <v>95</v>
      </c>
      <c r="IP10" s="84" t="s">
        <v>96</v>
      </c>
      <c r="IQ10" s="84" t="s">
        <v>97</v>
      </c>
      <c r="IR10" s="84" t="s">
        <v>98</v>
      </c>
      <c r="IS10" s="84" t="s">
        <v>99</v>
      </c>
      <c r="IT10" s="84" t="s">
        <v>100</v>
      </c>
      <c r="IU10" s="84" t="s">
        <v>5678</v>
      </c>
      <c r="IV10" s="84" t="s">
        <v>101</v>
      </c>
      <c r="IW10" s="84" t="s">
        <v>5679</v>
      </c>
    </row>
    <row r="11" spans="1:258" s="140"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80"/>
      <c r="BN11" s="197"/>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197"/>
      <c r="DW11" s="197"/>
      <c r="DX11" s="197"/>
      <c r="DY11" s="199"/>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76"/>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97"/>
      <c r="GF11" s="197"/>
      <c r="GG11" s="197"/>
      <c r="GH11" s="176"/>
      <c r="GI11" s="197"/>
      <c r="GJ11" s="178"/>
      <c r="GK11" s="197"/>
      <c r="GL11" s="197"/>
      <c r="GM11" s="178"/>
      <c r="GN11" s="197"/>
      <c r="GO11" s="202"/>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79"/>
      <c r="HT11" s="178"/>
      <c r="HU11" s="178"/>
      <c r="HV11" s="178"/>
      <c r="HW11" s="178"/>
      <c r="HX11" s="178"/>
      <c r="HY11" s="178"/>
      <c r="HZ11" s="178"/>
      <c r="IA11" s="178"/>
      <c r="IB11" s="178"/>
      <c r="IC11" s="178"/>
      <c r="ID11" s="178"/>
      <c r="IE11" s="178"/>
      <c r="IF11" s="178"/>
      <c r="IG11" s="178"/>
      <c r="IH11" s="178"/>
      <c r="II11" s="178"/>
      <c r="IJ11" s="178"/>
      <c r="IK11" s="178"/>
      <c r="IL11" s="178"/>
      <c r="IM11" s="178"/>
      <c r="IN11" s="178"/>
      <c r="IO11" s="178"/>
      <c r="IP11" s="178"/>
      <c r="IQ11" s="178"/>
      <c r="IR11" s="178"/>
      <c r="IS11" s="178"/>
      <c r="IT11" s="178"/>
      <c r="IU11" s="178"/>
      <c r="IV11" s="178"/>
      <c r="IW11" s="178"/>
    </row>
    <row r="12" spans="1:258" s="116" customFormat="1" ht="29.1" hidden="1" customHeight="1">
      <c r="A12" s="96"/>
      <c r="B12" s="79" t="s">
        <v>834</v>
      </c>
      <c r="C12" s="79" t="s">
        <v>835</v>
      </c>
      <c r="D12" s="79" t="s">
        <v>836</v>
      </c>
      <c r="E12" s="79" t="s">
        <v>837</v>
      </c>
      <c r="F12" s="79" t="s">
        <v>838</v>
      </c>
      <c r="G12" s="79" t="s">
        <v>839</v>
      </c>
      <c r="H12" s="79" t="s">
        <v>840</v>
      </c>
      <c r="I12" s="79" t="s">
        <v>841</v>
      </c>
      <c r="J12" s="79" t="s">
        <v>842</v>
      </c>
      <c r="K12" s="79" t="s">
        <v>843</v>
      </c>
      <c r="L12" s="79" t="s">
        <v>844</v>
      </c>
      <c r="M12" s="79" t="s">
        <v>845</v>
      </c>
      <c r="N12" s="79" t="s">
        <v>846</v>
      </c>
      <c r="O12" s="79" t="s">
        <v>847</v>
      </c>
      <c r="P12" s="79" t="s">
        <v>848</v>
      </c>
      <c r="Q12" s="79" t="s">
        <v>849</v>
      </c>
      <c r="R12" s="79" t="s">
        <v>850</v>
      </c>
      <c r="S12" s="79" t="s">
        <v>5756</v>
      </c>
      <c r="T12" s="79" t="s">
        <v>851</v>
      </c>
      <c r="U12" s="79" t="s">
        <v>852</v>
      </c>
      <c r="V12" s="79" t="s">
        <v>853</v>
      </c>
      <c r="W12" s="79" t="s">
        <v>854</v>
      </c>
      <c r="X12" s="79" t="s">
        <v>855</v>
      </c>
      <c r="Y12" s="79" t="s">
        <v>856</v>
      </c>
      <c r="Z12" s="79" t="s">
        <v>857</v>
      </c>
      <c r="AA12" s="79" t="s">
        <v>858</v>
      </c>
      <c r="AB12" s="79" t="s">
        <v>5758</v>
      </c>
      <c r="AC12" s="79" t="s">
        <v>859</v>
      </c>
      <c r="AD12" s="79" t="s">
        <v>5757</v>
      </c>
      <c r="AE12" s="117" t="s">
        <v>860</v>
      </c>
      <c r="AF12" s="108" t="s">
        <v>861</v>
      </c>
      <c r="AG12" s="79" t="s">
        <v>862</v>
      </c>
      <c r="AH12" s="79" t="s">
        <v>863</v>
      </c>
      <c r="AI12" s="79" t="s">
        <v>864</v>
      </c>
      <c r="AJ12" s="79" t="s">
        <v>865</v>
      </c>
      <c r="AK12" s="79" t="s">
        <v>866</v>
      </c>
      <c r="AL12" s="79" t="s">
        <v>867</v>
      </c>
      <c r="AM12" s="79" t="s">
        <v>868</v>
      </c>
      <c r="AN12" s="79" t="s">
        <v>869</v>
      </c>
      <c r="AO12" s="79" t="s">
        <v>870</v>
      </c>
      <c r="AP12" s="79" t="s">
        <v>871</v>
      </c>
      <c r="AQ12" s="79" t="s">
        <v>872</v>
      </c>
      <c r="AR12" s="79" t="s">
        <v>873</v>
      </c>
      <c r="AS12" s="79" t="s">
        <v>874</v>
      </c>
      <c r="AT12" s="79" t="s">
        <v>875</v>
      </c>
      <c r="AU12" s="79" t="s">
        <v>876</v>
      </c>
      <c r="AV12" s="79" t="s">
        <v>877</v>
      </c>
      <c r="AW12" s="79" t="s">
        <v>878</v>
      </c>
      <c r="AX12" s="79" t="s">
        <v>5759</v>
      </c>
      <c r="AY12" s="79" t="s">
        <v>879</v>
      </c>
      <c r="AZ12" s="79" t="s">
        <v>880</v>
      </c>
      <c r="BA12" s="79" t="s">
        <v>881</v>
      </c>
      <c r="BB12" s="79" t="s">
        <v>882</v>
      </c>
      <c r="BC12" s="79" t="s">
        <v>883</v>
      </c>
      <c r="BD12" s="79" t="s">
        <v>884</v>
      </c>
      <c r="BE12" s="79" t="s">
        <v>885</v>
      </c>
      <c r="BF12" s="79" t="s">
        <v>886</v>
      </c>
      <c r="BG12" s="79" t="s">
        <v>5761</v>
      </c>
      <c r="BH12" s="79" t="s">
        <v>887</v>
      </c>
      <c r="BI12" s="79" t="s">
        <v>5760</v>
      </c>
      <c r="BJ12" s="79" t="s">
        <v>888</v>
      </c>
      <c r="BK12" s="79" t="s">
        <v>889</v>
      </c>
      <c r="BL12" s="79" t="s">
        <v>890</v>
      </c>
      <c r="BM12" s="87" t="s">
        <v>891</v>
      </c>
      <c r="BN12" s="79" t="s">
        <v>892</v>
      </c>
      <c r="BO12" s="79" t="s">
        <v>893</v>
      </c>
      <c r="BP12" s="79" t="s">
        <v>894</v>
      </c>
      <c r="BQ12" s="79" t="s">
        <v>895</v>
      </c>
      <c r="BR12" s="79" t="s">
        <v>896</v>
      </c>
      <c r="BS12" s="79" t="s">
        <v>897</v>
      </c>
      <c r="BT12" s="79" t="s">
        <v>898</v>
      </c>
      <c r="BU12" s="79" t="s">
        <v>899</v>
      </c>
      <c r="BV12" s="79" t="s">
        <v>900</v>
      </c>
      <c r="BW12" s="79" t="s">
        <v>901</v>
      </c>
      <c r="BX12" s="79" t="s">
        <v>902</v>
      </c>
      <c r="BY12" s="79" t="s">
        <v>903</v>
      </c>
      <c r="BZ12" s="79" t="s">
        <v>904</v>
      </c>
      <c r="CA12" s="79" t="s">
        <v>905</v>
      </c>
      <c r="CB12" s="79" t="s">
        <v>906</v>
      </c>
      <c r="CC12" s="79" t="s">
        <v>907</v>
      </c>
      <c r="CD12" s="79" t="s">
        <v>908</v>
      </c>
      <c r="CE12" s="79" t="s">
        <v>909</v>
      </c>
      <c r="CF12" s="79" t="s">
        <v>5762</v>
      </c>
      <c r="CG12" s="79" t="s">
        <v>910</v>
      </c>
      <c r="CH12" s="79" t="s">
        <v>911</v>
      </c>
      <c r="CI12" s="79" t="s">
        <v>912</v>
      </c>
      <c r="CJ12" s="79" t="s">
        <v>913</v>
      </c>
      <c r="CK12" s="79" t="s">
        <v>914</v>
      </c>
      <c r="CL12" s="79" t="s">
        <v>915</v>
      </c>
      <c r="CM12" s="79" t="s">
        <v>916</v>
      </c>
      <c r="CN12" s="79" t="s">
        <v>917</v>
      </c>
      <c r="CO12" s="79" t="s">
        <v>5764</v>
      </c>
      <c r="CP12" s="79" t="s">
        <v>918</v>
      </c>
      <c r="CQ12" s="79" t="s">
        <v>5763</v>
      </c>
      <c r="CR12" s="79" t="s">
        <v>919</v>
      </c>
      <c r="CS12" s="79" t="s">
        <v>920</v>
      </c>
      <c r="CT12" s="79" t="s">
        <v>921</v>
      </c>
      <c r="CU12" s="79" t="s">
        <v>922</v>
      </c>
      <c r="CV12" s="79" t="s">
        <v>923</v>
      </c>
      <c r="CW12" s="79" t="s">
        <v>924</v>
      </c>
      <c r="CX12" s="79" t="s">
        <v>925</v>
      </c>
      <c r="CY12" s="79" t="s">
        <v>926</v>
      </c>
      <c r="CZ12" s="79" t="s">
        <v>927</v>
      </c>
      <c r="DA12" s="79" t="s">
        <v>928</v>
      </c>
      <c r="DB12" s="79" t="s">
        <v>929</v>
      </c>
      <c r="DC12" s="79" t="s">
        <v>930</v>
      </c>
      <c r="DD12" s="79" t="s">
        <v>931</v>
      </c>
      <c r="DE12" s="79" t="s">
        <v>932</v>
      </c>
      <c r="DF12" s="79" t="s">
        <v>933</v>
      </c>
      <c r="DG12" s="79" t="s">
        <v>934</v>
      </c>
      <c r="DH12" s="79" t="s">
        <v>935</v>
      </c>
      <c r="DI12" s="79" t="s">
        <v>5765</v>
      </c>
      <c r="DJ12" s="79" t="s">
        <v>936</v>
      </c>
      <c r="DK12" s="79" t="s">
        <v>937</v>
      </c>
      <c r="DL12" s="79" t="s">
        <v>938</v>
      </c>
      <c r="DM12" s="79" t="s">
        <v>939</v>
      </c>
      <c r="DN12" s="79" t="s">
        <v>940</v>
      </c>
      <c r="DO12" s="79" t="s">
        <v>941</v>
      </c>
      <c r="DP12" s="79" t="s">
        <v>942</v>
      </c>
      <c r="DQ12" s="79" t="s">
        <v>943</v>
      </c>
      <c r="DR12" s="79" t="s">
        <v>5767</v>
      </c>
      <c r="DS12" s="79" t="s">
        <v>944</v>
      </c>
      <c r="DT12" s="79" t="s">
        <v>5766</v>
      </c>
      <c r="DU12" s="79" t="s">
        <v>945</v>
      </c>
      <c r="DV12" s="79" t="s">
        <v>946</v>
      </c>
      <c r="DW12" s="79" t="s">
        <v>947</v>
      </c>
      <c r="DX12" s="79" t="s">
        <v>948</v>
      </c>
      <c r="DY12" s="79" t="s">
        <v>949</v>
      </c>
      <c r="DZ12" s="79" t="s">
        <v>950</v>
      </c>
      <c r="EA12" s="79" t="s">
        <v>951</v>
      </c>
      <c r="EB12" s="79" t="s">
        <v>952</v>
      </c>
      <c r="EC12" s="79" t="s">
        <v>953</v>
      </c>
      <c r="ED12" s="79" t="s">
        <v>954</v>
      </c>
      <c r="EE12" s="79" t="s">
        <v>955</v>
      </c>
      <c r="EF12" s="79" t="s">
        <v>956</v>
      </c>
      <c r="EG12" s="79" t="s">
        <v>957</v>
      </c>
      <c r="EH12" s="79" t="s">
        <v>958</v>
      </c>
      <c r="EI12" s="79" t="s">
        <v>959</v>
      </c>
      <c r="EJ12" s="79" t="s">
        <v>960</v>
      </c>
      <c r="EK12" s="79" t="s">
        <v>961</v>
      </c>
      <c r="EL12" s="79" t="s">
        <v>962</v>
      </c>
      <c r="EM12" s="79" t="s">
        <v>963</v>
      </c>
      <c r="EN12" s="79" t="s">
        <v>964</v>
      </c>
      <c r="EO12" s="79" t="s">
        <v>965</v>
      </c>
      <c r="EP12" s="79" t="s">
        <v>5768</v>
      </c>
      <c r="EQ12" s="79" t="s">
        <v>966</v>
      </c>
      <c r="ER12" s="79" t="s">
        <v>967</v>
      </c>
      <c r="ES12" s="79" t="s">
        <v>968</v>
      </c>
      <c r="ET12" s="79" t="s">
        <v>969</v>
      </c>
      <c r="EU12" s="79" t="s">
        <v>970</v>
      </c>
      <c r="EV12" s="79" t="s">
        <v>971</v>
      </c>
      <c r="EW12" s="79" t="s">
        <v>972</v>
      </c>
      <c r="EX12" s="79" t="s">
        <v>973</v>
      </c>
      <c r="EY12" s="79" t="s">
        <v>5770</v>
      </c>
      <c r="EZ12" s="79" t="s">
        <v>974</v>
      </c>
      <c r="FA12" s="79" t="s">
        <v>5769</v>
      </c>
      <c r="FB12" s="108" t="s">
        <v>975</v>
      </c>
      <c r="FC12" s="108" t="s">
        <v>976</v>
      </c>
      <c r="FD12" s="79" t="s">
        <v>977</v>
      </c>
      <c r="FE12" s="79" t="s">
        <v>978</v>
      </c>
      <c r="FF12" s="79" t="s">
        <v>979</v>
      </c>
      <c r="FG12" s="79" t="s">
        <v>980</v>
      </c>
      <c r="FH12" s="79" t="s">
        <v>981</v>
      </c>
      <c r="FI12" s="79" t="s">
        <v>982</v>
      </c>
      <c r="FJ12" s="79" t="s">
        <v>983</v>
      </c>
      <c r="FK12" s="79" t="s">
        <v>984</v>
      </c>
      <c r="FL12" s="79" t="s">
        <v>985</v>
      </c>
      <c r="FM12" s="79" t="s">
        <v>986</v>
      </c>
      <c r="FN12" s="79" t="s">
        <v>987</v>
      </c>
      <c r="FO12" s="79" t="s">
        <v>988</v>
      </c>
      <c r="FP12" s="79" t="s">
        <v>989</v>
      </c>
      <c r="FQ12" s="79" t="s">
        <v>990</v>
      </c>
      <c r="FR12" s="79" t="s">
        <v>991</v>
      </c>
      <c r="FS12" s="79" t="s">
        <v>992</v>
      </c>
      <c r="FT12" s="79" t="s">
        <v>993</v>
      </c>
      <c r="FU12" s="79" t="s">
        <v>5771</v>
      </c>
      <c r="FV12" s="79" t="s">
        <v>994</v>
      </c>
      <c r="FW12" s="79" t="s">
        <v>995</v>
      </c>
      <c r="FX12" s="79" t="s">
        <v>996</v>
      </c>
      <c r="FY12" s="79" t="s">
        <v>997</v>
      </c>
      <c r="FZ12" s="79" t="s">
        <v>998</v>
      </c>
      <c r="GA12" s="79" t="s">
        <v>999</v>
      </c>
      <c r="GB12" s="79" t="s">
        <v>1000</v>
      </c>
      <c r="GC12" s="79" t="s">
        <v>1001</v>
      </c>
      <c r="GD12" s="79" t="s">
        <v>5773</v>
      </c>
      <c r="GE12" s="79" t="s">
        <v>1002</v>
      </c>
      <c r="GF12" s="79" t="s">
        <v>5772</v>
      </c>
      <c r="GG12" s="79" t="s">
        <v>1003</v>
      </c>
      <c r="GH12" s="79" t="s">
        <v>1004</v>
      </c>
      <c r="GI12" s="79" t="s">
        <v>1005</v>
      </c>
      <c r="GJ12" s="79" t="s">
        <v>1006</v>
      </c>
      <c r="GK12" s="79" t="s">
        <v>1007</v>
      </c>
      <c r="GL12" s="79" t="s">
        <v>1008</v>
      </c>
      <c r="GM12" s="79" t="s">
        <v>1009</v>
      </c>
      <c r="GN12" s="79" t="s">
        <v>1010</v>
      </c>
      <c r="GO12" s="79" t="s">
        <v>1011</v>
      </c>
      <c r="GP12" s="144" t="s">
        <v>1012</v>
      </c>
      <c r="GQ12" s="108" t="s">
        <v>1013</v>
      </c>
      <c r="GR12" s="108" t="s">
        <v>1014</v>
      </c>
      <c r="GS12" s="108" t="s">
        <v>1015</v>
      </c>
      <c r="GT12" s="108" t="s">
        <v>1016</v>
      </c>
      <c r="GU12" s="108" t="s">
        <v>1017</v>
      </c>
      <c r="GV12" s="108" t="s">
        <v>1018</v>
      </c>
      <c r="GW12" s="108" t="s">
        <v>1019</v>
      </c>
      <c r="GX12" s="108" t="s">
        <v>1020</v>
      </c>
      <c r="GY12" s="108" t="s">
        <v>1021</v>
      </c>
      <c r="GZ12" s="108" t="s">
        <v>1022</v>
      </c>
      <c r="HA12" s="108" t="s">
        <v>1023</v>
      </c>
      <c r="HB12" s="108" t="s">
        <v>1024</v>
      </c>
      <c r="HC12" s="108" t="s">
        <v>1025</v>
      </c>
      <c r="HD12" s="108" t="s">
        <v>1026</v>
      </c>
      <c r="HE12" s="108" t="s">
        <v>1027</v>
      </c>
      <c r="HF12" s="108" t="s">
        <v>1028</v>
      </c>
      <c r="HG12" s="108" t="s">
        <v>1029</v>
      </c>
      <c r="HH12" s="108" t="s">
        <v>5774</v>
      </c>
      <c r="HI12" s="108" t="s">
        <v>1030</v>
      </c>
      <c r="HJ12" s="108" t="s">
        <v>1031</v>
      </c>
      <c r="HK12" s="108" t="s">
        <v>1032</v>
      </c>
      <c r="HL12" s="108" t="s">
        <v>1033</v>
      </c>
      <c r="HM12" s="108" t="s">
        <v>1034</v>
      </c>
      <c r="HN12" s="108" t="s">
        <v>1035</v>
      </c>
      <c r="HO12" s="108" t="s">
        <v>1036</v>
      </c>
      <c r="HP12" s="108" t="s">
        <v>1037</v>
      </c>
      <c r="HQ12" s="108" t="s">
        <v>5776</v>
      </c>
      <c r="HR12" s="108" t="s">
        <v>1038</v>
      </c>
      <c r="HS12" s="108" t="s">
        <v>5775</v>
      </c>
      <c r="HT12" s="108" t="s">
        <v>1039</v>
      </c>
      <c r="HU12" s="108" t="s">
        <v>1040</v>
      </c>
      <c r="HV12" s="117" t="s">
        <v>1041</v>
      </c>
      <c r="HW12" s="117" t="s">
        <v>1042</v>
      </c>
      <c r="HX12" s="117" t="s">
        <v>1043</v>
      </c>
      <c r="HY12" s="117" t="s">
        <v>1044</v>
      </c>
      <c r="HZ12" s="117" t="s">
        <v>1045</v>
      </c>
      <c r="IA12" s="117" t="s">
        <v>1046</v>
      </c>
      <c r="IB12" s="117" t="s">
        <v>1047</v>
      </c>
      <c r="IC12" s="117" t="s">
        <v>1048</v>
      </c>
      <c r="ID12" s="117" t="s">
        <v>1049</v>
      </c>
      <c r="IE12" s="117" t="s">
        <v>1050</v>
      </c>
      <c r="IF12" s="117" t="s">
        <v>1051</v>
      </c>
      <c r="IG12" s="117" t="s">
        <v>1052</v>
      </c>
      <c r="IH12" s="117" t="s">
        <v>1053</v>
      </c>
      <c r="II12" s="117" t="s">
        <v>1054</v>
      </c>
      <c r="IJ12" s="117" t="s">
        <v>1055</v>
      </c>
      <c r="IK12" s="117" t="s">
        <v>1056</v>
      </c>
      <c r="IL12" s="117" t="s">
        <v>5777</v>
      </c>
      <c r="IM12" s="117" t="s">
        <v>1057</v>
      </c>
      <c r="IN12" s="117" t="s">
        <v>1058</v>
      </c>
      <c r="IO12" s="117" t="s">
        <v>1059</v>
      </c>
      <c r="IP12" s="117" t="s">
        <v>1060</v>
      </c>
      <c r="IQ12" s="117" t="s">
        <v>1061</v>
      </c>
      <c r="IR12" s="117" t="s">
        <v>1062</v>
      </c>
      <c r="IS12" s="117" t="s">
        <v>1063</v>
      </c>
      <c r="IT12" s="117" t="s">
        <v>1064</v>
      </c>
      <c r="IU12" s="117" t="s">
        <v>5779</v>
      </c>
      <c r="IV12" s="117" t="s">
        <v>1065</v>
      </c>
      <c r="IW12" s="117" t="s">
        <v>5778</v>
      </c>
    </row>
    <row r="13" spans="1:258" ht="29.1" customHeight="1">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8"/>
      <c r="BK13" s="88"/>
      <c r="BL13" s="185"/>
      <c r="BM13" s="87" t="str">
        <f>IF(ISBLANK(BM$11),"",BM$11)</f>
        <v/>
      </c>
      <c r="BN13" s="79" t="str" cm="1">
        <f t="array" ref="BN13">MultiMatch(Activities[[#This Row],[LearningActivity.Directedby.Reference.Organisation.]],OrganisationNames,0)</f>
        <v/>
      </c>
      <c r="BO13" s="87" t="str">
        <f>IF(ISBLANK(BO$11),"",BO$11)</f>
        <v/>
      </c>
      <c r="BP13" s="90" t="str">
        <f t="shared" ref="BP13" si="1">IF(ISBLANK(BP$11),"",BP$11)</f>
        <v/>
      </c>
      <c r="BQ13" s="90" t="str">
        <f t="shared" ref="BQ13" si="2">IF(ISBLANK(BQ$11),"",BQ$11)</f>
        <v/>
      </c>
      <c r="BR13" s="90" t="str">
        <f t="shared" ref="BR13" si="3">IF(ISBLANK(BR$11),"",BR$11)</f>
        <v/>
      </c>
      <c r="BS13" s="90" t="str">
        <f t="shared" ref="BS13" si="4">IF(ISBLANK(BS$11),"",BS$11)</f>
        <v/>
      </c>
      <c r="BT13" s="90" t="str">
        <f t="shared" ref="BT13" si="5">IF(ISBLANK(BT$11),"",BT$11)</f>
        <v/>
      </c>
      <c r="BU13" s="90" t="str">
        <f t="shared" ref="BU13" si="6">IF(ISBLANK(BU$11),"",BU$11)</f>
        <v/>
      </c>
      <c r="BV13" s="90" t="str">
        <f t="shared" ref="BV13" si="7">IF(ISBLANK(BV$11),"",BV$11)</f>
        <v/>
      </c>
      <c r="BW13" s="90" t="str">
        <f t="shared" ref="BW13" si="8">IF(ISBLANK(BW$11),"",BW$11)</f>
        <v/>
      </c>
      <c r="BX13" s="90" t="str">
        <f t="shared" ref="BX13" si="9">IF(ISBLANK(BX$11),"",BX$11)</f>
        <v/>
      </c>
      <c r="BY13" s="90" t="str">
        <f t="shared" ref="BY13" si="10">IF(ISBLANK(BY$11),"",BY$11)</f>
        <v/>
      </c>
      <c r="BZ13" s="90" t="str">
        <f t="shared" ref="BZ13" si="11">IF(ISBLANK(BZ$11),"",BZ$11)</f>
        <v/>
      </c>
      <c r="CA13" s="90" t="str">
        <f t="shared" ref="CA13" si="12">IF(ISBLANK(CA$11),"",CA$11)</f>
        <v/>
      </c>
      <c r="CB13" s="90" t="str">
        <f t="shared" ref="CB13" si="13">IF(ISBLANK(CB$11),"",CB$11)</f>
        <v/>
      </c>
      <c r="CC13" s="90" t="str">
        <f t="shared" ref="CC13" si="14">IF(ISBLANK(CC$11),"",CC$11)</f>
        <v/>
      </c>
      <c r="CD13" s="90" t="str">
        <f t="shared" ref="CD13" si="15">IF(ISBLANK(CD$11),"",CD$11)</f>
        <v/>
      </c>
      <c r="CE13" s="90" t="str">
        <f t="shared" ref="CE13" si="16">IF(ISBLANK(CE$11),"",CE$11)</f>
        <v/>
      </c>
      <c r="CF13" s="90"/>
      <c r="CG13" s="90" t="str">
        <f t="shared" ref="CG13" si="17">IF(ISBLANK(CG$11),"",CG$11)</f>
        <v/>
      </c>
      <c r="CH13" s="90" t="str">
        <f t="shared" ref="CH13" si="18">IF(ISBLANK(CH$11),"",CH$11)</f>
        <v/>
      </c>
      <c r="CI13" s="90" t="str">
        <f t="shared" ref="CI13" si="19">IF(ISBLANK(CI$11),"",CI$11)</f>
        <v/>
      </c>
      <c r="CJ13" s="90" t="str">
        <f t="shared" ref="CJ13" si="20">IF(ISBLANK(CJ$11),"",CJ$11)</f>
        <v/>
      </c>
      <c r="CK13" s="90" t="str">
        <f t="shared" ref="CK13" si="21">IF(ISBLANK(CK$11),"",CK$11)</f>
        <v/>
      </c>
      <c r="CL13" s="90" t="str">
        <f t="shared" ref="CL13" si="22">IF(ISBLANK(CL$11),"",CL$11)</f>
        <v/>
      </c>
      <c r="CM13" s="90" t="str">
        <f t="shared" ref="CM13" si="23">IF(ISBLANK(CM$11),"",CM$11)</f>
        <v/>
      </c>
      <c r="CN13" s="90" t="str">
        <f t="shared" ref="CN13" si="24">IF(ISBLANK(CN$11),"",CN$11)</f>
        <v/>
      </c>
      <c r="CO13" s="90"/>
      <c r="CP13" s="90"/>
      <c r="CQ13" s="90" t="str">
        <f t="shared" ref="CQ13" si="25">IF(ISBLANK(CQ$11),"",CQ$11)</f>
        <v/>
      </c>
      <c r="CR13" s="129" t="str">
        <f>IF(ISBLANK(CR$11),"",CR$11)</f>
        <v/>
      </c>
      <c r="CS13" s="90" t="str">
        <f t="shared" ref="CS13" si="26">IF(ISBLANK(CS$11),"",CS$11)</f>
        <v/>
      </c>
      <c r="CT13" s="90" t="str">
        <f t="shared" ref="CT13" si="27">IF(ISBLANK(CT$11),"",CT$11)</f>
        <v/>
      </c>
      <c r="CU13" s="90" t="str">
        <f t="shared" ref="CU13" si="28">IF(ISBLANK(CU$11),"",CU$11)</f>
        <v/>
      </c>
      <c r="CV13" s="90" t="str">
        <f t="shared" ref="CV13" si="29">IF(ISBLANK(CV$11),"",CV$11)</f>
        <v/>
      </c>
      <c r="CW13" s="90" t="str">
        <f t="shared" ref="CW13" si="30">IF(ISBLANK(CW$11),"",CW$11)</f>
        <v/>
      </c>
      <c r="CX13" s="90" t="str">
        <f t="shared" ref="CX13" si="31">IF(ISBLANK(CX$11),"",CX$11)</f>
        <v/>
      </c>
      <c r="CY13" s="90" t="str">
        <f t="shared" ref="CY13" si="32">IF(ISBLANK(CY$11),"",CY$11)</f>
        <v/>
      </c>
      <c r="CZ13" s="90" t="str">
        <f t="shared" ref="CZ13" si="33">IF(ISBLANK(CZ$11),"",CZ$11)</f>
        <v/>
      </c>
      <c r="DA13" s="90" t="str">
        <f t="shared" ref="DA13" si="34">IF(ISBLANK(DA$11),"",DA$11)</f>
        <v/>
      </c>
      <c r="DB13" s="90" t="str">
        <f t="shared" ref="DB13" si="35">IF(ISBLANK(DB$11),"",DB$11)</f>
        <v/>
      </c>
      <c r="DC13" s="90" t="str">
        <f t="shared" ref="DC13" si="36">IF(ISBLANK(DC$11),"",DC$11)</f>
        <v/>
      </c>
      <c r="DD13" s="90" t="str">
        <f t="shared" ref="DD13" si="37">IF(ISBLANK(DD$11),"",DD$11)</f>
        <v/>
      </c>
      <c r="DE13" s="90" t="str">
        <f t="shared" ref="DE13" si="38">IF(ISBLANK(DE$11),"",DE$11)</f>
        <v/>
      </c>
      <c r="DF13" s="90" t="str">
        <f t="shared" ref="DF13" si="39">IF(ISBLANK(DF$11),"",DF$11)</f>
        <v/>
      </c>
      <c r="DG13" s="90" t="str">
        <f t="shared" ref="DG13" si="40">IF(ISBLANK(DG$11),"",DG$11)</f>
        <v/>
      </c>
      <c r="DH13" s="90" t="str">
        <f t="shared" ref="DH13" si="41">IF(ISBLANK(DH$11),"",DH$11)</f>
        <v/>
      </c>
      <c r="DI13" s="90"/>
      <c r="DJ13" s="90" t="str">
        <f t="shared" ref="DJ13" si="42">IF(ISBLANK(DJ$11),"",DJ$11)</f>
        <v/>
      </c>
      <c r="DK13" s="90" t="str">
        <f t="shared" ref="DK13" si="43">IF(ISBLANK(DK$11),"",DK$11)</f>
        <v/>
      </c>
      <c r="DL13" s="90" t="str">
        <f t="shared" ref="DL13" si="44">IF(ISBLANK(DL$11),"",DL$11)</f>
        <v/>
      </c>
      <c r="DM13" s="90" t="str">
        <f t="shared" ref="DM13" si="45">IF(ISBLANK(DM$11),"",DM$11)</f>
        <v/>
      </c>
      <c r="DN13" s="90" t="str">
        <f t="shared" ref="DN13" si="46">IF(ISBLANK(DN$11),"",DN$11)</f>
        <v/>
      </c>
      <c r="DO13" s="90" t="str">
        <f t="shared" ref="DO13" si="47">IF(ISBLANK(DO$11),"",DO$11)</f>
        <v/>
      </c>
      <c r="DP13" s="90" t="str">
        <f t="shared" ref="DP13" si="48">IF(ISBLANK(DP$11),"",DP$11)</f>
        <v/>
      </c>
      <c r="DQ13" s="90" t="str">
        <f t="shared" ref="DQ13" si="49">IF(ISBLANK(DQ$11),"",DQ$11)</f>
        <v/>
      </c>
      <c r="DR13" s="90"/>
      <c r="DS13" s="90"/>
      <c r="DT13" s="90" t="str">
        <f t="shared" ref="DT13" si="50">IF(ISBLANK(DT$11),"",DT$11)</f>
        <v/>
      </c>
      <c r="DU13" s="129" t="str">
        <f>IF(ISBLANK(DU$11),"",(DU$11))</f>
        <v/>
      </c>
      <c r="DV13" s="79" t="str" cm="1">
        <f t="array" ref="DV13">MultiMatch(Activities[[#This Row],[LearningActivity.location'#1.hasAddress'#1.countryCode.Reference.]],Vocabularies[name],0)</f>
        <v/>
      </c>
      <c r="DW13" s="87"/>
      <c r="DX13" s="79" t="str" cm="1">
        <f t="array" ref="DX13">MultiMatch(Activities[[#This Row],[LearningActivity.hasPart.MultiReference.LearningAchievement.]],ActivityNames,0)</f>
        <v/>
      </c>
      <c r="DY13" s="143" t="str">
        <f>IF(ISBLANK(Activities[[#This Row],[LearningActivity.title.Property.content.en]]),"",Activities[[#This Row],[LearningActivity.title.Property.content.en]])</f>
        <v/>
      </c>
      <c r="DZ13" s="117" t="str">
        <f>IF(ISBLANK(Activities[[#This Row],[LearningActivity.title.Property.content.bg]]),"",Activities[[#This Row],[LearningActivity.title.Property.content.bg]])</f>
        <v/>
      </c>
      <c r="EA13" s="117" t="str">
        <f>IF(ISBLANK(Activities[[#This Row],[LearningActivity.title.Property.content.cs]]),"",Activities[[#This Row],[LearningActivity.title.Property.content.cs]])</f>
        <v/>
      </c>
      <c r="EB13" s="117" t="str">
        <f>IF(ISBLANK(Activities[[#This Row],[LearningActivity.title.Property.content.da]]),"",Activities[[#This Row],[LearningActivity.title.Property.content.da]])</f>
        <v/>
      </c>
      <c r="EC13" s="117" t="str">
        <f>IF(ISBLANK(Activities[[#This Row],[LearningActivity.title.Property.content.de]]),"",Activities[[#This Row],[LearningActivity.title.Property.content.de]])</f>
        <v/>
      </c>
      <c r="ED13" s="117" t="str">
        <f>IF(ISBLANK(Activities[[#This Row],[LearningActivity.title.Property.content.el]]),"",Activities[[#This Row],[LearningActivity.title.Property.content.el]])</f>
        <v/>
      </c>
      <c r="EE13" s="117" t="str">
        <f>IF(ISBLANK(Activities[[#This Row],[LearningActivity.title.Property.content.es]]),"",Activities[[#This Row],[LearningActivity.title.Property.content.es]])</f>
        <v/>
      </c>
      <c r="EF13" s="117" t="str">
        <f>IF(ISBLANK(Activities[[#This Row],[LearningActivity.title.Property.content.et]]),"",Activities[[#This Row],[LearningActivity.title.Property.content.et]])</f>
        <v/>
      </c>
      <c r="EG13" s="117" t="str">
        <f>IF(ISBLANK(Activities[[#This Row],[LearningActivity.title.Property.content.fi]]),"",Activities[[#This Row],[LearningActivity.title.Property.content.fi]])</f>
        <v/>
      </c>
      <c r="EH13" s="117" t="str">
        <f>IF(ISBLANK(Activities[[#This Row],[LearningActivity.title.Property.content.fr]]),"",Activities[[#This Row],[LearningActivity.title.Property.content.fr]])</f>
        <v/>
      </c>
      <c r="EI13" s="117" t="str">
        <f>IF(ISBLANK(Activities[[#This Row],[LearningActivity.title.Property.content.ga]]),"",Activities[[#This Row],[LearningActivity.title.Property.content.ga]])</f>
        <v/>
      </c>
      <c r="EJ13" s="117" t="str">
        <f>IF(ISBLANK(Activities[[#This Row],[LearningActivity.title.Property.content.hr]]),"",Activities[[#This Row],[LearningActivity.title.Property.content.hr]])</f>
        <v/>
      </c>
      <c r="EK13" s="117" t="str">
        <f>IF(ISBLANK(Activities[[#This Row],[LearningActivity.title.Property.content.hu]]),"",Activities[[#This Row],[LearningActivity.title.Property.content.hu]])</f>
        <v/>
      </c>
      <c r="EL13" s="117" t="str">
        <f>IF(ISBLANK(Activities[[#This Row],[LearningActivity.title.Property.content.is]]),"",Activities[[#This Row],[LearningActivity.title.Property.content.is]])</f>
        <v/>
      </c>
      <c r="EM13" s="117" t="str">
        <f>IF(ISBLANK(Activities[[#This Row],[LearningActivity.title.Property.content.it]]),"",Activities[[#This Row],[LearningActivity.title.Property.content.it]])</f>
        <v/>
      </c>
      <c r="EN13" s="117" t="str">
        <f>IF(ISBLANK(Activities[[#This Row],[LearningActivity.title.Property.content.lt]]),"",Activities[[#This Row],[LearningActivity.title.Property.content.lt]])</f>
        <v/>
      </c>
      <c r="EO13" s="117" t="str">
        <f>IF(ISBLANK(Activities[[#This Row],[LearningActivity.title.Property.content.lv]]),"",Activities[[#This Row],[LearningActivity.title.Property.content.lv]])</f>
        <v/>
      </c>
      <c r="EP13" s="117"/>
      <c r="EQ13" s="117" t="str">
        <f>IF(ISBLANK(Activities[[#This Row],[LearningActivity.title.Property.content.mt]]),"",Activities[[#This Row],[LearningActivity.title.Property.content.mt]])</f>
        <v/>
      </c>
      <c r="ER13" s="117" t="str">
        <f>IF(ISBLANK(Activities[[#This Row],[LearningActivity.title.Property.content.nl]]),"",Activities[[#This Row],[LearningActivity.title.Property.content.nl]])</f>
        <v/>
      </c>
      <c r="ES13" s="117" t="str">
        <f>IF(ISBLANK(Activities[[#This Row],[LearningActivity.title.Property.content.no]]),"",Activities[[#This Row],[LearningActivity.title.Property.content.no]])</f>
        <v/>
      </c>
      <c r="ET13" s="117" t="str">
        <f>IF(ISBLANK(Activities[[#This Row],[LearningActivity.title.Property.content.pl]]),"",Activities[[#This Row],[LearningActivity.title.Property.content.pl]])</f>
        <v/>
      </c>
      <c r="EU13" s="117" t="str">
        <f>IF(ISBLANK(Activities[[#This Row],[LearningActivity.title.Property.content.pt]]),"",Activities[[#This Row],[LearningActivity.title.Property.content.pt]])</f>
        <v/>
      </c>
      <c r="EV13" s="117" t="str">
        <f>IF(ISBLANK(Activities[[#This Row],[LearningActivity.title.Property.content.ro]]),"",Activities[[#This Row],[LearningActivity.title.Property.content.ro]])</f>
        <v/>
      </c>
      <c r="EW13" s="117" t="str">
        <f>IF(ISBLANK(Activities[[#This Row],[LearningActivity.title.Property.content.sk]]),"",Activities[[#This Row],[LearningActivity.title.Property.content.sk]])</f>
        <v/>
      </c>
      <c r="EX13" s="117" t="str">
        <f>IF(ISBLANK(Activities[[#This Row],[LearningActivity.title.Property.content.sl]]),"",Activities[[#This Row],[LearningActivity.title.Property.content.sl]])</f>
        <v/>
      </c>
      <c r="EY13" s="117"/>
      <c r="EZ13" s="117"/>
      <c r="FA13" s="117" t="str">
        <f>IF(ISBLANK(Activities[[#This Row],[LearningActivity.title.Property.content.tr]]),"",Activities[[#This Row],[LearningActivity.title.Property.content.tr]])</f>
        <v/>
      </c>
      <c r="FB13" s="87" t="str">
        <f t="shared" ref="FB13" si="51">IF(ISBLANK(FB$11),"",FB$11)</f>
        <v/>
      </c>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87"/>
      <c r="GE13" s="87"/>
      <c r="GF13" s="87"/>
      <c r="GG13" s="103"/>
      <c r="GH13" s="90" t="str">
        <f t="shared" ref="GH13:GJ13" si="52">IF(ISBLANK(GH$11),"",GH$11)</f>
        <v/>
      </c>
      <c r="GI13" s="90" t="str" cm="1">
        <f t="array" ref="GI13">MultiMatch(Activities[[#This Row],[LearningActivity.specifiedBy.learningActivityType.Reference.]],LearningActivityTypeNames,0+1390)</f>
        <v/>
      </c>
      <c r="GJ13" s="90" t="str">
        <f t="shared" si="52"/>
        <v/>
      </c>
      <c r="GK13" s="90" t="str" cm="1">
        <f t="array" ref="GK13">MultiMatch(Activities[[#This Row],[LearningActivity.specifiedBy.mode.Reference.]],Vocabularies[name],0)</f>
        <v/>
      </c>
      <c r="GL13" s="185"/>
      <c r="GM13" s="87" t="str">
        <f t="shared" ref="GM13" si="53">IF(ISBLANK(GM$11),"",GM$11)</f>
        <v/>
      </c>
      <c r="GN13" s="87" t="str" cm="1">
        <f t="array" ref="GN13">MultiMatch(Activities[[#This Row],[LearningActivity.specifiedBy.language.MultiReference.]],Vocabularies[name],0)</f>
        <v/>
      </c>
      <c r="GO13" s="207" t="str">
        <f t="shared" ref="GO13" si="54">IF(ISBLANK(GO$11),"",GO$11)</f>
        <v/>
      </c>
      <c r="GP13" s="90" t="str">
        <f>IF(ISBLANK(GP$11),"",(GP$11))</f>
        <v/>
      </c>
      <c r="GQ13" s="90" t="str">
        <f t="shared" ref="GQ13:IW13" si="55">IF(ISBLANK(GQ$11),"",(GQ$11))</f>
        <v/>
      </c>
      <c r="GR13" s="90" t="str">
        <f t="shared" si="55"/>
        <v/>
      </c>
      <c r="GS13" s="90" t="str">
        <f t="shared" si="55"/>
        <v/>
      </c>
      <c r="GT13" s="90" t="str">
        <f t="shared" si="55"/>
        <v/>
      </c>
      <c r="GU13" s="90" t="str">
        <f t="shared" si="55"/>
        <v/>
      </c>
      <c r="GV13" s="90" t="str">
        <f t="shared" si="55"/>
        <v/>
      </c>
      <c r="GW13" s="90" t="str">
        <f t="shared" si="55"/>
        <v/>
      </c>
      <c r="GX13" s="90" t="str">
        <f t="shared" si="55"/>
        <v/>
      </c>
      <c r="GY13" s="90" t="str">
        <f t="shared" si="55"/>
        <v/>
      </c>
      <c r="GZ13" s="90" t="str">
        <f t="shared" si="55"/>
        <v/>
      </c>
      <c r="HA13" s="90" t="str">
        <f t="shared" si="55"/>
        <v/>
      </c>
      <c r="HB13" s="90" t="str">
        <f t="shared" si="55"/>
        <v/>
      </c>
      <c r="HC13" s="90" t="str">
        <f t="shared" si="55"/>
        <v/>
      </c>
      <c r="HD13" s="90" t="str">
        <f t="shared" si="55"/>
        <v/>
      </c>
      <c r="HE13" s="90" t="str">
        <f t="shared" si="55"/>
        <v/>
      </c>
      <c r="HF13" s="90" t="str">
        <f t="shared" si="55"/>
        <v/>
      </c>
      <c r="HG13" s="90" t="str">
        <f t="shared" si="55"/>
        <v/>
      </c>
      <c r="HH13" s="90"/>
      <c r="HI13" s="90" t="str">
        <f t="shared" si="55"/>
        <v/>
      </c>
      <c r="HJ13" s="90" t="str">
        <f t="shared" si="55"/>
        <v/>
      </c>
      <c r="HK13" s="90" t="str">
        <f t="shared" si="55"/>
        <v/>
      </c>
      <c r="HL13" s="90" t="str">
        <f t="shared" si="55"/>
        <v/>
      </c>
      <c r="HM13" s="90" t="str">
        <f t="shared" si="55"/>
        <v/>
      </c>
      <c r="HN13" s="90" t="str">
        <f t="shared" si="55"/>
        <v/>
      </c>
      <c r="HO13" s="90" t="str">
        <f t="shared" si="55"/>
        <v/>
      </c>
      <c r="HP13" s="90" t="str">
        <f t="shared" si="55"/>
        <v/>
      </c>
      <c r="HQ13" s="90"/>
      <c r="HR13" s="90"/>
      <c r="HS13" s="90" t="str">
        <f t="shared" si="55"/>
        <v/>
      </c>
      <c r="HT13" s="90" t="str">
        <f t="shared" si="55"/>
        <v/>
      </c>
      <c r="HU13" s="90" t="str">
        <f t="shared" si="55"/>
        <v/>
      </c>
      <c r="HV13" s="90" t="str">
        <f t="shared" si="55"/>
        <v/>
      </c>
      <c r="HW13" s="90" t="str">
        <f t="shared" si="55"/>
        <v/>
      </c>
      <c r="HX13" s="90" t="str">
        <f t="shared" si="55"/>
        <v/>
      </c>
      <c r="HY13" s="90" t="str">
        <f t="shared" si="55"/>
        <v/>
      </c>
      <c r="HZ13" s="90" t="str">
        <f t="shared" si="55"/>
        <v/>
      </c>
      <c r="IA13" s="90" t="str">
        <f t="shared" si="55"/>
        <v/>
      </c>
      <c r="IB13" s="90" t="str">
        <f t="shared" si="55"/>
        <v/>
      </c>
      <c r="IC13" s="90" t="str">
        <f t="shared" si="55"/>
        <v/>
      </c>
      <c r="ID13" s="90" t="str">
        <f t="shared" si="55"/>
        <v/>
      </c>
      <c r="IE13" s="90" t="str">
        <f t="shared" si="55"/>
        <v/>
      </c>
      <c r="IF13" s="90" t="str">
        <f t="shared" si="55"/>
        <v/>
      </c>
      <c r="IG13" s="90" t="str">
        <f t="shared" si="55"/>
        <v/>
      </c>
      <c r="IH13" s="90" t="str">
        <f t="shared" si="55"/>
        <v/>
      </c>
      <c r="II13" s="90" t="str">
        <f t="shared" si="55"/>
        <v/>
      </c>
      <c r="IJ13" s="90" t="str">
        <f t="shared" si="55"/>
        <v/>
      </c>
      <c r="IK13" s="90" t="str">
        <f t="shared" si="55"/>
        <v/>
      </c>
      <c r="IL13" s="90" t="str">
        <f t="shared" si="55"/>
        <v/>
      </c>
      <c r="IM13" s="90" t="str">
        <f t="shared" si="55"/>
        <v/>
      </c>
      <c r="IN13" s="90" t="str">
        <f t="shared" si="55"/>
        <v/>
      </c>
      <c r="IO13" s="90" t="str">
        <f t="shared" si="55"/>
        <v/>
      </c>
      <c r="IP13" s="90" t="str">
        <f t="shared" si="55"/>
        <v/>
      </c>
      <c r="IQ13" s="90" t="str">
        <f t="shared" si="55"/>
        <v/>
      </c>
      <c r="IR13" s="90" t="str">
        <f t="shared" si="55"/>
        <v/>
      </c>
      <c r="IS13" s="90" t="str">
        <f t="shared" si="55"/>
        <v/>
      </c>
      <c r="IT13" s="90" t="str">
        <f t="shared" si="55"/>
        <v/>
      </c>
      <c r="IU13" s="90" t="str">
        <f t="shared" si="55"/>
        <v/>
      </c>
      <c r="IV13" s="90" t="str">
        <f t="shared" si="55"/>
        <v/>
      </c>
      <c r="IW13" s="90" t="str">
        <f t="shared" si="55"/>
        <v/>
      </c>
    </row>
    <row r="14" spans="1:258" ht="29.1" customHeight="1">
      <c r="B14" s="235" t="s">
        <v>6731</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t="str">
        <f>IF(ISBLANK(AE$11),"",AE$11)</f>
        <v/>
      </c>
      <c r="AF14" s="87"/>
      <c r="AG14" s="87" t="s">
        <v>6732</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313"/>
      <c r="BK14" s="313"/>
      <c r="BL14" s="323"/>
      <c r="BM14" s="87" t="str">
        <f>IF(ISBLANK(BM$11),"",BM$11)</f>
        <v/>
      </c>
      <c r="BN14" s="79" t="str" cm="1">
        <f t="array" ref="BN14">MultiMatch(Activities[[#This Row],[LearningActivity.Directedby.Reference.Organisation.]],OrganisationNames,0)</f>
        <v/>
      </c>
      <c r="BO14" s="87" t="str">
        <f>IF(ISBLANK(BO$11),"",BO$11)</f>
        <v/>
      </c>
      <c r="BP14" s="319" t="str">
        <f t="shared" ref="BP14:CE16" si="56">IF(ISBLANK(BP$11),"",BP$11)</f>
        <v/>
      </c>
      <c r="BQ14" s="319" t="str">
        <f t="shared" si="56"/>
        <v/>
      </c>
      <c r="BR14" s="319" t="str">
        <f t="shared" si="56"/>
        <v/>
      </c>
      <c r="BS14" s="319" t="str">
        <f t="shared" si="56"/>
        <v/>
      </c>
      <c r="BT14" s="319" t="str">
        <f t="shared" si="56"/>
        <v/>
      </c>
      <c r="BU14" s="319" t="str">
        <f t="shared" si="56"/>
        <v/>
      </c>
      <c r="BV14" s="319" t="str">
        <f t="shared" si="56"/>
        <v/>
      </c>
      <c r="BW14" s="319" t="str">
        <f t="shared" si="56"/>
        <v/>
      </c>
      <c r="BX14" s="319" t="str">
        <f t="shared" si="56"/>
        <v/>
      </c>
      <c r="BY14" s="319" t="str">
        <f t="shared" si="56"/>
        <v/>
      </c>
      <c r="BZ14" s="319" t="str">
        <f t="shared" si="56"/>
        <v/>
      </c>
      <c r="CA14" s="319" t="str">
        <f t="shared" si="56"/>
        <v/>
      </c>
      <c r="CB14" s="319" t="str">
        <f t="shared" si="56"/>
        <v/>
      </c>
      <c r="CC14" s="319" t="str">
        <f t="shared" si="56"/>
        <v/>
      </c>
      <c r="CD14" s="319" t="str">
        <f t="shared" si="56"/>
        <v/>
      </c>
      <c r="CE14" s="319" t="str">
        <f t="shared" si="56"/>
        <v/>
      </c>
      <c r="CF14" s="90"/>
      <c r="CG14" s="319" t="str">
        <f t="shared" ref="CG14:CN16" si="57">IF(ISBLANK(CG$11),"",CG$11)</f>
        <v/>
      </c>
      <c r="CH14" s="319" t="str">
        <f t="shared" si="57"/>
        <v/>
      </c>
      <c r="CI14" s="319" t="str">
        <f t="shared" si="57"/>
        <v/>
      </c>
      <c r="CJ14" s="319" t="str">
        <f t="shared" si="57"/>
        <v/>
      </c>
      <c r="CK14" s="319" t="str">
        <f t="shared" si="57"/>
        <v/>
      </c>
      <c r="CL14" s="319" t="str">
        <f t="shared" si="57"/>
        <v/>
      </c>
      <c r="CM14" s="319" t="str">
        <f t="shared" si="57"/>
        <v/>
      </c>
      <c r="CN14" s="319" t="str">
        <f t="shared" si="57"/>
        <v/>
      </c>
      <c r="CO14" s="90"/>
      <c r="CP14" s="90"/>
      <c r="CQ14" s="319" t="str">
        <f>IF(ISBLANK(CQ$11),"",CQ$11)</f>
        <v/>
      </c>
      <c r="CR14" s="129" t="str">
        <f>IF(ISBLANK(CR$11),"",CR$11)</f>
        <v/>
      </c>
      <c r="CS14" s="319" t="str">
        <f t="shared" ref="CS14:DH16" si="58">IF(ISBLANK(CS$11),"",CS$11)</f>
        <v/>
      </c>
      <c r="CT14" s="319" t="str">
        <f t="shared" si="58"/>
        <v/>
      </c>
      <c r="CU14" s="319" t="str">
        <f t="shared" si="58"/>
        <v/>
      </c>
      <c r="CV14" s="319" t="str">
        <f t="shared" si="58"/>
        <v/>
      </c>
      <c r="CW14" s="319" t="str">
        <f t="shared" si="58"/>
        <v/>
      </c>
      <c r="CX14" s="319" t="str">
        <f t="shared" si="58"/>
        <v/>
      </c>
      <c r="CY14" s="319" t="str">
        <f t="shared" si="58"/>
        <v/>
      </c>
      <c r="CZ14" s="319" t="str">
        <f t="shared" si="58"/>
        <v/>
      </c>
      <c r="DA14" s="319" t="str">
        <f t="shared" si="58"/>
        <v/>
      </c>
      <c r="DB14" s="319" t="str">
        <f t="shared" si="58"/>
        <v/>
      </c>
      <c r="DC14" s="315" t="str">
        <f t="shared" si="58"/>
        <v/>
      </c>
      <c r="DD14" s="315" t="str">
        <f t="shared" si="58"/>
        <v/>
      </c>
      <c r="DE14" s="319" t="str">
        <f t="shared" si="58"/>
        <v/>
      </c>
      <c r="DF14" s="315" t="str">
        <f t="shared" si="58"/>
        <v/>
      </c>
      <c r="DG14" s="319" t="str">
        <f t="shared" si="58"/>
        <v/>
      </c>
      <c r="DH14" s="315" t="str">
        <f t="shared" si="58"/>
        <v/>
      </c>
      <c r="DI14" s="90"/>
      <c r="DJ14" s="315" t="str">
        <f t="shared" ref="DJ14:DQ16" si="59">IF(ISBLANK(DJ$11),"",DJ$11)</f>
        <v/>
      </c>
      <c r="DK14" s="315" t="str">
        <f t="shared" si="59"/>
        <v/>
      </c>
      <c r="DL14" s="319" t="str">
        <f t="shared" si="59"/>
        <v/>
      </c>
      <c r="DM14" s="319" t="str">
        <f t="shared" si="59"/>
        <v/>
      </c>
      <c r="DN14" s="319" t="str">
        <f t="shared" si="59"/>
        <v/>
      </c>
      <c r="DO14" s="319" t="str">
        <f t="shared" si="59"/>
        <v/>
      </c>
      <c r="DP14" s="319" t="str">
        <f t="shared" si="59"/>
        <v/>
      </c>
      <c r="DQ14" s="319" t="str">
        <f t="shared" si="59"/>
        <v/>
      </c>
      <c r="DR14" s="90"/>
      <c r="DS14" s="90"/>
      <c r="DT14" s="319" t="str">
        <f>IF(ISBLANK(DT$11),"",DT$11)</f>
        <v/>
      </c>
      <c r="DU14" s="129" t="str">
        <f>IF(ISBLANK(DU$11),"",(DU$11))</f>
        <v/>
      </c>
      <c r="DV14" s="79" t="str" cm="1">
        <f t="array" ref="DV14">MultiMatch(Activities[[#This Row],[LearningActivity.location'#1.hasAddress'#1.countryCode.Reference.]],Vocabularies[name],0)</f>
        <v/>
      </c>
      <c r="DW14" s="87"/>
      <c r="DX14" s="79" t="str" cm="1">
        <f t="array" ref="DX14">MultiMatch(Activities[[#This Row],[LearningActivity.hasPart.MultiReference.LearningAchievement.]],ActivityNames,0)</f>
        <v/>
      </c>
      <c r="DY14" s="324" t="str">
        <f>IF(ISBLANK(Activities[[#This Row],[LearningActivity.title.Property.content.en]]),"",Activities[[#This Row],[LearningActivity.title.Property.content.en]])</f>
        <v>Individual exercise</v>
      </c>
      <c r="DZ14" s="117" t="str">
        <f>IF(ISBLANK(Activities[[#This Row],[LearningActivity.title.Property.content.bg]]),"",Activities[[#This Row],[LearningActivity.title.Property.content.bg]])</f>
        <v/>
      </c>
      <c r="EA14" s="117" t="str">
        <f>IF(ISBLANK(Activities[[#This Row],[LearningActivity.title.Property.content.cs]]),"",Activities[[#This Row],[LearningActivity.title.Property.content.cs]])</f>
        <v/>
      </c>
      <c r="EB14" s="117" t="str">
        <f>IF(ISBLANK(Activities[[#This Row],[LearningActivity.title.Property.content.da]]),"",Activities[[#This Row],[LearningActivity.title.Property.content.da]])</f>
        <v/>
      </c>
      <c r="EC14" s="117" t="str">
        <f>IF(ISBLANK(Activities[[#This Row],[LearningActivity.title.Property.content.de]]),"",Activities[[#This Row],[LearningActivity.title.Property.content.de]])</f>
        <v/>
      </c>
      <c r="ED14" s="117" t="str">
        <f>IF(ISBLANK(Activities[[#This Row],[LearningActivity.title.Property.content.el]]),"",Activities[[#This Row],[LearningActivity.title.Property.content.el]])</f>
        <v/>
      </c>
      <c r="EE14" s="117" t="str">
        <f>IF(ISBLANK(Activities[[#This Row],[LearningActivity.title.Property.content.es]]),"",Activities[[#This Row],[LearningActivity.title.Property.content.es]])</f>
        <v/>
      </c>
      <c r="EF14" s="117" t="str">
        <f>IF(ISBLANK(Activities[[#This Row],[LearningActivity.title.Property.content.et]]),"",Activities[[#This Row],[LearningActivity.title.Property.content.et]])</f>
        <v/>
      </c>
      <c r="EG14" s="117" t="str">
        <f>IF(ISBLANK(Activities[[#This Row],[LearningActivity.title.Property.content.fi]]),"",Activities[[#This Row],[LearningActivity.title.Property.content.fi]])</f>
        <v/>
      </c>
      <c r="EH14" s="117" t="str">
        <f>IF(ISBLANK(Activities[[#This Row],[LearningActivity.title.Property.content.fr]]),"",Activities[[#This Row],[LearningActivity.title.Property.content.fr]])</f>
        <v/>
      </c>
      <c r="EI14" s="117" t="str">
        <f>IF(ISBLANK(Activities[[#This Row],[LearningActivity.title.Property.content.ga]]),"",Activities[[#This Row],[LearningActivity.title.Property.content.ga]])</f>
        <v/>
      </c>
      <c r="EJ14" s="117" t="str">
        <f>IF(ISBLANK(Activities[[#This Row],[LearningActivity.title.Property.content.hr]]),"",Activities[[#This Row],[LearningActivity.title.Property.content.hr]])</f>
        <v/>
      </c>
      <c r="EK14" s="117" t="str">
        <f>IF(ISBLANK(Activities[[#This Row],[LearningActivity.title.Property.content.hu]]),"",Activities[[#This Row],[LearningActivity.title.Property.content.hu]])</f>
        <v/>
      </c>
      <c r="EL14" s="117" t="str">
        <f>IF(ISBLANK(Activities[[#This Row],[LearningActivity.title.Property.content.is]]),"",Activities[[#This Row],[LearningActivity.title.Property.content.is]])</f>
        <v/>
      </c>
      <c r="EM14" s="117" t="str">
        <f>IF(ISBLANK(Activities[[#This Row],[LearningActivity.title.Property.content.it]]),"",Activities[[#This Row],[LearningActivity.title.Property.content.it]])</f>
        <v/>
      </c>
      <c r="EN14" s="117" t="str">
        <f>IF(ISBLANK(Activities[[#This Row],[LearningActivity.title.Property.content.lt]]),"",Activities[[#This Row],[LearningActivity.title.Property.content.lt]])</f>
        <v/>
      </c>
      <c r="EO14" s="117" t="str">
        <f>IF(ISBLANK(Activities[[#This Row],[LearningActivity.title.Property.content.lv]]),"",Activities[[#This Row],[LearningActivity.title.Property.content.lv]])</f>
        <v/>
      </c>
      <c r="EP14" s="117"/>
      <c r="EQ14" s="117" t="str">
        <f>IF(ISBLANK(Activities[[#This Row],[LearningActivity.title.Property.content.mt]]),"",Activities[[#This Row],[LearningActivity.title.Property.content.mt]])</f>
        <v/>
      </c>
      <c r="ER14" s="117" t="str">
        <f>IF(ISBLANK(Activities[[#This Row],[LearningActivity.title.Property.content.nl]]),"",Activities[[#This Row],[LearningActivity.title.Property.content.nl]])</f>
        <v/>
      </c>
      <c r="ES14" s="117" t="str">
        <f>IF(ISBLANK(Activities[[#This Row],[LearningActivity.title.Property.content.no]]),"",Activities[[#This Row],[LearningActivity.title.Property.content.no]])</f>
        <v/>
      </c>
      <c r="ET14" s="117" t="str">
        <f>IF(ISBLANK(Activities[[#This Row],[LearningActivity.title.Property.content.pl]]),"",Activities[[#This Row],[LearningActivity.title.Property.content.pl]])</f>
        <v/>
      </c>
      <c r="EU14" s="117" t="str">
        <f>IF(ISBLANK(Activities[[#This Row],[LearningActivity.title.Property.content.pt]]),"",Activities[[#This Row],[LearningActivity.title.Property.content.pt]])</f>
        <v/>
      </c>
      <c r="EV14" s="117" t="str">
        <f>IF(ISBLANK(Activities[[#This Row],[LearningActivity.title.Property.content.ro]]),"",Activities[[#This Row],[LearningActivity.title.Property.content.ro]])</f>
        <v/>
      </c>
      <c r="EW14" s="117" t="str">
        <f>IF(ISBLANK(Activities[[#This Row],[LearningActivity.title.Property.content.sk]]),"",Activities[[#This Row],[LearningActivity.title.Property.content.sk]])</f>
        <v/>
      </c>
      <c r="EX14" s="117" t="str">
        <f>IF(ISBLANK(Activities[[#This Row],[LearningActivity.title.Property.content.sl]]),"",Activities[[#This Row],[LearningActivity.title.Property.content.sl]])</f>
        <v/>
      </c>
      <c r="EY14" s="117"/>
      <c r="EZ14" s="117"/>
      <c r="FA14" s="117" t="str">
        <f>IF(ISBLANK(Activities[[#This Row],[LearningActivity.title.Property.content.tr]]),"",Activities[[#This Row],[LearningActivity.title.Property.content.tr]])</f>
        <v/>
      </c>
      <c r="FB14" s="87" t="str">
        <f>IF(ISBLANK(FB$11),"",FB$11)</f>
        <v/>
      </c>
      <c r="FC14" s="87"/>
      <c r="FD14" s="87"/>
      <c r="FE14" s="87"/>
      <c r="FF14" s="87"/>
      <c r="FG14" s="87"/>
      <c r="FH14" s="87"/>
      <c r="FI14" s="87"/>
      <c r="FJ14" s="87"/>
      <c r="FK14" s="87"/>
      <c r="FL14" s="87"/>
      <c r="FM14" s="87"/>
      <c r="FN14" s="87"/>
      <c r="FO14" s="87"/>
      <c r="FP14" s="87"/>
      <c r="FQ14" s="87"/>
      <c r="FR14" s="87"/>
      <c r="FS14" s="87"/>
      <c r="FT14" s="87"/>
      <c r="FU14" s="87"/>
      <c r="FV14" s="87"/>
      <c r="FW14" s="87"/>
      <c r="FX14" s="87"/>
      <c r="FY14" s="87"/>
      <c r="FZ14" s="87"/>
      <c r="GA14" s="87"/>
      <c r="GB14" s="87"/>
      <c r="GC14" s="87"/>
      <c r="GD14" s="87"/>
      <c r="GE14" s="87"/>
      <c r="GF14" s="87"/>
      <c r="GG14" s="103"/>
      <c r="GH14" s="87" t="s">
        <v>4621</v>
      </c>
      <c r="GI14" s="319" t="str" cm="1">
        <f t="array" ref="GI14">MultiMatch(Activities[[#This Row],[LearningActivity.specifiedBy.learningActivityType.Reference.]],LearningActivityTypeNames,0+1390)</f>
        <v>1412</v>
      </c>
      <c r="GJ14" s="315" t="s">
        <v>3267</v>
      </c>
      <c r="GK14" s="319" t="str" cm="1">
        <f t="array" ref="GK14">MultiMatch(Activities[[#This Row],[LearningActivity.specifiedBy.mode.Reference.]],Vocabularies[name],0)</f>
        <v>943</v>
      </c>
      <c r="GL14" s="323"/>
      <c r="GM14" s="315" t="str">
        <f>IF(ISBLANK(GM$11),"",GM$11)</f>
        <v/>
      </c>
      <c r="GN14" s="315" t="str" cm="1">
        <f t="array" ref="GN14">MultiMatch(Activities[[#This Row],[LearningActivity.specifiedBy.language.MultiReference.]],Vocabularies[name],0)</f>
        <v/>
      </c>
      <c r="GO14" s="325" t="str">
        <f>IF(ISBLANK(GO$11),"",GO$11)</f>
        <v/>
      </c>
      <c r="GP14" s="90" t="str">
        <f>IF(ISBLANK(GP$11),"",(GP$11))</f>
        <v/>
      </c>
      <c r="GQ14" s="90" t="str">
        <f t="shared" ref="GQ14:GZ16" si="60">IF(ISBLANK(GQ$11),"",(GQ$11))</f>
        <v/>
      </c>
      <c r="GR14" s="90" t="str">
        <f t="shared" si="60"/>
        <v/>
      </c>
      <c r="GS14" s="90" t="str">
        <f t="shared" si="60"/>
        <v/>
      </c>
      <c r="GT14" s="90" t="str">
        <f t="shared" si="60"/>
        <v/>
      </c>
      <c r="GU14" s="90" t="str">
        <f t="shared" si="60"/>
        <v/>
      </c>
      <c r="GV14" s="90" t="str">
        <f t="shared" si="60"/>
        <v/>
      </c>
      <c r="GW14" s="90" t="str">
        <f t="shared" si="60"/>
        <v/>
      </c>
      <c r="GX14" s="90" t="str">
        <f t="shared" si="60"/>
        <v/>
      </c>
      <c r="GY14" s="90" t="str">
        <f t="shared" si="60"/>
        <v/>
      </c>
      <c r="GZ14" s="90" t="str">
        <f t="shared" si="60"/>
        <v/>
      </c>
      <c r="HA14" s="90" t="str">
        <f t="shared" ref="HA14:HG16" si="61">IF(ISBLANK(HA$11),"",(HA$11))</f>
        <v/>
      </c>
      <c r="HB14" s="90" t="str">
        <f t="shared" si="61"/>
        <v/>
      </c>
      <c r="HC14" s="90" t="str">
        <f t="shared" si="61"/>
        <v/>
      </c>
      <c r="HD14" s="90" t="str">
        <f t="shared" si="61"/>
        <v/>
      </c>
      <c r="HE14" s="90" t="str">
        <f t="shared" si="61"/>
        <v/>
      </c>
      <c r="HF14" s="90" t="str">
        <f t="shared" si="61"/>
        <v/>
      </c>
      <c r="HG14" s="90" t="str">
        <f t="shared" si="61"/>
        <v/>
      </c>
      <c r="HH14" s="90"/>
      <c r="HI14" s="90" t="str">
        <f t="shared" ref="HI14:HP16" si="62">IF(ISBLANK(HI$11),"",(HI$11))</f>
        <v/>
      </c>
      <c r="HJ14" s="90" t="str">
        <f t="shared" si="62"/>
        <v/>
      </c>
      <c r="HK14" s="90" t="str">
        <f t="shared" si="62"/>
        <v/>
      </c>
      <c r="HL14" s="90" t="str">
        <f t="shared" si="62"/>
        <v/>
      </c>
      <c r="HM14" s="90" t="str">
        <f t="shared" si="62"/>
        <v/>
      </c>
      <c r="HN14" s="90" t="str">
        <f t="shared" si="62"/>
        <v/>
      </c>
      <c r="HO14" s="90" t="str">
        <f t="shared" si="62"/>
        <v/>
      </c>
      <c r="HP14" s="90" t="str">
        <f t="shared" si="62"/>
        <v/>
      </c>
      <c r="HQ14" s="90"/>
      <c r="HR14" s="90"/>
      <c r="HS14" s="90" t="str">
        <f t="shared" ref="HS14:IB16" si="63">IF(ISBLANK(HS$11),"",(HS$11))</f>
        <v/>
      </c>
      <c r="HT14" s="90" t="str">
        <f t="shared" si="63"/>
        <v/>
      </c>
      <c r="HU14" s="90" t="str">
        <f t="shared" si="63"/>
        <v/>
      </c>
      <c r="HV14" s="90" t="str">
        <f t="shared" si="63"/>
        <v/>
      </c>
      <c r="HW14" s="90" t="str">
        <f t="shared" si="63"/>
        <v/>
      </c>
      <c r="HX14" s="90" t="str">
        <f t="shared" si="63"/>
        <v/>
      </c>
      <c r="HY14" s="90" t="str">
        <f t="shared" si="63"/>
        <v/>
      </c>
      <c r="HZ14" s="90" t="str">
        <f t="shared" si="63"/>
        <v/>
      </c>
      <c r="IA14" s="90" t="str">
        <f t="shared" si="63"/>
        <v/>
      </c>
      <c r="IB14" s="90" t="str">
        <f t="shared" si="63"/>
        <v/>
      </c>
      <c r="IC14" s="90" t="str">
        <f t="shared" ref="IC14:IL16" si="64">IF(ISBLANK(IC$11),"",(IC$11))</f>
        <v/>
      </c>
      <c r="ID14" s="90" t="str">
        <f t="shared" si="64"/>
        <v/>
      </c>
      <c r="IE14" s="90" t="str">
        <f t="shared" si="64"/>
        <v/>
      </c>
      <c r="IF14" s="90" t="str">
        <f t="shared" si="64"/>
        <v/>
      </c>
      <c r="IG14" s="90" t="str">
        <f t="shared" si="64"/>
        <v/>
      </c>
      <c r="IH14" s="90" t="str">
        <f t="shared" si="64"/>
        <v/>
      </c>
      <c r="II14" s="90" t="str">
        <f t="shared" si="64"/>
        <v/>
      </c>
      <c r="IJ14" s="90" t="str">
        <f t="shared" si="64"/>
        <v/>
      </c>
      <c r="IK14" s="90" t="str">
        <f t="shared" si="64"/>
        <v/>
      </c>
      <c r="IL14" s="90" t="str">
        <f t="shared" si="64"/>
        <v/>
      </c>
      <c r="IM14" s="90" t="str">
        <f t="shared" ref="IM14:IW16" si="65">IF(ISBLANK(IM$11),"",(IM$11))</f>
        <v/>
      </c>
      <c r="IN14" s="90" t="str">
        <f t="shared" si="65"/>
        <v/>
      </c>
      <c r="IO14" s="90" t="str">
        <f t="shared" si="65"/>
        <v/>
      </c>
      <c r="IP14" s="90" t="str">
        <f t="shared" si="65"/>
        <v/>
      </c>
      <c r="IQ14" s="90" t="str">
        <f t="shared" si="65"/>
        <v/>
      </c>
      <c r="IR14" s="90" t="str">
        <f t="shared" si="65"/>
        <v/>
      </c>
      <c r="IS14" s="90" t="str">
        <f t="shared" si="65"/>
        <v/>
      </c>
      <c r="IT14" s="90" t="str">
        <f t="shared" si="65"/>
        <v/>
      </c>
      <c r="IU14" s="90" t="str">
        <f t="shared" si="65"/>
        <v/>
      </c>
      <c r="IV14" s="90" t="str">
        <f t="shared" si="65"/>
        <v/>
      </c>
      <c r="IW14" s="90" t="str">
        <f t="shared" si="65"/>
        <v/>
      </c>
    </row>
    <row r="15" spans="1:258" ht="29.1" customHeight="1">
      <c r="B15" s="235" t="s">
        <v>6739</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t="str">
        <f>IF(ISBLANK(AE$11),"",AE$11)</f>
        <v/>
      </c>
      <c r="AF15" s="87"/>
      <c r="AG15" s="87" t="s">
        <v>6740</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313"/>
      <c r="BK15" s="313"/>
      <c r="BL15" s="323"/>
      <c r="BM15" s="87" t="str">
        <f>IF(ISBLANK(BM$11),"",BM$11)</f>
        <v/>
      </c>
      <c r="BN15" s="79" t="str" cm="1">
        <f t="array" ref="BN15">MultiMatch(Activities[[#This Row],[LearningActivity.Directedby.Reference.Organisation.]],OrganisationNames,0)</f>
        <v/>
      </c>
      <c r="BO15" s="87" t="str">
        <f>IF(ISBLANK(BO$11),"",BO$11)</f>
        <v/>
      </c>
      <c r="BP15" s="319" t="str">
        <f t="shared" si="56"/>
        <v/>
      </c>
      <c r="BQ15" s="319" t="str">
        <f t="shared" si="56"/>
        <v/>
      </c>
      <c r="BR15" s="319" t="str">
        <f t="shared" si="56"/>
        <v/>
      </c>
      <c r="BS15" s="319" t="str">
        <f t="shared" si="56"/>
        <v/>
      </c>
      <c r="BT15" s="319" t="str">
        <f t="shared" si="56"/>
        <v/>
      </c>
      <c r="BU15" s="319" t="str">
        <f t="shared" si="56"/>
        <v/>
      </c>
      <c r="BV15" s="319" t="str">
        <f t="shared" si="56"/>
        <v/>
      </c>
      <c r="BW15" s="319" t="str">
        <f t="shared" si="56"/>
        <v/>
      </c>
      <c r="BX15" s="319" t="str">
        <f t="shared" si="56"/>
        <v/>
      </c>
      <c r="BY15" s="319" t="str">
        <f t="shared" si="56"/>
        <v/>
      </c>
      <c r="BZ15" s="319" t="str">
        <f t="shared" si="56"/>
        <v/>
      </c>
      <c r="CA15" s="319" t="str">
        <f t="shared" si="56"/>
        <v/>
      </c>
      <c r="CB15" s="319" t="str">
        <f t="shared" si="56"/>
        <v/>
      </c>
      <c r="CC15" s="319" t="str">
        <f t="shared" si="56"/>
        <v/>
      </c>
      <c r="CD15" s="319" t="str">
        <f t="shared" si="56"/>
        <v/>
      </c>
      <c r="CE15" s="319" t="str">
        <f t="shared" si="56"/>
        <v/>
      </c>
      <c r="CF15" s="90"/>
      <c r="CG15" s="319" t="str">
        <f t="shared" si="57"/>
        <v/>
      </c>
      <c r="CH15" s="319" t="str">
        <f t="shared" si="57"/>
        <v/>
      </c>
      <c r="CI15" s="319" t="str">
        <f t="shared" si="57"/>
        <v/>
      </c>
      <c r="CJ15" s="319" t="str">
        <f t="shared" si="57"/>
        <v/>
      </c>
      <c r="CK15" s="319" t="str">
        <f t="shared" si="57"/>
        <v/>
      </c>
      <c r="CL15" s="319" t="str">
        <f t="shared" si="57"/>
        <v/>
      </c>
      <c r="CM15" s="319" t="str">
        <f t="shared" si="57"/>
        <v/>
      </c>
      <c r="CN15" s="319" t="str">
        <f t="shared" si="57"/>
        <v/>
      </c>
      <c r="CO15" s="90"/>
      <c r="CP15" s="90"/>
      <c r="CQ15" s="319" t="str">
        <f>IF(ISBLANK(CQ$11),"",CQ$11)</f>
        <v/>
      </c>
      <c r="CR15" s="129" t="str">
        <f>IF(ISBLANK(CR$11),"",CR$11)</f>
        <v/>
      </c>
      <c r="CS15" s="319" t="str">
        <f t="shared" si="58"/>
        <v/>
      </c>
      <c r="CT15" s="319" t="str">
        <f t="shared" si="58"/>
        <v/>
      </c>
      <c r="CU15" s="319" t="str">
        <f t="shared" si="58"/>
        <v/>
      </c>
      <c r="CV15" s="319" t="str">
        <f t="shared" si="58"/>
        <v/>
      </c>
      <c r="CW15" s="319" t="str">
        <f t="shared" si="58"/>
        <v/>
      </c>
      <c r="CX15" s="319" t="str">
        <f t="shared" si="58"/>
        <v/>
      </c>
      <c r="CY15" s="319" t="str">
        <f t="shared" si="58"/>
        <v/>
      </c>
      <c r="CZ15" s="319" t="str">
        <f t="shared" si="58"/>
        <v/>
      </c>
      <c r="DA15" s="319" t="str">
        <f t="shared" si="58"/>
        <v/>
      </c>
      <c r="DB15" s="319" t="str">
        <f t="shared" si="58"/>
        <v/>
      </c>
      <c r="DC15" s="315" t="str">
        <f t="shared" si="58"/>
        <v/>
      </c>
      <c r="DD15" s="315" t="str">
        <f t="shared" si="58"/>
        <v/>
      </c>
      <c r="DE15" s="319" t="str">
        <f t="shared" si="58"/>
        <v/>
      </c>
      <c r="DF15" s="315" t="str">
        <f t="shared" si="58"/>
        <v/>
      </c>
      <c r="DG15" s="319" t="str">
        <f t="shared" si="58"/>
        <v/>
      </c>
      <c r="DH15" s="315" t="str">
        <f t="shared" si="58"/>
        <v/>
      </c>
      <c r="DI15" s="90"/>
      <c r="DJ15" s="315" t="str">
        <f t="shared" si="59"/>
        <v/>
      </c>
      <c r="DK15" s="315" t="str">
        <f t="shared" si="59"/>
        <v/>
      </c>
      <c r="DL15" s="319" t="str">
        <f t="shared" si="59"/>
        <v/>
      </c>
      <c r="DM15" s="319" t="str">
        <f t="shared" si="59"/>
        <v/>
      </c>
      <c r="DN15" s="319" t="str">
        <f t="shared" si="59"/>
        <v/>
      </c>
      <c r="DO15" s="319" t="str">
        <f t="shared" si="59"/>
        <v/>
      </c>
      <c r="DP15" s="319" t="str">
        <f t="shared" si="59"/>
        <v/>
      </c>
      <c r="DQ15" s="319" t="str">
        <f t="shared" si="59"/>
        <v/>
      </c>
      <c r="DR15" s="90"/>
      <c r="DS15" s="90"/>
      <c r="DT15" s="319" t="str">
        <f>IF(ISBLANK(DT$11),"",DT$11)</f>
        <v/>
      </c>
      <c r="DU15" s="129" t="str">
        <f>IF(ISBLANK(DU$11),"",(DU$11))</f>
        <v/>
      </c>
      <c r="DV15" s="79" t="str" cm="1">
        <f t="array" ref="DV15">MultiMatch(Activities[[#This Row],[LearningActivity.location'#1.hasAddress'#1.countryCode.Reference.]],Vocabularies[name],0)</f>
        <v/>
      </c>
      <c r="DW15" s="87"/>
      <c r="DX15" s="79" t="str" cm="1">
        <f t="array" ref="DX15">MultiMatch(Activities[[#This Row],[LearningActivity.hasPart.MultiReference.LearningAchievement.]],ActivityNames,0)</f>
        <v/>
      </c>
      <c r="DY15" s="324" t="str">
        <f>IF(ISBLANK(Activities[[#This Row],[LearningActivity.title.Property.content.en]]),"",Activities[[#This Row],[LearningActivity.title.Property.content.en]])</f>
        <v>Course exercise</v>
      </c>
      <c r="DZ15" s="117" t="str">
        <f>IF(ISBLANK(Activities[[#This Row],[LearningActivity.title.Property.content.bg]]),"",Activities[[#This Row],[LearningActivity.title.Property.content.bg]])</f>
        <v/>
      </c>
      <c r="EA15" s="117" t="str">
        <f>IF(ISBLANK(Activities[[#This Row],[LearningActivity.title.Property.content.cs]]),"",Activities[[#This Row],[LearningActivity.title.Property.content.cs]])</f>
        <v/>
      </c>
      <c r="EB15" s="117" t="str">
        <f>IF(ISBLANK(Activities[[#This Row],[LearningActivity.title.Property.content.da]]),"",Activities[[#This Row],[LearningActivity.title.Property.content.da]])</f>
        <v/>
      </c>
      <c r="EC15" s="117" t="str">
        <f>IF(ISBLANK(Activities[[#This Row],[LearningActivity.title.Property.content.de]]),"",Activities[[#This Row],[LearningActivity.title.Property.content.de]])</f>
        <v/>
      </c>
      <c r="ED15" s="117" t="str">
        <f>IF(ISBLANK(Activities[[#This Row],[LearningActivity.title.Property.content.el]]),"",Activities[[#This Row],[LearningActivity.title.Property.content.el]])</f>
        <v/>
      </c>
      <c r="EE15" s="117" t="str">
        <f>IF(ISBLANK(Activities[[#This Row],[LearningActivity.title.Property.content.es]]),"",Activities[[#This Row],[LearningActivity.title.Property.content.es]])</f>
        <v/>
      </c>
      <c r="EF15" s="117" t="str">
        <f>IF(ISBLANK(Activities[[#This Row],[LearningActivity.title.Property.content.et]]),"",Activities[[#This Row],[LearningActivity.title.Property.content.et]])</f>
        <v/>
      </c>
      <c r="EG15" s="117" t="str">
        <f>IF(ISBLANK(Activities[[#This Row],[LearningActivity.title.Property.content.fi]]),"",Activities[[#This Row],[LearningActivity.title.Property.content.fi]])</f>
        <v/>
      </c>
      <c r="EH15" s="117" t="str">
        <f>IF(ISBLANK(Activities[[#This Row],[LearningActivity.title.Property.content.fr]]),"",Activities[[#This Row],[LearningActivity.title.Property.content.fr]])</f>
        <v/>
      </c>
      <c r="EI15" s="117" t="str">
        <f>IF(ISBLANK(Activities[[#This Row],[LearningActivity.title.Property.content.ga]]),"",Activities[[#This Row],[LearningActivity.title.Property.content.ga]])</f>
        <v/>
      </c>
      <c r="EJ15" s="117" t="str">
        <f>IF(ISBLANK(Activities[[#This Row],[LearningActivity.title.Property.content.hr]]),"",Activities[[#This Row],[LearningActivity.title.Property.content.hr]])</f>
        <v/>
      </c>
      <c r="EK15" s="117" t="str">
        <f>IF(ISBLANK(Activities[[#This Row],[LearningActivity.title.Property.content.hu]]),"",Activities[[#This Row],[LearningActivity.title.Property.content.hu]])</f>
        <v/>
      </c>
      <c r="EL15" s="117" t="str">
        <f>IF(ISBLANK(Activities[[#This Row],[LearningActivity.title.Property.content.is]]),"",Activities[[#This Row],[LearningActivity.title.Property.content.is]])</f>
        <v/>
      </c>
      <c r="EM15" s="117" t="str">
        <f>IF(ISBLANK(Activities[[#This Row],[LearningActivity.title.Property.content.it]]),"",Activities[[#This Row],[LearningActivity.title.Property.content.it]])</f>
        <v/>
      </c>
      <c r="EN15" s="117" t="str">
        <f>IF(ISBLANK(Activities[[#This Row],[LearningActivity.title.Property.content.lt]]),"",Activities[[#This Row],[LearningActivity.title.Property.content.lt]])</f>
        <v/>
      </c>
      <c r="EO15" s="117" t="str">
        <f>IF(ISBLANK(Activities[[#This Row],[LearningActivity.title.Property.content.lv]]),"",Activities[[#This Row],[LearningActivity.title.Property.content.lv]])</f>
        <v/>
      </c>
      <c r="EP15" s="117"/>
      <c r="EQ15" s="117" t="str">
        <f>IF(ISBLANK(Activities[[#This Row],[LearningActivity.title.Property.content.mt]]),"",Activities[[#This Row],[LearningActivity.title.Property.content.mt]])</f>
        <v/>
      </c>
      <c r="ER15" s="117" t="str">
        <f>IF(ISBLANK(Activities[[#This Row],[LearningActivity.title.Property.content.nl]]),"",Activities[[#This Row],[LearningActivity.title.Property.content.nl]])</f>
        <v/>
      </c>
      <c r="ES15" s="117" t="str">
        <f>IF(ISBLANK(Activities[[#This Row],[LearningActivity.title.Property.content.no]]),"",Activities[[#This Row],[LearningActivity.title.Property.content.no]])</f>
        <v/>
      </c>
      <c r="ET15" s="117" t="str">
        <f>IF(ISBLANK(Activities[[#This Row],[LearningActivity.title.Property.content.pl]]),"",Activities[[#This Row],[LearningActivity.title.Property.content.pl]])</f>
        <v/>
      </c>
      <c r="EU15" s="117" t="str">
        <f>IF(ISBLANK(Activities[[#This Row],[LearningActivity.title.Property.content.pt]]),"",Activities[[#This Row],[LearningActivity.title.Property.content.pt]])</f>
        <v/>
      </c>
      <c r="EV15" s="117" t="str">
        <f>IF(ISBLANK(Activities[[#This Row],[LearningActivity.title.Property.content.ro]]),"",Activities[[#This Row],[LearningActivity.title.Property.content.ro]])</f>
        <v/>
      </c>
      <c r="EW15" s="117" t="str">
        <f>IF(ISBLANK(Activities[[#This Row],[LearningActivity.title.Property.content.sk]]),"",Activities[[#This Row],[LearningActivity.title.Property.content.sk]])</f>
        <v/>
      </c>
      <c r="EX15" s="117" t="str">
        <f>IF(ISBLANK(Activities[[#This Row],[LearningActivity.title.Property.content.sl]]),"",Activities[[#This Row],[LearningActivity.title.Property.content.sl]])</f>
        <v/>
      </c>
      <c r="EY15" s="117"/>
      <c r="EZ15" s="117"/>
      <c r="FA15" s="117" t="str">
        <f>IF(ISBLANK(Activities[[#This Row],[LearningActivity.title.Property.content.tr]]),"",Activities[[#This Row],[LearningActivity.title.Property.content.tr]])</f>
        <v/>
      </c>
      <c r="FB15" s="87" t="str">
        <f>IF(ISBLANK(FB$11),"",FB$11)</f>
        <v/>
      </c>
      <c r="FC15" s="87"/>
      <c r="FD15" s="87"/>
      <c r="FE15" s="87"/>
      <c r="FF15" s="87"/>
      <c r="FG15" s="87"/>
      <c r="FH15" s="87"/>
      <c r="FI15" s="87"/>
      <c r="FJ15" s="87"/>
      <c r="FK15" s="87"/>
      <c r="FL15" s="87"/>
      <c r="FM15" s="87"/>
      <c r="FN15" s="87"/>
      <c r="FO15" s="87"/>
      <c r="FP15" s="87"/>
      <c r="FQ15" s="87"/>
      <c r="FR15" s="87"/>
      <c r="FS15" s="87"/>
      <c r="FT15" s="87"/>
      <c r="FU15" s="87"/>
      <c r="FV15" s="87"/>
      <c r="FW15" s="87"/>
      <c r="FX15" s="87"/>
      <c r="FY15" s="87"/>
      <c r="FZ15" s="87"/>
      <c r="GA15" s="87"/>
      <c r="GB15" s="87"/>
      <c r="GC15" s="87"/>
      <c r="GD15" s="87"/>
      <c r="GE15" s="87"/>
      <c r="GF15" s="87"/>
      <c r="GG15" s="103"/>
      <c r="GH15" s="87" t="s">
        <v>4621</v>
      </c>
      <c r="GI15" s="319" t="str" cm="1">
        <f t="array" ref="GI15">MultiMatch(Activities[[#This Row],[LearningActivity.specifiedBy.learningActivityType.Reference.]],LearningActivityTypeNames,0+1390)</f>
        <v>1412</v>
      </c>
      <c r="GJ15" s="315" t="s">
        <v>3267</v>
      </c>
      <c r="GK15" s="319" t="str" cm="1">
        <f t="array" ref="GK15">MultiMatch(Activities[[#This Row],[LearningActivity.specifiedBy.mode.Reference.]],Vocabularies[name],0)</f>
        <v>943</v>
      </c>
      <c r="GL15" s="323"/>
      <c r="GM15" s="315" t="str">
        <f>IF(ISBLANK(GM$11),"",GM$11)</f>
        <v/>
      </c>
      <c r="GN15" s="315" t="str" cm="1">
        <f t="array" ref="GN15">MultiMatch(Activities[[#This Row],[LearningActivity.specifiedBy.language.MultiReference.]],Vocabularies[name],0)</f>
        <v/>
      </c>
      <c r="GO15" s="325" t="str">
        <f>IF(ISBLANK(GO$11),"",GO$11)</f>
        <v/>
      </c>
      <c r="GP15" s="90" t="str">
        <f>IF(ISBLANK(GP$11),"",(GP$11))</f>
        <v/>
      </c>
      <c r="GQ15" s="90" t="str">
        <f t="shared" si="60"/>
        <v/>
      </c>
      <c r="GR15" s="90" t="str">
        <f t="shared" si="60"/>
        <v/>
      </c>
      <c r="GS15" s="90" t="str">
        <f t="shared" si="60"/>
        <v/>
      </c>
      <c r="GT15" s="90" t="str">
        <f t="shared" si="60"/>
        <v/>
      </c>
      <c r="GU15" s="90" t="str">
        <f t="shared" si="60"/>
        <v/>
      </c>
      <c r="GV15" s="90" t="str">
        <f t="shared" si="60"/>
        <v/>
      </c>
      <c r="GW15" s="90" t="str">
        <f t="shared" si="60"/>
        <v/>
      </c>
      <c r="GX15" s="90" t="str">
        <f t="shared" si="60"/>
        <v/>
      </c>
      <c r="GY15" s="90" t="str">
        <f t="shared" si="60"/>
        <v/>
      </c>
      <c r="GZ15" s="90" t="str">
        <f t="shared" si="60"/>
        <v/>
      </c>
      <c r="HA15" s="90" t="str">
        <f t="shared" si="61"/>
        <v/>
      </c>
      <c r="HB15" s="90" t="str">
        <f t="shared" si="61"/>
        <v/>
      </c>
      <c r="HC15" s="90" t="str">
        <f t="shared" si="61"/>
        <v/>
      </c>
      <c r="HD15" s="90" t="str">
        <f t="shared" si="61"/>
        <v/>
      </c>
      <c r="HE15" s="90" t="str">
        <f t="shared" si="61"/>
        <v/>
      </c>
      <c r="HF15" s="90" t="str">
        <f t="shared" si="61"/>
        <v/>
      </c>
      <c r="HG15" s="90" t="str">
        <f t="shared" si="61"/>
        <v/>
      </c>
      <c r="HH15" s="90"/>
      <c r="HI15" s="90" t="str">
        <f t="shared" si="62"/>
        <v/>
      </c>
      <c r="HJ15" s="90" t="str">
        <f t="shared" si="62"/>
        <v/>
      </c>
      <c r="HK15" s="90" t="str">
        <f t="shared" si="62"/>
        <v/>
      </c>
      <c r="HL15" s="90" t="str">
        <f t="shared" si="62"/>
        <v/>
      </c>
      <c r="HM15" s="90" t="str">
        <f t="shared" si="62"/>
        <v/>
      </c>
      <c r="HN15" s="90" t="str">
        <f t="shared" si="62"/>
        <v/>
      </c>
      <c r="HO15" s="90" t="str">
        <f t="shared" si="62"/>
        <v/>
      </c>
      <c r="HP15" s="90" t="str">
        <f t="shared" si="62"/>
        <v/>
      </c>
      <c r="HQ15" s="90"/>
      <c r="HR15" s="90"/>
      <c r="HS15" s="90" t="str">
        <f t="shared" si="63"/>
        <v/>
      </c>
      <c r="HT15" s="90" t="str">
        <f t="shared" si="63"/>
        <v/>
      </c>
      <c r="HU15" s="90" t="str">
        <f t="shared" si="63"/>
        <v/>
      </c>
      <c r="HV15" s="90" t="str">
        <f t="shared" si="63"/>
        <v/>
      </c>
      <c r="HW15" s="90" t="str">
        <f t="shared" si="63"/>
        <v/>
      </c>
      <c r="HX15" s="90" t="str">
        <f t="shared" si="63"/>
        <v/>
      </c>
      <c r="HY15" s="90" t="str">
        <f t="shared" si="63"/>
        <v/>
      </c>
      <c r="HZ15" s="90" t="str">
        <f t="shared" si="63"/>
        <v/>
      </c>
      <c r="IA15" s="90" t="str">
        <f t="shared" si="63"/>
        <v/>
      </c>
      <c r="IB15" s="90" t="str">
        <f t="shared" si="63"/>
        <v/>
      </c>
      <c r="IC15" s="90" t="str">
        <f t="shared" si="64"/>
        <v/>
      </c>
      <c r="ID15" s="90" t="str">
        <f t="shared" si="64"/>
        <v/>
      </c>
      <c r="IE15" s="90" t="str">
        <f t="shared" si="64"/>
        <v/>
      </c>
      <c r="IF15" s="90" t="str">
        <f t="shared" si="64"/>
        <v/>
      </c>
      <c r="IG15" s="90" t="str">
        <f t="shared" si="64"/>
        <v/>
      </c>
      <c r="IH15" s="90" t="str">
        <f t="shared" si="64"/>
        <v/>
      </c>
      <c r="II15" s="90" t="str">
        <f t="shared" si="64"/>
        <v/>
      </c>
      <c r="IJ15" s="90" t="str">
        <f t="shared" si="64"/>
        <v/>
      </c>
      <c r="IK15" s="90" t="str">
        <f t="shared" si="64"/>
        <v/>
      </c>
      <c r="IL15" s="90" t="str">
        <f t="shared" si="64"/>
        <v/>
      </c>
      <c r="IM15" s="90" t="str">
        <f t="shared" si="65"/>
        <v/>
      </c>
      <c r="IN15" s="90" t="str">
        <f t="shared" si="65"/>
        <v/>
      </c>
      <c r="IO15" s="90" t="str">
        <f t="shared" si="65"/>
        <v/>
      </c>
      <c r="IP15" s="90" t="str">
        <f t="shared" si="65"/>
        <v/>
      </c>
      <c r="IQ15" s="90" t="str">
        <f t="shared" si="65"/>
        <v/>
      </c>
      <c r="IR15" s="90" t="str">
        <f t="shared" si="65"/>
        <v/>
      </c>
      <c r="IS15" s="90" t="str">
        <f t="shared" si="65"/>
        <v/>
      </c>
      <c r="IT15" s="90" t="str">
        <f t="shared" si="65"/>
        <v/>
      </c>
      <c r="IU15" s="90" t="str">
        <f t="shared" si="65"/>
        <v/>
      </c>
      <c r="IV15" s="90" t="str">
        <f t="shared" si="65"/>
        <v/>
      </c>
      <c r="IW15" s="90" t="str">
        <f t="shared" si="65"/>
        <v/>
      </c>
    </row>
    <row r="16" spans="1:258" ht="29.1" customHeight="1">
      <c r="B16" s="235" t="s">
        <v>6741</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t="str">
        <f>IF(ISBLANK(AE$11),"",AE$11)</f>
        <v/>
      </c>
      <c r="AF16" s="87"/>
      <c r="AG16" s="87" t="s">
        <v>6742</v>
      </c>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313"/>
      <c r="BK16" s="313"/>
      <c r="BL16" s="323"/>
      <c r="BM16" s="87" t="str">
        <f>IF(ISBLANK(BM$11),"",BM$11)</f>
        <v/>
      </c>
      <c r="BN16" s="79" t="str" cm="1">
        <f t="array" ref="BN16">MultiMatch(Activities[[#This Row],[LearningActivity.Directedby.Reference.Organisation.]],OrganisationNames,0)</f>
        <v/>
      </c>
      <c r="BO16" s="87" t="str">
        <f>IF(ISBLANK(BO$11),"",BO$11)</f>
        <v/>
      </c>
      <c r="BP16" s="319" t="str">
        <f t="shared" si="56"/>
        <v/>
      </c>
      <c r="BQ16" s="319" t="str">
        <f t="shared" si="56"/>
        <v/>
      </c>
      <c r="BR16" s="319" t="str">
        <f t="shared" si="56"/>
        <v/>
      </c>
      <c r="BS16" s="319" t="str">
        <f t="shared" si="56"/>
        <v/>
      </c>
      <c r="BT16" s="319" t="str">
        <f t="shared" si="56"/>
        <v/>
      </c>
      <c r="BU16" s="319" t="str">
        <f t="shared" si="56"/>
        <v/>
      </c>
      <c r="BV16" s="319" t="str">
        <f t="shared" si="56"/>
        <v/>
      </c>
      <c r="BW16" s="319" t="str">
        <f t="shared" si="56"/>
        <v/>
      </c>
      <c r="BX16" s="319" t="str">
        <f t="shared" si="56"/>
        <v/>
      </c>
      <c r="BY16" s="319" t="str">
        <f t="shared" si="56"/>
        <v/>
      </c>
      <c r="BZ16" s="319" t="str">
        <f t="shared" si="56"/>
        <v/>
      </c>
      <c r="CA16" s="319" t="str">
        <f t="shared" si="56"/>
        <v/>
      </c>
      <c r="CB16" s="319" t="str">
        <f t="shared" si="56"/>
        <v/>
      </c>
      <c r="CC16" s="319" t="str">
        <f t="shared" si="56"/>
        <v/>
      </c>
      <c r="CD16" s="319" t="str">
        <f t="shared" si="56"/>
        <v/>
      </c>
      <c r="CE16" s="319" t="str">
        <f t="shared" si="56"/>
        <v/>
      </c>
      <c r="CF16" s="90"/>
      <c r="CG16" s="319" t="str">
        <f t="shared" si="57"/>
        <v/>
      </c>
      <c r="CH16" s="319" t="str">
        <f t="shared" si="57"/>
        <v/>
      </c>
      <c r="CI16" s="319" t="str">
        <f t="shared" si="57"/>
        <v/>
      </c>
      <c r="CJ16" s="319" t="str">
        <f t="shared" si="57"/>
        <v/>
      </c>
      <c r="CK16" s="319" t="str">
        <f t="shared" si="57"/>
        <v/>
      </c>
      <c r="CL16" s="319" t="str">
        <f t="shared" si="57"/>
        <v/>
      </c>
      <c r="CM16" s="319" t="str">
        <f t="shared" si="57"/>
        <v/>
      </c>
      <c r="CN16" s="319" t="str">
        <f t="shared" si="57"/>
        <v/>
      </c>
      <c r="CO16" s="90"/>
      <c r="CP16" s="90"/>
      <c r="CQ16" s="319" t="str">
        <f>IF(ISBLANK(CQ$11),"",CQ$11)</f>
        <v/>
      </c>
      <c r="CR16" s="129" t="str">
        <f>IF(ISBLANK(CR$11),"",CR$11)</f>
        <v/>
      </c>
      <c r="CS16" s="319" t="str">
        <f t="shared" si="58"/>
        <v/>
      </c>
      <c r="CT16" s="319" t="str">
        <f t="shared" si="58"/>
        <v/>
      </c>
      <c r="CU16" s="319" t="str">
        <f t="shared" si="58"/>
        <v/>
      </c>
      <c r="CV16" s="319" t="str">
        <f t="shared" si="58"/>
        <v/>
      </c>
      <c r="CW16" s="319" t="str">
        <f t="shared" si="58"/>
        <v/>
      </c>
      <c r="CX16" s="319" t="str">
        <f t="shared" si="58"/>
        <v/>
      </c>
      <c r="CY16" s="319" t="str">
        <f t="shared" si="58"/>
        <v/>
      </c>
      <c r="CZ16" s="319" t="str">
        <f t="shared" si="58"/>
        <v/>
      </c>
      <c r="DA16" s="319" t="str">
        <f t="shared" si="58"/>
        <v/>
      </c>
      <c r="DB16" s="319" t="str">
        <f t="shared" si="58"/>
        <v/>
      </c>
      <c r="DC16" s="315" t="str">
        <f t="shared" si="58"/>
        <v/>
      </c>
      <c r="DD16" s="315" t="str">
        <f t="shared" si="58"/>
        <v/>
      </c>
      <c r="DE16" s="319" t="str">
        <f t="shared" si="58"/>
        <v/>
      </c>
      <c r="DF16" s="315" t="str">
        <f t="shared" si="58"/>
        <v/>
      </c>
      <c r="DG16" s="319" t="str">
        <f t="shared" si="58"/>
        <v/>
      </c>
      <c r="DH16" s="315" t="str">
        <f t="shared" si="58"/>
        <v/>
      </c>
      <c r="DI16" s="90"/>
      <c r="DJ16" s="315" t="str">
        <f t="shared" si="59"/>
        <v/>
      </c>
      <c r="DK16" s="315" t="str">
        <f t="shared" si="59"/>
        <v/>
      </c>
      <c r="DL16" s="319" t="str">
        <f t="shared" si="59"/>
        <v/>
      </c>
      <c r="DM16" s="319" t="str">
        <f t="shared" si="59"/>
        <v/>
      </c>
      <c r="DN16" s="319" t="str">
        <f t="shared" si="59"/>
        <v/>
      </c>
      <c r="DO16" s="319" t="str">
        <f t="shared" si="59"/>
        <v/>
      </c>
      <c r="DP16" s="319" t="str">
        <f t="shared" si="59"/>
        <v/>
      </c>
      <c r="DQ16" s="319" t="str">
        <f t="shared" si="59"/>
        <v/>
      </c>
      <c r="DR16" s="90"/>
      <c r="DS16" s="90"/>
      <c r="DT16" s="319" t="str">
        <f>IF(ISBLANK(DT$11),"",DT$11)</f>
        <v/>
      </c>
      <c r="DU16" s="129" t="str">
        <f>IF(ISBLANK(DU$11),"",(DU$11))</f>
        <v/>
      </c>
      <c r="DV16" s="79" t="str" cm="1">
        <f t="array" ref="DV16">MultiMatch(Activities[[#This Row],[LearningActivity.location'#1.hasAddress'#1.countryCode.Reference.]],Vocabularies[name],0)</f>
        <v/>
      </c>
      <c r="DW16" s="87"/>
      <c r="DX16" s="79" t="str" cm="1">
        <f t="array" ref="DX16">MultiMatch(Activities[[#This Row],[LearningActivity.hasPart.MultiReference.LearningAchievement.]],ActivityNames,0)</f>
        <v/>
      </c>
      <c r="DY16" s="324" t="str">
        <f>IF(ISBLANK(Activities[[#This Row],[LearningActivity.title.Property.content.en]]),"",Activities[[#This Row],[LearningActivity.title.Property.content.en]])</f>
        <v>Zoom lectures</v>
      </c>
      <c r="DZ16" s="117" t="str">
        <f>IF(ISBLANK(Activities[[#This Row],[LearningActivity.title.Property.content.bg]]),"",Activities[[#This Row],[LearningActivity.title.Property.content.bg]])</f>
        <v/>
      </c>
      <c r="EA16" s="117" t="str">
        <f>IF(ISBLANK(Activities[[#This Row],[LearningActivity.title.Property.content.cs]]),"",Activities[[#This Row],[LearningActivity.title.Property.content.cs]])</f>
        <v/>
      </c>
      <c r="EB16" s="117" t="str">
        <f>IF(ISBLANK(Activities[[#This Row],[LearningActivity.title.Property.content.da]]),"",Activities[[#This Row],[LearningActivity.title.Property.content.da]])</f>
        <v/>
      </c>
      <c r="EC16" s="117" t="str">
        <f>IF(ISBLANK(Activities[[#This Row],[LearningActivity.title.Property.content.de]]),"",Activities[[#This Row],[LearningActivity.title.Property.content.de]])</f>
        <v/>
      </c>
      <c r="ED16" s="117" t="str">
        <f>IF(ISBLANK(Activities[[#This Row],[LearningActivity.title.Property.content.el]]),"",Activities[[#This Row],[LearningActivity.title.Property.content.el]])</f>
        <v/>
      </c>
      <c r="EE16" s="117" t="str">
        <f>IF(ISBLANK(Activities[[#This Row],[LearningActivity.title.Property.content.es]]),"",Activities[[#This Row],[LearningActivity.title.Property.content.es]])</f>
        <v/>
      </c>
      <c r="EF16" s="117" t="str">
        <f>IF(ISBLANK(Activities[[#This Row],[LearningActivity.title.Property.content.et]]),"",Activities[[#This Row],[LearningActivity.title.Property.content.et]])</f>
        <v/>
      </c>
      <c r="EG16" s="117" t="str">
        <f>IF(ISBLANK(Activities[[#This Row],[LearningActivity.title.Property.content.fi]]),"",Activities[[#This Row],[LearningActivity.title.Property.content.fi]])</f>
        <v/>
      </c>
      <c r="EH16" s="117" t="str">
        <f>IF(ISBLANK(Activities[[#This Row],[LearningActivity.title.Property.content.fr]]),"",Activities[[#This Row],[LearningActivity.title.Property.content.fr]])</f>
        <v/>
      </c>
      <c r="EI16" s="117" t="str">
        <f>IF(ISBLANK(Activities[[#This Row],[LearningActivity.title.Property.content.ga]]),"",Activities[[#This Row],[LearningActivity.title.Property.content.ga]])</f>
        <v/>
      </c>
      <c r="EJ16" s="117" t="str">
        <f>IF(ISBLANK(Activities[[#This Row],[LearningActivity.title.Property.content.hr]]),"",Activities[[#This Row],[LearningActivity.title.Property.content.hr]])</f>
        <v/>
      </c>
      <c r="EK16" s="117" t="str">
        <f>IF(ISBLANK(Activities[[#This Row],[LearningActivity.title.Property.content.hu]]),"",Activities[[#This Row],[LearningActivity.title.Property.content.hu]])</f>
        <v/>
      </c>
      <c r="EL16" s="117" t="str">
        <f>IF(ISBLANK(Activities[[#This Row],[LearningActivity.title.Property.content.is]]),"",Activities[[#This Row],[LearningActivity.title.Property.content.is]])</f>
        <v/>
      </c>
      <c r="EM16" s="117" t="str">
        <f>IF(ISBLANK(Activities[[#This Row],[LearningActivity.title.Property.content.it]]),"",Activities[[#This Row],[LearningActivity.title.Property.content.it]])</f>
        <v/>
      </c>
      <c r="EN16" s="117" t="str">
        <f>IF(ISBLANK(Activities[[#This Row],[LearningActivity.title.Property.content.lt]]),"",Activities[[#This Row],[LearningActivity.title.Property.content.lt]])</f>
        <v/>
      </c>
      <c r="EO16" s="117" t="str">
        <f>IF(ISBLANK(Activities[[#This Row],[LearningActivity.title.Property.content.lv]]),"",Activities[[#This Row],[LearningActivity.title.Property.content.lv]])</f>
        <v/>
      </c>
      <c r="EP16" s="117"/>
      <c r="EQ16" s="117" t="str">
        <f>IF(ISBLANK(Activities[[#This Row],[LearningActivity.title.Property.content.mt]]),"",Activities[[#This Row],[LearningActivity.title.Property.content.mt]])</f>
        <v/>
      </c>
      <c r="ER16" s="117" t="str">
        <f>IF(ISBLANK(Activities[[#This Row],[LearningActivity.title.Property.content.nl]]),"",Activities[[#This Row],[LearningActivity.title.Property.content.nl]])</f>
        <v/>
      </c>
      <c r="ES16" s="117" t="str">
        <f>IF(ISBLANK(Activities[[#This Row],[LearningActivity.title.Property.content.no]]),"",Activities[[#This Row],[LearningActivity.title.Property.content.no]])</f>
        <v/>
      </c>
      <c r="ET16" s="117" t="str">
        <f>IF(ISBLANK(Activities[[#This Row],[LearningActivity.title.Property.content.pl]]),"",Activities[[#This Row],[LearningActivity.title.Property.content.pl]])</f>
        <v/>
      </c>
      <c r="EU16" s="117" t="str">
        <f>IF(ISBLANK(Activities[[#This Row],[LearningActivity.title.Property.content.pt]]),"",Activities[[#This Row],[LearningActivity.title.Property.content.pt]])</f>
        <v/>
      </c>
      <c r="EV16" s="117" t="str">
        <f>IF(ISBLANK(Activities[[#This Row],[LearningActivity.title.Property.content.ro]]),"",Activities[[#This Row],[LearningActivity.title.Property.content.ro]])</f>
        <v/>
      </c>
      <c r="EW16" s="117" t="str">
        <f>IF(ISBLANK(Activities[[#This Row],[LearningActivity.title.Property.content.sk]]),"",Activities[[#This Row],[LearningActivity.title.Property.content.sk]])</f>
        <v/>
      </c>
      <c r="EX16" s="117" t="str">
        <f>IF(ISBLANK(Activities[[#This Row],[LearningActivity.title.Property.content.sl]]),"",Activities[[#This Row],[LearningActivity.title.Property.content.sl]])</f>
        <v/>
      </c>
      <c r="EY16" s="117"/>
      <c r="EZ16" s="117"/>
      <c r="FA16" s="117" t="str">
        <f>IF(ISBLANK(Activities[[#This Row],[LearningActivity.title.Property.content.tr]]),"",Activities[[#This Row],[LearningActivity.title.Property.content.tr]])</f>
        <v/>
      </c>
      <c r="FB16" s="87" t="str">
        <f>IF(ISBLANK(FB$11),"",FB$11)</f>
        <v/>
      </c>
      <c r="FC16" s="87"/>
      <c r="FD16" s="87"/>
      <c r="FE16" s="87"/>
      <c r="FF16" s="87"/>
      <c r="FG16" s="87"/>
      <c r="FH16" s="87"/>
      <c r="FI16" s="87"/>
      <c r="FJ16" s="87"/>
      <c r="FK16" s="87"/>
      <c r="FL16" s="87"/>
      <c r="FM16" s="87"/>
      <c r="FN16" s="87"/>
      <c r="FO16" s="87"/>
      <c r="FP16" s="87"/>
      <c r="FQ16" s="87"/>
      <c r="FR16" s="87"/>
      <c r="FS16" s="87"/>
      <c r="FT16" s="87"/>
      <c r="FU16" s="87"/>
      <c r="FV16" s="87"/>
      <c r="FW16" s="87"/>
      <c r="FX16" s="87"/>
      <c r="FY16" s="87"/>
      <c r="FZ16" s="87"/>
      <c r="GA16" s="87"/>
      <c r="GB16" s="87"/>
      <c r="GC16" s="87"/>
      <c r="GD16" s="87"/>
      <c r="GE16" s="87"/>
      <c r="GF16" s="87"/>
      <c r="GG16" s="103"/>
      <c r="GH16" s="87" t="s">
        <v>4621</v>
      </c>
      <c r="GI16" s="319" t="str" cm="1">
        <f t="array" ref="GI16">MultiMatch(Activities[[#This Row],[LearningActivity.specifiedBy.learningActivityType.Reference.]],LearningActivityTypeNames,0+1390)</f>
        <v>1412</v>
      </c>
      <c r="GJ16" s="315" t="s">
        <v>3267</v>
      </c>
      <c r="GK16" s="319" t="str" cm="1">
        <f t="array" ref="GK16">MultiMatch(Activities[[#This Row],[LearningActivity.specifiedBy.mode.Reference.]],Vocabularies[name],0)</f>
        <v>943</v>
      </c>
      <c r="GL16" s="323"/>
      <c r="GM16" s="315" t="str">
        <f>IF(ISBLANK(GM$11),"",GM$11)</f>
        <v/>
      </c>
      <c r="GN16" s="315" t="str" cm="1">
        <f t="array" ref="GN16">MultiMatch(Activities[[#This Row],[LearningActivity.specifiedBy.language.MultiReference.]],Vocabularies[name],0)</f>
        <v/>
      </c>
      <c r="GO16" s="325" t="str">
        <f>IF(ISBLANK(GO$11),"",GO$11)</f>
        <v/>
      </c>
      <c r="GP16" s="90" t="str">
        <f>IF(ISBLANK(GP$11),"",(GP$11))</f>
        <v/>
      </c>
      <c r="GQ16" s="90" t="str">
        <f t="shared" si="60"/>
        <v/>
      </c>
      <c r="GR16" s="90" t="str">
        <f t="shared" si="60"/>
        <v/>
      </c>
      <c r="GS16" s="90" t="str">
        <f t="shared" si="60"/>
        <v/>
      </c>
      <c r="GT16" s="90" t="str">
        <f t="shared" si="60"/>
        <v/>
      </c>
      <c r="GU16" s="90" t="str">
        <f t="shared" si="60"/>
        <v/>
      </c>
      <c r="GV16" s="90" t="str">
        <f t="shared" si="60"/>
        <v/>
      </c>
      <c r="GW16" s="90" t="str">
        <f t="shared" si="60"/>
        <v/>
      </c>
      <c r="GX16" s="90" t="str">
        <f t="shared" si="60"/>
        <v/>
      </c>
      <c r="GY16" s="90" t="str">
        <f t="shared" si="60"/>
        <v/>
      </c>
      <c r="GZ16" s="90" t="str">
        <f t="shared" si="60"/>
        <v/>
      </c>
      <c r="HA16" s="90" t="str">
        <f t="shared" si="61"/>
        <v/>
      </c>
      <c r="HB16" s="90" t="str">
        <f t="shared" si="61"/>
        <v/>
      </c>
      <c r="HC16" s="90" t="str">
        <f t="shared" si="61"/>
        <v/>
      </c>
      <c r="HD16" s="90" t="str">
        <f t="shared" si="61"/>
        <v/>
      </c>
      <c r="HE16" s="90" t="str">
        <f t="shared" si="61"/>
        <v/>
      </c>
      <c r="HF16" s="90" t="str">
        <f t="shared" si="61"/>
        <v/>
      </c>
      <c r="HG16" s="90" t="str">
        <f t="shared" si="61"/>
        <v/>
      </c>
      <c r="HH16" s="90"/>
      <c r="HI16" s="90" t="str">
        <f t="shared" si="62"/>
        <v/>
      </c>
      <c r="HJ16" s="90" t="str">
        <f t="shared" si="62"/>
        <v/>
      </c>
      <c r="HK16" s="90" t="str">
        <f t="shared" si="62"/>
        <v/>
      </c>
      <c r="HL16" s="90" t="str">
        <f t="shared" si="62"/>
        <v/>
      </c>
      <c r="HM16" s="90" t="str">
        <f t="shared" si="62"/>
        <v/>
      </c>
      <c r="HN16" s="90" t="str">
        <f t="shared" si="62"/>
        <v/>
      </c>
      <c r="HO16" s="90" t="str">
        <f t="shared" si="62"/>
        <v/>
      </c>
      <c r="HP16" s="90" t="str">
        <f t="shared" si="62"/>
        <v/>
      </c>
      <c r="HQ16" s="90"/>
      <c r="HR16" s="90"/>
      <c r="HS16" s="90" t="str">
        <f t="shared" si="63"/>
        <v/>
      </c>
      <c r="HT16" s="90" t="str">
        <f t="shared" si="63"/>
        <v/>
      </c>
      <c r="HU16" s="90" t="str">
        <f t="shared" si="63"/>
        <v/>
      </c>
      <c r="HV16" s="90" t="str">
        <f t="shared" si="63"/>
        <v/>
      </c>
      <c r="HW16" s="90" t="str">
        <f t="shared" si="63"/>
        <v/>
      </c>
      <c r="HX16" s="90" t="str">
        <f t="shared" si="63"/>
        <v/>
      </c>
      <c r="HY16" s="90" t="str">
        <f t="shared" si="63"/>
        <v/>
      </c>
      <c r="HZ16" s="90" t="str">
        <f t="shared" si="63"/>
        <v/>
      </c>
      <c r="IA16" s="90" t="str">
        <f t="shared" si="63"/>
        <v/>
      </c>
      <c r="IB16" s="90" t="str">
        <f t="shared" si="63"/>
        <v/>
      </c>
      <c r="IC16" s="90" t="str">
        <f t="shared" si="64"/>
        <v/>
      </c>
      <c r="ID16" s="90" t="str">
        <f t="shared" si="64"/>
        <v/>
      </c>
      <c r="IE16" s="90" t="str">
        <f t="shared" si="64"/>
        <v/>
      </c>
      <c r="IF16" s="90" t="str">
        <f t="shared" si="64"/>
        <v/>
      </c>
      <c r="IG16" s="90" t="str">
        <f t="shared" si="64"/>
        <v/>
      </c>
      <c r="IH16" s="90" t="str">
        <f t="shared" si="64"/>
        <v/>
      </c>
      <c r="II16" s="90" t="str">
        <f t="shared" si="64"/>
        <v/>
      </c>
      <c r="IJ16" s="90" t="str">
        <f t="shared" si="64"/>
        <v/>
      </c>
      <c r="IK16" s="90" t="str">
        <f t="shared" si="64"/>
        <v/>
      </c>
      <c r="IL16" s="90" t="str">
        <f t="shared" si="64"/>
        <v/>
      </c>
      <c r="IM16" s="90" t="str">
        <f t="shared" si="65"/>
        <v/>
      </c>
      <c r="IN16" s="90" t="str">
        <f t="shared" si="65"/>
        <v/>
      </c>
      <c r="IO16" s="90" t="str">
        <f t="shared" si="65"/>
        <v/>
      </c>
      <c r="IP16" s="90" t="str">
        <f t="shared" si="65"/>
        <v/>
      </c>
      <c r="IQ16" s="90" t="str">
        <f t="shared" si="65"/>
        <v/>
      </c>
      <c r="IR16" s="90" t="str">
        <f t="shared" si="65"/>
        <v/>
      </c>
      <c r="IS16" s="90" t="str">
        <f t="shared" si="65"/>
        <v/>
      </c>
      <c r="IT16" s="90" t="str">
        <f t="shared" si="65"/>
        <v/>
      </c>
      <c r="IU16" s="90" t="str">
        <f t="shared" si="65"/>
        <v/>
      </c>
      <c r="IV16" s="90" t="str">
        <f t="shared" si="65"/>
        <v/>
      </c>
      <c r="IW16" s="90" t="str">
        <f t="shared" si="65"/>
        <v/>
      </c>
    </row>
  </sheetData>
  <sheetProtection algorithmName="SHA-512" hashValue="hYB7Zpl9OuO/ARsMs1roKuARTq0V+TQwvob3llksd1LH7JhcTewNof5OhpJlmvRh3YWDSC5dapaq2aqORD9QNg==" saltValue="iPZvaLXd80KfxMNBhq+YCA==" spinCount="100000" sheet="1" objects="1" scenarios="1" formatColumns="0"/>
  <mergeCells count="1">
    <mergeCell ref="DY1:IW1"/>
  </mergeCells>
  <phoneticPr fontId="12" type="noConversion"/>
  <conditionalFormatting sqref="BL13:BL16">
    <cfRule type="cellIs" dxfId="652" priority="1" operator="equal">
      <formula>0</formula>
    </cfRule>
  </conditionalFormatting>
  <dataValidations count="10">
    <dataValidation type="list" allowBlank="1" showInputMessage="1" showErrorMessage="1" sqref="BM11 BM13:BM18 CS13:DT18 BP13:CQ18" xr:uid="{00000000-0002-0000-0600-000000000000}">
      <formula1>OrganisationNames</formula1>
    </dataValidation>
    <dataValidation type="list" allowBlank="1" showInputMessage="1" showErrorMessage="1" sqref="DU11 DU13:DU18" xr:uid="{00000000-0002-0000-0600-000001000000}">
      <formula1>CountryNames</formula1>
    </dataValidation>
    <dataValidation type="list" allowBlank="1" showInputMessage="1" showErrorMessage="1" sqref="GJ11 GJ13:GJ18" xr:uid="{00000000-0002-0000-0600-000002000000}">
      <formula1>ModeOfLearningNames</formula1>
    </dataValidation>
    <dataValidation type="list" allowBlank="1" showInputMessage="1" showErrorMessage="1" sqref="GM11 GM13:GM18" xr:uid="{00000000-0002-0000-0600-000003000000}">
      <formula1>LanguageNames</formula1>
    </dataValidation>
    <dataValidation type="list" allowBlank="1" showInputMessage="1" showErrorMessage="1" sqref="GH11:GH16" xr:uid="{00000000-0002-0000-0600-000006000000}">
      <formula1>LearningActivityTypeNames</formula1>
    </dataValidation>
    <dataValidation type="list" allowBlank="1" showInputMessage="1" showErrorMessage="1" sqref="DW13:DW18" xr:uid="{00000000-0002-0000-0600-000004000000}">
      <formula1>ActivityNames</formula1>
    </dataValidation>
    <dataValidation type="whole" operator="greaterThan" allowBlank="1" showErrorMessage="1" errorTitle="No decimals" error="Only positive whole numbers are accepted" sqref="GL13:GL18" xr:uid="{00000000-0002-0000-0600-000007000000}">
      <formula1>0</formula1>
    </dataValidation>
    <dataValidation type="date" operator="greaterThan" allowBlank="1" showInputMessage="1" showErrorMessage="1" sqref="BJ13:BJ18" xr:uid="{00000000-0002-0000-0600-000008000000}">
      <formula1>1</formula1>
    </dataValidation>
    <dataValidation type="date" operator="greaterThanOrEqual" allowBlank="1" showInputMessage="1" showErrorMessage="1" sqref="BK13:BK18" xr:uid="{00000000-0002-0000-0600-000009000000}">
      <formula1>BJ13</formula1>
    </dataValidation>
    <dataValidation type="whole" operator="greaterThanOrEqual" allowBlank="1" showErrorMessage="1" errorTitle="No decimals" error="Only positive whole numbers are accepted" sqref="BL13:BL18" xr:uid="{26D4ED93-1606-44FE-BCD5-8E4EC5BAF093}">
      <formula1>0</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W17"/>
  <sheetViews>
    <sheetView tabSelected="1" zoomScale="90" zoomScaleNormal="90" workbookViewId="0">
      <pane xSplit="30" ySplit="12" topLeftCell="FK13" activePane="bottomRight" state="frozen"/>
      <selection pane="topRight" activeCell="AB1" sqref="AB1"/>
      <selection pane="bottomLeft" activeCell="A13" sqref="A13"/>
      <selection pane="bottomRight" activeCell="GO8" sqref="GO8"/>
    </sheetView>
  </sheetViews>
  <sheetFormatPr defaultColWidth="9.140625" defaultRowHeight="29.1" customHeight="1"/>
  <cols>
    <col min="1" max="1" width="23.85546875" style="79" customWidth="1"/>
    <col min="2" max="2" width="25.85546875" style="79" customWidth="1"/>
    <col min="3" max="30" width="25.85546875" style="79" hidden="1" customWidth="1"/>
    <col min="31" max="31" width="25.85546875" style="79" customWidth="1"/>
    <col min="32" max="32" width="20.85546875" style="79" customWidth="1"/>
    <col min="33" max="33" width="30.85546875" style="79" customWidth="1"/>
    <col min="34" max="61" width="30.85546875" style="79" hidden="1" customWidth="1"/>
    <col min="62" max="62" width="25.85546875" style="79" customWidth="1"/>
    <col min="63" max="63" width="10.85546875" style="79" hidden="1" customWidth="1"/>
    <col min="64" max="64" width="25.85546875" style="79" customWidth="1"/>
    <col min="65" max="65" width="10.85546875" style="79" hidden="1" customWidth="1"/>
    <col min="66" max="66" width="19.140625" style="79" customWidth="1"/>
    <col min="67" max="67" width="32.85546875" style="79" bestFit="1" customWidth="1"/>
    <col min="68" max="68" width="10.85546875" style="79" hidden="1" customWidth="1"/>
    <col min="69" max="69" width="25.85546875" style="145" customWidth="1"/>
    <col min="70" max="97" width="25.85546875" style="79" hidden="1" customWidth="1"/>
    <col min="98" max="98" width="20.85546875" style="79" customWidth="1"/>
    <col min="99" max="99" width="25.85546875" style="79" customWidth="1"/>
    <col min="100" max="100" width="30.85546875" style="79" customWidth="1"/>
    <col min="101" max="128" width="30.85546875" style="79" hidden="1" customWidth="1"/>
    <col min="129" max="129" width="30.85546875" style="79" customWidth="1"/>
    <col min="130" max="130" width="15.85546875" style="79" customWidth="1"/>
    <col min="131" max="131" width="10.85546875" style="79" hidden="1" customWidth="1"/>
    <col min="132" max="132" width="20.85546875" style="79" customWidth="1"/>
    <col min="133" max="133" width="10.85546875" style="79" hidden="1" customWidth="1"/>
    <col min="134" max="134" width="20.85546875" style="79" customWidth="1"/>
    <col min="135" max="135" width="10.85546875" style="79" hidden="1" customWidth="1"/>
    <col min="136" max="136" width="30.85546875" style="79" customWidth="1"/>
    <col min="137" max="137" width="25.85546875" style="79" customWidth="1"/>
    <col min="138" max="138" width="30.42578125" style="79" customWidth="1"/>
    <col min="139" max="166" width="30.42578125" style="79" hidden="1" customWidth="1"/>
    <col min="167" max="168" width="30.42578125" style="79" customWidth="1"/>
    <col min="169" max="196" width="30.42578125" style="79" hidden="1" customWidth="1"/>
    <col min="197" max="197" width="30.42578125" style="79" customWidth="1"/>
    <col min="198" max="225" width="30.42578125" style="79" hidden="1" customWidth="1"/>
    <col min="226" max="226" width="25.85546875" style="79" customWidth="1"/>
    <col min="227" max="227" width="24.42578125" style="79" bestFit="1" customWidth="1"/>
    <col min="228" max="228" width="30.42578125" style="79" customWidth="1"/>
    <col min="229" max="256" width="30.42578125" style="79" hidden="1" customWidth="1"/>
    <col min="257" max="257" width="9.140625" style="114"/>
    <col min="258" max="16384" width="9.140625" style="108"/>
  </cols>
  <sheetData>
    <row r="1" spans="1:257" s="132" customFormat="1" ht="23.85" customHeight="1">
      <c r="A1" s="99" t="s">
        <v>1066</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337" t="s">
        <v>430</v>
      </c>
      <c r="BR1" s="338"/>
      <c r="BS1" s="338"/>
      <c r="BT1" s="338"/>
      <c r="BU1" s="338"/>
      <c r="BV1" s="338"/>
      <c r="BW1" s="338"/>
      <c r="BX1" s="338"/>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c r="DA1" s="338"/>
      <c r="DB1" s="338"/>
      <c r="DC1" s="338"/>
      <c r="DD1" s="338"/>
      <c r="DE1" s="338"/>
      <c r="DF1" s="338"/>
      <c r="DG1" s="338"/>
      <c r="DH1" s="338"/>
      <c r="DI1" s="338"/>
      <c r="DJ1" s="338"/>
      <c r="DK1" s="338"/>
      <c r="DL1" s="338"/>
      <c r="DM1" s="338"/>
      <c r="DN1" s="338"/>
      <c r="DO1" s="338"/>
      <c r="DP1" s="338"/>
      <c r="DQ1" s="338"/>
      <c r="DR1" s="338"/>
      <c r="DS1" s="338"/>
      <c r="DT1" s="338"/>
      <c r="DU1" s="338"/>
      <c r="DV1" s="338"/>
      <c r="DW1" s="338"/>
      <c r="DX1" s="338"/>
      <c r="DY1" s="338"/>
      <c r="DZ1" s="338"/>
      <c r="EA1" s="338"/>
      <c r="EB1" s="338"/>
      <c r="EC1" s="338"/>
      <c r="ED1" s="338"/>
      <c r="EE1" s="338"/>
      <c r="EF1" s="338"/>
      <c r="EG1" s="338"/>
      <c r="EH1" s="338"/>
      <c r="EI1" s="338"/>
      <c r="EJ1" s="338"/>
      <c r="EK1" s="338"/>
      <c r="EL1" s="338"/>
      <c r="EM1" s="338"/>
      <c r="EN1" s="338"/>
      <c r="EO1" s="338"/>
      <c r="EP1" s="338"/>
      <c r="EQ1" s="338"/>
      <c r="ER1" s="338"/>
      <c r="ES1" s="338"/>
      <c r="ET1" s="338"/>
      <c r="EU1" s="338"/>
      <c r="EV1" s="338"/>
      <c r="EW1" s="338"/>
      <c r="EX1" s="338"/>
      <c r="EY1" s="338"/>
      <c r="EZ1" s="338"/>
      <c r="FA1" s="338"/>
      <c r="FB1" s="338"/>
      <c r="FC1" s="338"/>
      <c r="FD1" s="338"/>
      <c r="FE1" s="338"/>
      <c r="FF1" s="338"/>
      <c r="FG1" s="338"/>
      <c r="FH1" s="338"/>
      <c r="FI1" s="338"/>
      <c r="FJ1" s="338"/>
      <c r="FK1" s="338"/>
      <c r="FL1" s="338"/>
      <c r="FM1" s="338"/>
      <c r="FN1" s="338"/>
      <c r="FO1" s="338"/>
      <c r="FP1" s="338"/>
      <c r="FQ1" s="338"/>
      <c r="FR1" s="338"/>
      <c r="FS1" s="338"/>
      <c r="FT1" s="338"/>
      <c r="FU1" s="338"/>
      <c r="FV1" s="338"/>
      <c r="FW1" s="338"/>
      <c r="FX1" s="338"/>
      <c r="FY1" s="338"/>
      <c r="FZ1" s="338"/>
      <c r="GA1" s="338"/>
      <c r="GB1" s="338"/>
      <c r="GC1" s="338"/>
      <c r="GD1" s="338"/>
      <c r="GE1" s="338"/>
      <c r="GF1" s="338"/>
      <c r="GG1" s="338"/>
      <c r="GH1" s="338"/>
      <c r="GI1" s="338"/>
      <c r="GJ1" s="338"/>
      <c r="GK1" s="338"/>
      <c r="GL1" s="338"/>
      <c r="GM1" s="338"/>
      <c r="GN1" s="338"/>
      <c r="GO1" s="339" t="s">
        <v>1067</v>
      </c>
      <c r="GP1" s="339"/>
      <c r="GQ1" s="339"/>
      <c r="GR1" s="339"/>
      <c r="GS1" s="339"/>
      <c r="GT1" s="339"/>
      <c r="GU1" s="339"/>
      <c r="GV1" s="339"/>
      <c r="GW1" s="339"/>
      <c r="GX1" s="339"/>
      <c r="GY1" s="339"/>
      <c r="GZ1" s="339"/>
      <c r="HA1" s="339"/>
      <c r="HB1" s="339"/>
      <c r="HC1" s="339"/>
      <c r="HD1" s="339"/>
      <c r="HE1" s="339"/>
      <c r="HF1" s="339"/>
      <c r="HG1" s="339"/>
      <c r="HH1" s="339"/>
      <c r="HI1" s="339"/>
      <c r="HJ1" s="339"/>
      <c r="HK1" s="339"/>
      <c r="HL1" s="339"/>
      <c r="HM1" s="339"/>
      <c r="HN1" s="339"/>
      <c r="HO1" s="339"/>
      <c r="HP1" s="339"/>
      <c r="HQ1" s="339"/>
      <c r="HR1" s="339"/>
      <c r="HS1" s="339"/>
      <c r="HT1" s="339"/>
      <c r="HU1" s="339"/>
      <c r="HV1" s="339"/>
      <c r="HW1" s="339"/>
      <c r="HX1" s="339"/>
      <c r="HY1" s="339"/>
      <c r="HZ1" s="339"/>
      <c r="IA1" s="339"/>
      <c r="IB1" s="339"/>
      <c r="IC1" s="339"/>
      <c r="ID1" s="339"/>
      <c r="IE1" s="339"/>
      <c r="IF1" s="339"/>
      <c r="IG1" s="339"/>
      <c r="IH1" s="339"/>
      <c r="II1" s="339"/>
      <c r="IJ1" s="339"/>
      <c r="IK1" s="339"/>
      <c r="IL1" s="339"/>
      <c r="IM1" s="339"/>
      <c r="IN1" s="339"/>
      <c r="IO1" s="339"/>
      <c r="IP1" s="339"/>
      <c r="IQ1" s="339"/>
      <c r="IR1" s="339"/>
      <c r="IS1" s="339"/>
      <c r="IT1" s="339"/>
      <c r="IU1" s="339"/>
      <c r="IV1" s="339"/>
      <c r="IW1" s="267"/>
    </row>
    <row r="2" spans="1:257" ht="31.35" hidden="1" customHeight="1">
      <c r="A2" s="80" t="s">
        <v>14</v>
      </c>
      <c r="B2" s="109" t="s">
        <v>459</v>
      </c>
      <c r="C2" s="109" t="s">
        <v>459</v>
      </c>
      <c r="D2" s="109" t="s">
        <v>459</v>
      </c>
      <c r="E2" s="109" t="s">
        <v>459</v>
      </c>
      <c r="F2" s="109" t="s">
        <v>459</v>
      </c>
      <c r="G2" s="109" t="s">
        <v>459</v>
      </c>
      <c r="H2" s="109" t="s">
        <v>459</v>
      </c>
      <c r="I2" s="109" t="s">
        <v>459</v>
      </c>
      <c r="J2" s="109" t="s">
        <v>459</v>
      </c>
      <c r="K2" s="109" t="s">
        <v>459</v>
      </c>
      <c r="L2" s="109" t="s">
        <v>459</v>
      </c>
      <c r="M2" s="109" t="s">
        <v>459</v>
      </c>
      <c r="N2" s="109" t="s">
        <v>459</v>
      </c>
      <c r="O2" s="109" t="s">
        <v>459</v>
      </c>
      <c r="P2" s="109" t="s">
        <v>459</v>
      </c>
      <c r="Q2" s="109" t="s">
        <v>459</v>
      </c>
      <c r="R2" s="109" t="s">
        <v>459</v>
      </c>
      <c r="S2" s="109" t="s">
        <v>459</v>
      </c>
      <c r="T2" s="109" t="s">
        <v>459</v>
      </c>
      <c r="U2" s="109" t="s">
        <v>459</v>
      </c>
      <c r="V2" s="109" t="s">
        <v>459</v>
      </c>
      <c r="W2" s="109" t="s">
        <v>459</v>
      </c>
      <c r="X2" s="109" t="s">
        <v>459</v>
      </c>
      <c r="Y2" s="109" t="s">
        <v>459</v>
      </c>
      <c r="Z2" s="109" t="s">
        <v>459</v>
      </c>
      <c r="AA2" s="109" t="s">
        <v>459</v>
      </c>
      <c r="AB2" s="109" t="s">
        <v>459</v>
      </c>
      <c r="AC2" s="109" t="s">
        <v>459</v>
      </c>
      <c r="AD2" s="109" t="s">
        <v>459</v>
      </c>
      <c r="AE2" s="109" t="s">
        <v>1068</v>
      </c>
      <c r="AF2" s="109" t="s">
        <v>1068</v>
      </c>
      <c r="AG2" s="109" t="s">
        <v>459</v>
      </c>
      <c r="AH2" s="109" t="s">
        <v>459</v>
      </c>
      <c r="AI2" s="109" t="s">
        <v>459</v>
      </c>
      <c r="AJ2" s="109" t="s">
        <v>459</v>
      </c>
      <c r="AK2" s="109" t="s">
        <v>459</v>
      </c>
      <c r="AL2" s="109" t="s">
        <v>459</v>
      </c>
      <c r="AM2" s="109" t="s">
        <v>459</v>
      </c>
      <c r="AN2" s="109" t="s">
        <v>459</v>
      </c>
      <c r="AO2" s="109" t="s">
        <v>459</v>
      </c>
      <c r="AP2" s="109" t="s">
        <v>459</v>
      </c>
      <c r="AQ2" s="109" t="s">
        <v>459</v>
      </c>
      <c r="AR2" s="109" t="s">
        <v>459</v>
      </c>
      <c r="AS2" s="109" t="s">
        <v>459</v>
      </c>
      <c r="AT2" s="109" t="s">
        <v>459</v>
      </c>
      <c r="AU2" s="109" t="s">
        <v>459</v>
      </c>
      <c r="AV2" s="109" t="s">
        <v>459</v>
      </c>
      <c r="AW2" s="109" t="s">
        <v>459</v>
      </c>
      <c r="AX2" s="109" t="s">
        <v>459</v>
      </c>
      <c r="AY2" s="109" t="s">
        <v>459</v>
      </c>
      <c r="AZ2" s="109" t="s">
        <v>459</v>
      </c>
      <c r="BA2" s="109" t="s">
        <v>459</v>
      </c>
      <c r="BB2" s="109" t="s">
        <v>459</v>
      </c>
      <c r="BC2" s="109" t="s">
        <v>459</v>
      </c>
      <c r="BD2" s="109" t="s">
        <v>459</v>
      </c>
      <c r="BE2" s="109" t="s">
        <v>459</v>
      </c>
      <c r="BF2" s="109" t="s">
        <v>459</v>
      </c>
      <c r="BG2" s="109" t="s">
        <v>459</v>
      </c>
      <c r="BH2" s="109" t="s">
        <v>459</v>
      </c>
      <c r="BI2" s="109" t="s">
        <v>459</v>
      </c>
      <c r="BJ2" s="109" t="s">
        <v>459</v>
      </c>
      <c r="BK2" s="109" t="s">
        <v>459</v>
      </c>
      <c r="BL2" s="109" t="s">
        <v>459</v>
      </c>
      <c r="BM2" s="109" t="s">
        <v>459</v>
      </c>
      <c r="BN2" s="109" t="s">
        <v>459</v>
      </c>
      <c r="BO2" s="109" t="s">
        <v>459</v>
      </c>
      <c r="BP2" s="109" t="s">
        <v>459</v>
      </c>
      <c r="BQ2" s="136" t="s">
        <v>1069</v>
      </c>
      <c r="BR2" s="109" t="s">
        <v>1069</v>
      </c>
      <c r="BS2" s="109" t="s">
        <v>1069</v>
      </c>
      <c r="BT2" s="109" t="s">
        <v>1069</v>
      </c>
      <c r="BU2" s="109" t="s">
        <v>1069</v>
      </c>
      <c r="BV2" s="109" t="s">
        <v>1069</v>
      </c>
      <c r="BW2" s="109" t="s">
        <v>1069</v>
      </c>
      <c r="BX2" s="109" t="s">
        <v>1069</v>
      </c>
      <c r="BY2" s="109" t="s">
        <v>1069</v>
      </c>
      <c r="BZ2" s="109" t="s">
        <v>1069</v>
      </c>
      <c r="CA2" s="109" t="s">
        <v>1069</v>
      </c>
      <c r="CB2" s="109" t="s">
        <v>1069</v>
      </c>
      <c r="CC2" s="109" t="s">
        <v>1069</v>
      </c>
      <c r="CD2" s="109" t="s">
        <v>1069</v>
      </c>
      <c r="CE2" s="109" t="s">
        <v>1069</v>
      </c>
      <c r="CF2" s="109" t="s">
        <v>1069</v>
      </c>
      <c r="CG2" s="109" t="s">
        <v>1069</v>
      </c>
      <c r="CH2" s="109" t="s">
        <v>1069</v>
      </c>
      <c r="CI2" s="109" t="s">
        <v>1069</v>
      </c>
      <c r="CJ2" s="109" t="s">
        <v>1069</v>
      </c>
      <c r="CK2" s="109" t="s">
        <v>1069</v>
      </c>
      <c r="CL2" s="109" t="s">
        <v>1069</v>
      </c>
      <c r="CM2" s="109" t="s">
        <v>1069</v>
      </c>
      <c r="CN2" s="109" t="s">
        <v>1069</v>
      </c>
      <c r="CO2" s="109" t="s">
        <v>1069</v>
      </c>
      <c r="CP2" s="109" t="s">
        <v>1069</v>
      </c>
      <c r="CQ2" s="109" t="s">
        <v>1069</v>
      </c>
      <c r="CR2" s="109" t="s">
        <v>1069</v>
      </c>
      <c r="CS2" s="109" t="s">
        <v>1069</v>
      </c>
      <c r="CT2" s="109" t="s">
        <v>1070</v>
      </c>
      <c r="CU2" s="109" t="s">
        <v>1070</v>
      </c>
      <c r="CV2" s="109" t="s">
        <v>1069</v>
      </c>
      <c r="CW2" s="109" t="s">
        <v>1069</v>
      </c>
      <c r="CX2" s="109" t="s">
        <v>1069</v>
      </c>
      <c r="CY2" s="109" t="s">
        <v>1069</v>
      </c>
      <c r="CZ2" s="109" t="s">
        <v>1069</v>
      </c>
      <c r="DA2" s="109" t="s">
        <v>1069</v>
      </c>
      <c r="DB2" s="109" t="s">
        <v>1069</v>
      </c>
      <c r="DC2" s="109" t="s">
        <v>1069</v>
      </c>
      <c r="DD2" s="109" t="s">
        <v>1069</v>
      </c>
      <c r="DE2" s="109" t="s">
        <v>1069</v>
      </c>
      <c r="DF2" s="109" t="s">
        <v>1069</v>
      </c>
      <c r="DG2" s="109" t="s">
        <v>1069</v>
      </c>
      <c r="DH2" s="109" t="s">
        <v>1069</v>
      </c>
      <c r="DI2" s="109" t="s">
        <v>1069</v>
      </c>
      <c r="DJ2" s="109" t="s">
        <v>1069</v>
      </c>
      <c r="DK2" s="109" t="s">
        <v>1069</v>
      </c>
      <c r="DL2" s="109" t="s">
        <v>1069</v>
      </c>
      <c r="DM2" s="109" t="s">
        <v>1069</v>
      </c>
      <c r="DN2" s="109" t="s">
        <v>1069</v>
      </c>
      <c r="DO2" s="109" t="s">
        <v>1069</v>
      </c>
      <c r="DP2" s="109" t="s">
        <v>1069</v>
      </c>
      <c r="DQ2" s="109" t="s">
        <v>1069</v>
      </c>
      <c r="DR2" s="109" t="s">
        <v>1069</v>
      </c>
      <c r="DS2" s="109" t="s">
        <v>1069</v>
      </c>
      <c r="DT2" s="109" t="s">
        <v>1069</v>
      </c>
      <c r="DU2" s="109" t="s">
        <v>1069</v>
      </c>
      <c r="DV2" s="109" t="s">
        <v>1069</v>
      </c>
      <c r="DW2" s="109" t="s">
        <v>1069</v>
      </c>
      <c r="DX2" s="109" t="s">
        <v>1069</v>
      </c>
      <c r="DY2" s="109" t="s">
        <v>1071</v>
      </c>
      <c r="DZ2" s="111" t="s">
        <v>1069</v>
      </c>
      <c r="EA2" s="111" t="s">
        <v>1069</v>
      </c>
      <c r="EB2" s="111" t="s">
        <v>1069</v>
      </c>
      <c r="EC2" s="111" t="s">
        <v>1069</v>
      </c>
      <c r="ED2" s="111" t="s">
        <v>1069</v>
      </c>
      <c r="EE2" s="111" t="s">
        <v>1069</v>
      </c>
      <c r="EF2" s="110" t="s">
        <v>1072</v>
      </c>
      <c r="EG2" s="110" t="s">
        <v>1069</v>
      </c>
      <c r="EH2" s="110" t="s">
        <v>1069</v>
      </c>
      <c r="EI2" s="110" t="s">
        <v>1069</v>
      </c>
      <c r="EJ2" s="110" t="s">
        <v>1069</v>
      </c>
      <c r="EK2" s="110" t="s">
        <v>1069</v>
      </c>
      <c r="EL2" s="110" t="s">
        <v>1069</v>
      </c>
      <c r="EM2" s="110" t="s">
        <v>1069</v>
      </c>
      <c r="EN2" s="110" t="s">
        <v>1069</v>
      </c>
      <c r="EO2" s="110" t="s">
        <v>1069</v>
      </c>
      <c r="EP2" s="110" t="s">
        <v>1069</v>
      </c>
      <c r="EQ2" s="110" t="s">
        <v>1069</v>
      </c>
      <c r="ER2" s="110" t="s">
        <v>1069</v>
      </c>
      <c r="ES2" s="110" t="s">
        <v>1069</v>
      </c>
      <c r="ET2" s="110" t="s">
        <v>1069</v>
      </c>
      <c r="EU2" s="110" t="s">
        <v>1069</v>
      </c>
      <c r="EV2" s="110" t="s">
        <v>1069</v>
      </c>
      <c r="EW2" s="110" t="s">
        <v>1069</v>
      </c>
      <c r="EX2" s="110" t="s">
        <v>1069</v>
      </c>
      <c r="EY2" s="110" t="s">
        <v>1069</v>
      </c>
      <c r="EZ2" s="110" t="s">
        <v>1069</v>
      </c>
      <c r="FA2" s="110" t="s">
        <v>1069</v>
      </c>
      <c r="FB2" s="110" t="s">
        <v>1069</v>
      </c>
      <c r="FC2" s="110" t="s">
        <v>1069</v>
      </c>
      <c r="FD2" s="110" t="s">
        <v>1069</v>
      </c>
      <c r="FE2" s="110" t="s">
        <v>1069</v>
      </c>
      <c r="FF2" s="110" t="s">
        <v>1069</v>
      </c>
      <c r="FG2" s="110" t="s">
        <v>1069</v>
      </c>
      <c r="FH2" s="110" t="s">
        <v>1069</v>
      </c>
      <c r="FI2" s="110" t="s">
        <v>1069</v>
      </c>
      <c r="FJ2" s="110" t="s">
        <v>1069</v>
      </c>
      <c r="FK2" s="110" t="s">
        <v>1069</v>
      </c>
      <c r="FL2" s="110" t="s">
        <v>1069</v>
      </c>
      <c r="FM2" s="110" t="s">
        <v>1069</v>
      </c>
      <c r="FN2" s="110" t="s">
        <v>1069</v>
      </c>
      <c r="FO2" s="110" t="s">
        <v>1069</v>
      </c>
      <c r="FP2" s="110" t="s">
        <v>1069</v>
      </c>
      <c r="FQ2" s="110" t="s">
        <v>1069</v>
      </c>
      <c r="FR2" s="110" t="s">
        <v>1069</v>
      </c>
      <c r="FS2" s="110" t="s">
        <v>1069</v>
      </c>
      <c r="FT2" s="110" t="s">
        <v>1069</v>
      </c>
      <c r="FU2" s="110" t="s">
        <v>1069</v>
      </c>
      <c r="FV2" s="110" t="s">
        <v>1069</v>
      </c>
      <c r="FW2" s="110" t="s">
        <v>1069</v>
      </c>
      <c r="FX2" s="110" t="s">
        <v>1069</v>
      </c>
      <c r="FY2" s="110" t="s">
        <v>1069</v>
      </c>
      <c r="FZ2" s="110" t="s">
        <v>1069</v>
      </c>
      <c r="GA2" s="110" t="s">
        <v>1069</v>
      </c>
      <c r="GB2" s="110" t="s">
        <v>1069</v>
      </c>
      <c r="GC2" s="110" t="s">
        <v>1069</v>
      </c>
      <c r="GD2" s="110" t="s">
        <v>1069</v>
      </c>
      <c r="GE2" s="110" t="s">
        <v>1069</v>
      </c>
      <c r="GF2" s="110" t="s">
        <v>1069</v>
      </c>
      <c r="GG2" s="110" t="s">
        <v>1069</v>
      </c>
      <c r="GH2" s="110" t="s">
        <v>1069</v>
      </c>
      <c r="GI2" s="110" t="s">
        <v>1069</v>
      </c>
      <c r="GJ2" s="110" t="s">
        <v>1069</v>
      </c>
      <c r="GK2" s="110" t="s">
        <v>1069</v>
      </c>
      <c r="GL2" s="110" t="s">
        <v>1069</v>
      </c>
      <c r="GM2" s="110" t="s">
        <v>1069</v>
      </c>
      <c r="GN2" s="110" t="s">
        <v>1069</v>
      </c>
      <c r="GO2" s="109" t="s">
        <v>1073</v>
      </c>
      <c r="GP2" s="109" t="s">
        <v>1073</v>
      </c>
      <c r="GQ2" s="109" t="s">
        <v>1073</v>
      </c>
      <c r="GR2" s="109" t="s">
        <v>1073</v>
      </c>
      <c r="GS2" s="109" t="s">
        <v>1073</v>
      </c>
      <c r="GT2" s="109" t="s">
        <v>1073</v>
      </c>
      <c r="GU2" s="109" t="s">
        <v>1073</v>
      </c>
      <c r="GV2" s="109" t="s">
        <v>1073</v>
      </c>
      <c r="GW2" s="109" t="s">
        <v>1073</v>
      </c>
      <c r="GX2" s="109" t="s">
        <v>1073</v>
      </c>
      <c r="GY2" s="109" t="s">
        <v>1073</v>
      </c>
      <c r="GZ2" s="109" t="s">
        <v>1073</v>
      </c>
      <c r="HA2" s="109" t="s">
        <v>1073</v>
      </c>
      <c r="HB2" s="109" t="s">
        <v>1073</v>
      </c>
      <c r="HC2" s="109" t="s">
        <v>1073</v>
      </c>
      <c r="HD2" s="109" t="s">
        <v>1073</v>
      </c>
      <c r="HE2" s="109" t="s">
        <v>1073</v>
      </c>
      <c r="HF2" s="109" t="s">
        <v>1073</v>
      </c>
      <c r="HG2" s="109" t="s">
        <v>1073</v>
      </c>
      <c r="HH2" s="109" t="s">
        <v>1073</v>
      </c>
      <c r="HI2" s="109" t="s">
        <v>1073</v>
      </c>
      <c r="HJ2" s="109" t="s">
        <v>1073</v>
      </c>
      <c r="HK2" s="109" t="s">
        <v>1073</v>
      </c>
      <c r="HL2" s="109" t="s">
        <v>1073</v>
      </c>
      <c r="HM2" s="109" t="s">
        <v>1073</v>
      </c>
      <c r="HN2" s="109" t="s">
        <v>1073</v>
      </c>
      <c r="HO2" s="109" t="s">
        <v>1073</v>
      </c>
      <c r="HP2" s="109" t="s">
        <v>1073</v>
      </c>
      <c r="HQ2" s="109" t="s">
        <v>1073</v>
      </c>
      <c r="HR2" s="109" t="s">
        <v>1074</v>
      </c>
      <c r="HS2" s="109" t="s">
        <v>1074</v>
      </c>
      <c r="HT2" s="109" t="s">
        <v>1073</v>
      </c>
      <c r="HU2" s="109" t="s">
        <v>1073</v>
      </c>
      <c r="HV2" s="109" t="s">
        <v>1073</v>
      </c>
      <c r="HW2" s="109" t="s">
        <v>1073</v>
      </c>
      <c r="HX2" s="109" t="s">
        <v>1073</v>
      </c>
      <c r="HY2" s="109" t="s">
        <v>1073</v>
      </c>
      <c r="HZ2" s="109" t="s">
        <v>1073</v>
      </c>
      <c r="IA2" s="109" t="s">
        <v>1073</v>
      </c>
      <c r="IB2" s="109" t="s">
        <v>1073</v>
      </c>
      <c r="IC2" s="109" t="s">
        <v>1073</v>
      </c>
      <c r="ID2" s="109" t="s">
        <v>1073</v>
      </c>
      <c r="IE2" s="109" t="s">
        <v>1073</v>
      </c>
      <c r="IF2" s="109" t="s">
        <v>1073</v>
      </c>
      <c r="IG2" s="109" t="s">
        <v>1073</v>
      </c>
      <c r="IH2" s="109" t="s">
        <v>1073</v>
      </c>
      <c r="II2" s="109" t="s">
        <v>1073</v>
      </c>
      <c r="IJ2" s="109" t="s">
        <v>1073</v>
      </c>
      <c r="IK2" s="109" t="s">
        <v>1073</v>
      </c>
      <c r="IL2" s="109" t="s">
        <v>1073</v>
      </c>
      <c r="IM2" s="109" t="s">
        <v>1073</v>
      </c>
      <c r="IN2" s="109" t="s">
        <v>1073</v>
      </c>
      <c r="IO2" s="109" t="s">
        <v>1073</v>
      </c>
      <c r="IP2" s="109" t="s">
        <v>1073</v>
      </c>
      <c r="IQ2" s="109" t="s">
        <v>1073</v>
      </c>
      <c r="IR2" s="109" t="s">
        <v>1073</v>
      </c>
      <c r="IS2" s="109" t="s">
        <v>1073</v>
      </c>
      <c r="IT2" s="109" t="s">
        <v>1073</v>
      </c>
      <c r="IU2" s="109" t="s">
        <v>1073</v>
      </c>
      <c r="IV2" s="109" t="s">
        <v>1073</v>
      </c>
    </row>
    <row r="3" spans="1:257" ht="31.35"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93" t="s">
        <v>19</v>
      </c>
      <c r="AH3" s="93" t="s">
        <v>19</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1075</v>
      </c>
      <c r="BK3" s="93" t="s">
        <v>1075</v>
      </c>
      <c r="BL3" s="93" t="s">
        <v>1076</v>
      </c>
      <c r="BM3" s="93" t="s">
        <v>1076</v>
      </c>
      <c r="BN3" s="93" t="s">
        <v>1077</v>
      </c>
      <c r="BO3" s="93" t="s">
        <v>443</v>
      </c>
      <c r="BP3" s="93" t="s">
        <v>443</v>
      </c>
      <c r="BQ3" s="137" t="s">
        <v>18</v>
      </c>
      <c r="BR3" s="93" t="s">
        <v>18</v>
      </c>
      <c r="BS3" s="93" t="s">
        <v>18</v>
      </c>
      <c r="BT3" s="93" t="s">
        <v>18</v>
      </c>
      <c r="BU3" s="93" t="s">
        <v>18</v>
      </c>
      <c r="BV3" s="93" t="s">
        <v>18</v>
      </c>
      <c r="BW3" s="93" t="s">
        <v>18</v>
      </c>
      <c r="BX3" s="93" t="s">
        <v>18</v>
      </c>
      <c r="BY3" s="93" t="s">
        <v>18</v>
      </c>
      <c r="BZ3" s="93" t="s">
        <v>18</v>
      </c>
      <c r="CA3" s="93" t="s">
        <v>18</v>
      </c>
      <c r="CB3" s="93" t="s">
        <v>18</v>
      </c>
      <c r="CC3" s="93" t="s">
        <v>18</v>
      </c>
      <c r="CD3" s="93" t="s">
        <v>18</v>
      </c>
      <c r="CE3" s="93" t="s">
        <v>18</v>
      </c>
      <c r="CF3" s="93" t="s">
        <v>18</v>
      </c>
      <c r="CG3" s="93" t="s">
        <v>18</v>
      </c>
      <c r="CH3" s="93" t="s">
        <v>18</v>
      </c>
      <c r="CI3" s="93" t="s">
        <v>18</v>
      </c>
      <c r="CJ3" s="93" t="s">
        <v>18</v>
      </c>
      <c r="CK3" s="93" t="s">
        <v>18</v>
      </c>
      <c r="CL3" s="93" t="s">
        <v>18</v>
      </c>
      <c r="CM3" s="93" t="s">
        <v>18</v>
      </c>
      <c r="CN3" s="93" t="s">
        <v>18</v>
      </c>
      <c r="CO3" s="93" t="s">
        <v>18</v>
      </c>
      <c r="CP3" s="93" t="s">
        <v>18</v>
      </c>
      <c r="CQ3" s="93" t="s">
        <v>18</v>
      </c>
      <c r="CR3" s="93" t="s">
        <v>18</v>
      </c>
      <c r="CS3" s="93" t="s">
        <v>18</v>
      </c>
      <c r="CT3" s="93" t="s">
        <v>182</v>
      </c>
      <c r="CU3" s="93" t="s">
        <v>33</v>
      </c>
      <c r="CV3" s="93" t="s">
        <v>19</v>
      </c>
      <c r="CW3" s="93" t="s">
        <v>19</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184</v>
      </c>
      <c r="DZ3" s="93" t="s">
        <v>453</v>
      </c>
      <c r="EA3" s="93" t="s">
        <v>453</v>
      </c>
      <c r="EB3" s="93" t="s">
        <v>452</v>
      </c>
      <c r="EC3" s="93" t="s">
        <v>452</v>
      </c>
      <c r="ED3" s="93" t="s">
        <v>1078</v>
      </c>
      <c r="EE3" s="93" t="s">
        <v>1078</v>
      </c>
      <c r="EF3" s="93" t="s">
        <v>184</v>
      </c>
      <c r="EG3" s="93" t="s">
        <v>457</v>
      </c>
      <c r="EH3" s="93" t="s">
        <v>457</v>
      </c>
      <c r="EI3" s="93" t="s">
        <v>457</v>
      </c>
      <c r="EJ3" s="93" t="s">
        <v>457</v>
      </c>
      <c r="EK3" s="93" t="s">
        <v>457</v>
      </c>
      <c r="EL3" s="93" t="s">
        <v>457</v>
      </c>
      <c r="EM3" s="93" t="s">
        <v>457</v>
      </c>
      <c r="EN3" s="93" t="s">
        <v>457</v>
      </c>
      <c r="EO3" s="93" t="s">
        <v>457</v>
      </c>
      <c r="EP3" s="93" t="s">
        <v>457</v>
      </c>
      <c r="EQ3" s="93" t="s">
        <v>457</v>
      </c>
      <c r="ER3" s="93" t="s">
        <v>457</v>
      </c>
      <c r="ES3" s="93" t="s">
        <v>457</v>
      </c>
      <c r="ET3" s="93" t="s">
        <v>457</v>
      </c>
      <c r="EU3" s="93" t="s">
        <v>457</v>
      </c>
      <c r="EV3" s="93" t="s">
        <v>457</v>
      </c>
      <c r="EW3" s="93" t="s">
        <v>457</v>
      </c>
      <c r="EX3" s="93" t="s">
        <v>457</v>
      </c>
      <c r="EY3" s="93" t="s">
        <v>457</v>
      </c>
      <c r="EZ3" s="93" t="s">
        <v>457</v>
      </c>
      <c r="FA3" s="93" t="s">
        <v>457</v>
      </c>
      <c r="FB3" s="93" t="s">
        <v>457</v>
      </c>
      <c r="FC3" s="93" t="s">
        <v>457</v>
      </c>
      <c r="FD3" s="93" t="s">
        <v>457</v>
      </c>
      <c r="FE3" s="93" t="s">
        <v>457</v>
      </c>
      <c r="FF3" s="93" t="s">
        <v>457</v>
      </c>
      <c r="FG3" s="93" t="s">
        <v>457</v>
      </c>
      <c r="FH3" s="93" t="s">
        <v>457</v>
      </c>
      <c r="FI3" s="93" t="s">
        <v>457</v>
      </c>
      <c r="FJ3" s="93" t="s">
        <v>457</v>
      </c>
      <c r="FK3" s="93" t="s">
        <v>457</v>
      </c>
      <c r="FL3" s="93" t="s">
        <v>457</v>
      </c>
      <c r="FM3" s="93" t="s">
        <v>457</v>
      </c>
      <c r="FN3" s="93" t="s">
        <v>457</v>
      </c>
      <c r="FO3" s="93" t="s">
        <v>457</v>
      </c>
      <c r="FP3" s="93" t="s">
        <v>457</v>
      </c>
      <c r="FQ3" s="93" t="s">
        <v>457</v>
      </c>
      <c r="FR3" s="93" t="s">
        <v>457</v>
      </c>
      <c r="FS3" s="93" t="s">
        <v>457</v>
      </c>
      <c r="FT3" s="93" t="s">
        <v>457</v>
      </c>
      <c r="FU3" s="93" t="s">
        <v>457</v>
      </c>
      <c r="FV3" s="93" t="s">
        <v>457</v>
      </c>
      <c r="FW3" s="93" t="s">
        <v>457</v>
      </c>
      <c r="FX3" s="93" t="s">
        <v>457</v>
      </c>
      <c r="FY3" s="93" t="s">
        <v>457</v>
      </c>
      <c r="FZ3" s="93" t="s">
        <v>457</v>
      </c>
      <c r="GA3" s="93" t="s">
        <v>457</v>
      </c>
      <c r="GB3" s="93" t="s">
        <v>457</v>
      </c>
      <c r="GC3" s="93" t="s">
        <v>457</v>
      </c>
      <c r="GD3" s="93" t="s">
        <v>457</v>
      </c>
      <c r="GE3" s="93" t="s">
        <v>457</v>
      </c>
      <c r="GF3" s="93" t="s">
        <v>457</v>
      </c>
      <c r="GG3" s="93" t="s">
        <v>457</v>
      </c>
      <c r="GH3" s="93" t="s">
        <v>457</v>
      </c>
      <c r="GI3" s="93" t="s">
        <v>457</v>
      </c>
      <c r="GJ3" s="93" t="s">
        <v>457</v>
      </c>
      <c r="GK3" s="93" t="s">
        <v>457</v>
      </c>
      <c r="GL3" s="93" t="s">
        <v>457</v>
      </c>
      <c r="GM3" s="93" t="s">
        <v>457</v>
      </c>
      <c r="GN3" s="93" t="s">
        <v>457</v>
      </c>
      <c r="GO3" s="93" t="s">
        <v>18</v>
      </c>
      <c r="GP3" s="93" t="s">
        <v>18</v>
      </c>
      <c r="GQ3" s="93" t="s">
        <v>18</v>
      </c>
      <c r="GR3" s="93" t="s">
        <v>18</v>
      </c>
      <c r="GS3" s="93" t="s">
        <v>18</v>
      </c>
      <c r="GT3" s="93" t="s">
        <v>18</v>
      </c>
      <c r="GU3" s="93" t="s">
        <v>18</v>
      </c>
      <c r="GV3" s="93" t="s">
        <v>18</v>
      </c>
      <c r="GW3" s="93" t="s">
        <v>18</v>
      </c>
      <c r="GX3" s="93" t="s">
        <v>18</v>
      </c>
      <c r="GY3" s="93" t="s">
        <v>18</v>
      </c>
      <c r="GZ3" s="93" t="s">
        <v>18</v>
      </c>
      <c r="HA3" s="93" t="s">
        <v>18</v>
      </c>
      <c r="HB3" s="93" t="s">
        <v>18</v>
      </c>
      <c r="HC3" s="93" t="s">
        <v>18</v>
      </c>
      <c r="HD3" s="93" t="s">
        <v>18</v>
      </c>
      <c r="HE3" s="93" t="s">
        <v>18</v>
      </c>
      <c r="HF3" s="93" t="s">
        <v>18</v>
      </c>
      <c r="HG3" s="93" t="s">
        <v>18</v>
      </c>
      <c r="HH3" s="93" t="s">
        <v>18</v>
      </c>
      <c r="HI3" s="93" t="s">
        <v>18</v>
      </c>
      <c r="HJ3" s="93" t="s">
        <v>18</v>
      </c>
      <c r="HK3" s="93" t="s">
        <v>18</v>
      </c>
      <c r="HL3" s="93" t="s">
        <v>18</v>
      </c>
      <c r="HM3" s="93" t="s">
        <v>18</v>
      </c>
      <c r="HN3" s="93" t="s">
        <v>18</v>
      </c>
      <c r="HO3" s="93" t="s">
        <v>18</v>
      </c>
      <c r="HP3" s="93" t="s">
        <v>18</v>
      </c>
      <c r="HQ3" s="93" t="s">
        <v>18</v>
      </c>
      <c r="HR3" s="93" t="s">
        <v>182</v>
      </c>
      <c r="HS3" s="93" t="s">
        <v>33</v>
      </c>
      <c r="HT3" s="93" t="s">
        <v>19</v>
      </c>
      <c r="HU3" s="93" t="s">
        <v>19</v>
      </c>
      <c r="HV3" s="93" t="s">
        <v>19</v>
      </c>
      <c r="HW3" s="93" t="s">
        <v>19</v>
      </c>
      <c r="HX3" s="93" t="s">
        <v>19</v>
      </c>
      <c r="HY3" s="93" t="s">
        <v>19</v>
      </c>
      <c r="HZ3" s="93" t="s">
        <v>19</v>
      </c>
      <c r="IA3" s="93" t="s">
        <v>19</v>
      </c>
      <c r="IB3" s="93" t="s">
        <v>19</v>
      </c>
      <c r="IC3" s="93" t="s">
        <v>19</v>
      </c>
      <c r="ID3" s="93" t="s">
        <v>19</v>
      </c>
      <c r="IE3" s="93" t="s">
        <v>19</v>
      </c>
      <c r="IF3" s="93" t="s">
        <v>19</v>
      </c>
      <c r="IG3" s="93" t="s">
        <v>19</v>
      </c>
      <c r="IH3" s="93" t="s">
        <v>19</v>
      </c>
      <c r="II3" s="93" t="s">
        <v>19</v>
      </c>
      <c r="IJ3" s="93" t="s">
        <v>19</v>
      </c>
      <c r="IK3" s="93" t="s">
        <v>19</v>
      </c>
      <c r="IL3" s="93" t="s">
        <v>19</v>
      </c>
      <c r="IM3" s="93" t="s">
        <v>19</v>
      </c>
      <c r="IN3" s="93" t="s">
        <v>19</v>
      </c>
      <c r="IO3" s="93" t="s">
        <v>19</v>
      </c>
      <c r="IP3" s="93" t="s">
        <v>19</v>
      </c>
      <c r="IQ3" s="93" t="s">
        <v>19</v>
      </c>
      <c r="IR3" s="93" t="s">
        <v>19</v>
      </c>
      <c r="IS3" s="93" t="s">
        <v>19</v>
      </c>
      <c r="IT3" s="93" t="s">
        <v>19</v>
      </c>
      <c r="IU3" s="93" t="s">
        <v>19</v>
      </c>
      <c r="IV3" s="93" t="s">
        <v>19</v>
      </c>
    </row>
    <row r="4" spans="1:257" ht="31.35" hidden="1" customHeight="1">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79" t="s">
        <v>28</v>
      </c>
      <c r="AH4" s="79"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29</v>
      </c>
      <c r="BK4" s="79" t="s">
        <v>30</v>
      </c>
      <c r="BL4" s="79" t="s">
        <v>29</v>
      </c>
      <c r="BM4" s="79" t="s">
        <v>30</v>
      </c>
      <c r="BN4" s="79" t="s">
        <v>28</v>
      </c>
      <c r="BO4" s="79" t="s">
        <v>191</v>
      </c>
      <c r="BP4" s="79" t="s">
        <v>30</v>
      </c>
      <c r="BQ4" s="145" t="s">
        <v>31</v>
      </c>
      <c r="BR4" s="79" t="s">
        <v>31</v>
      </c>
      <c r="BS4" s="79" t="s">
        <v>31</v>
      </c>
      <c r="BT4" s="79" t="s">
        <v>31</v>
      </c>
      <c r="BU4" s="79" t="s">
        <v>31</v>
      </c>
      <c r="BV4" s="79" t="s">
        <v>31</v>
      </c>
      <c r="BW4" s="79" t="s">
        <v>31</v>
      </c>
      <c r="BX4" s="79" t="s">
        <v>31</v>
      </c>
      <c r="BY4" s="79" t="s">
        <v>31</v>
      </c>
      <c r="BZ4" s="79" t="s">
        <v>31</v>
      </c>
      <c r="CA4" s="79" t="s">
        <v>31</v>
      </c>
      <c r="CB4" s="79" t="s">
        <v>31</v>
      </c>
      <c r="CC4" s="79" t="s">
        <v>31</v>
      </c>
      <c r="CD4" s="79" t="s">
        <v>31</v>
      </c>
      <c r="CE4" s="79" t="s">
        <v>31</v>
      </c>
      <c r="CF4" s="79" t="s">
        <v>31</v>
      </c>
      <c r="CG4" s="79" t="s">
        <v>31</v>
      </c>
      <c r="CH4" s="79" t="s">
        <v>31</v>
      </c>
      <c r="CI4" s="79" t="s">
        <v>31</v>
      </c>
      <c r="CJ4" s="79" t="s">
        <v>31</v>
      </c>
      <c r="CK4" s="79" t="s">
        <v>31</v>
      </c>
      <c r="CL4" s="79" t="s">
        <v>31</v>
      </c>
      <c r="CM4" s="79" t="s">
        <v>31</v>
      </c>
      <c r="CN4" s="79" t="s">
        <v>31</v>
      </c>
      <c r="CO4" s="79" t="s">
        <v>31</v>
      </c>
      <c r="CP4" s="79" t="s">
        <v>31</v>
      </c>
      <c r="CQ4" s="79" t="s">
        <v>31</v>
      </c>
      <c r="CR4" s="79" t="s">
        <v>31</v>
      </c>
      <c r="CS4" s="79" t="s">
        <v>31</v>
      </c>
      <c r="CT4" s="79" t="s">
        <v>31</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80" t="s">
        <v>31</v>
      </c>
      <c r="DZ4" s="79" t="s">
        <v>1079</v>
      </c>
      <c r="EA4" s="79" t="s">
        <v>190</v>
      </c>
      <c r="EB4" s="79" t="s">
        <v>1079</v>
      </c>
      <c r="EC4" s="79" t="s">
        <v>190</v>
      </c>
      <c r="ED4" s="79" t="s">
        <v>1079</v>
      </c>
      <c r="EE4" s="79" t="s">
        <v>190</v>
      </c>
      <c r="EF4" s="80" t="s">
        <v>31</v>
      </c>
      <c r="EG4" s="80" t="s">
        <v>31</v>
      </c>
      <c r="EH4" s="80" t="s">
        <v>31</v>
      </c>
      <c r="EI4" s="80" t="s">
        <v>31</v>
      </c>
      <c r="EJ4" s="80" t="s">
        <v>31</v>
      </c>
      <c r="EK4" s="80" t="s">
        <v>31</v>
      </c>
      <c r="EL4" s="80" t="s">
        <v>31</v>
      </c>
      <c r="EM4" s="80" t="s">
        <v>31</v>
      </c>
      <c r="EN4" s="80" t="s">
        <v>31</v>
      </c>
      <c r="EO4" s="80" t="s">
        <v>31</v>
      </c>
      <c r="EP4" s="80" t="s">
        <v>31</v>
      </c>
      <c r="EQ4" s="80" t="s">
        <v>31</v>
      </c>
      <c r="ER4" s="80" t="s">
        <v>31</v>
      </c>
      <c r="ES4" s="80" t="s">
        <v>31</v>
      </c>
      <c r="ET4" s="80" t="s">
        <v>31</v>
      </c>
      <c r="EU4" s="80" t="s">
        <v>31</v>
      </c>
      <c r="EV4" s="80" t="s">
        <v>31</v>
      </c>
      <c r="EW4" s="80" t="s">
        <v>31</v>
      </c>
      <c r="EX4" s="80" t="s">
        <v>31</v>
      </c>
      <c r="EY4" s="80" t="s">
        <v>31</v>
      </c>
      <c r="EZ4" s="80" t="s">
        <v>31</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79" t="s">
        <v>31</v>
      </c>
      <c r="GP4" s="79" t="s">
        <v>31</v>
      </c>
      <c r="GQ4" s="79" t="s">
        <v>31</v>
      </c>
      <c r="GR4" s="79" t="s">
        <v>31</v>
      </c>
      <c r="GS4" s="79" t="s">
        <v>31</v>
      </c>
      <c r="GT4" s="79" t="s">
        <v>31</v>
      </c>
      <c r="GU4" s="79" t="s">
        <v>31</v>
      </c>
      <c r="GV4" s="79" t="s">
        <v>31</v>
      </c>
      <c r="GW4" s="79" t="s">
        <v>31</v>
      </c>
      <c r="GX4" s="79" t="s">
        <v>31</v>
      </c>
      <c r="GY4" s="79" t="s">
        <v>31</v>
      </c>
      <c r="GZ4" s="79" t="s">
        <v>31</v>
      </c>
      <c r="HA4" s="79" t="s">
        <v>31</v>
      </c>
      <c r="HB4" s="79" t="s">
        <v>31</v>
      </c>
      <c r="HC4" s="79" t="s">
        <v>31</v>
      </c>
      <c r="HD4" s="79" t="s">
        <v>31</v>
      </c>
      <c r="HE4" s="79" t="s">
        <v>31</v>
      </c>
      <c r="HF4" s="79" t="s">
        <v>31</v>
      </c>
      <c r="HG4" s="79" t="s">
        <v>31</v>
      </c>
      <c r="HH4" s="79" t="s">
        <v>31</v>
      </c>
      <c r="HI4" s="79" t="s">
        <v>31</v>
      </c>
      <c r="HJ4" s="79" t="s">
        <v>31</v>
      </c>
      <c r="HK4" s="79" t="s">
        <v>31</v>
      </c>
      <c r="HL4" s="79" t="s">
        <v>31</v>
      </c>
      <c r="HM4" s="79" t="s">
        <v>31</v>
      </c>
      <c r="HN4" s="79" t="s">
        <v>31</v>
      </c>
      <c r="HO4" s="79" t="s">
        <v>31</v>
      </c>
      <c r="HP4" s="79" t="s">
        <v>31</v>
      </c>
      <c r="HQ4" s="79" t="s">
        <v>31</v>
      </c>
      <c r="HR4" s="79" t="s">
        <v>31</v>
      </c>
      <c r="HS4" s="79" t="s">
        <v>31</v>
      </c>
      <c r="HT4" s="79" t="s">
        <v>31</v>
      </c>
      <c r="HU4" s="79" t="s">
        <v>31</v>
      </c>
      <c r="HV4" s="79" t="s">
        <v>31</v>
      </c>
      <c r="HW4" s="79" t="s">
        <v>31</v>
      </c>
      <c r="HX4" s="79" t="s">
        <v>31</v>
      </c>
      <c r="HY4" s="79" t="s">
        <v>31</v>
      </c>
      <c r="HZ4" s="79" t="s">
        <v>31</v>
      </c>
      <c r="IA4" s="79" t="s">
        <v>31</v>
      </c>
      <c r="IB4" s="79" t="s">
        <v>31</v>
      </c>
      <c r="IC4" s="79" t="s">
        <v>31</v>
      </c>
      <c r="ID4" s="79" t="s">
        <v>31</v>
      </c>
      <c r="IE4" s="79" t="s">
        <v>31</v>
      </c>
      <c r="IF4" s="79" t="s">
        <v>31</v>
      </c>
      <c r="IG4" s="79" t="s">
        <v>31</v>
      </c>
      <c r="IH4" s="79" t="s">
        <v>31</v>
      </c>
      <c r="II4" s="79" t="s">
        <v>31</v>
      </c>
      <c r="IJ4" s="79" t="s">
        <v>31</v>
      </c>
      <c r="IK4" s="79" t="s">
        <v>31</v>
      </c>
      <c r="IL4" s="79" t="s">
        <v>31</v>
      </c>
      <c r="IM4" s="79" t="s">
        <v>31</v>
      </c>
      <c r="IN4" s="79" t="s">
        <v>31</v>
      </c>
      <c r="IO4" s="79" t="s">
        <v>31</v>
      </c>
      <c r="IP4" s="79" t="s">
        <v>31</v>
      </c>
      <c r="IQ4" s="79" t="s">
        <v>31</v>
      </c>
      <c r="IR4" s="79" t="s">
        <v>31</v>
      </c>
      <c r="IS4" s="79" t="s">
        <v>31</v>
      </c>
      <c r="IT4" s="79" t="s">
        <v>31</v>
      </c>
      <c r="IU4" s="79" t="s">
        <v>31</v>
      </c>
      <c r="IV4" s="79" t="s">
        <v>31</v>
      </c>
    </row>
    <row r="5" spans="1:257" ht="14.1" hidden="1" customHeight="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79" t="s">
        <v>33</v>
      </c>
      <c r="AH5" s="79" t="s">
        <v>33</v>
      </c>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36</v>
      </c>
      <c r="BK5" s="79" t="s">
        <v>36</v>
      </c>
      <c r="BL5" s="79" t="s">
        <v>734</v>
      </c>
      <c r="BM5" s="79" t="s">
        <v>34</v>
      </c>
      <c r="BO5" s="79" t="s">
        <v>459</v>
      </c>
      <c r="BP5" s="79" t="s">
        <v>459</v>
      </c>
      <c r="BQ5" s="145" t="s">
        <v>33</v>
      </c>
      <c r="BR5" s="79" t="s">
        <v>33</v>
      </c>
      <c r="BS5" s="79" t="s">
        <v>33</v>
      </c>
      <c r="BT5" s="79" t="s">
        <v>33</v>
      </c>
      <c r="BU5" s="79" t="s">
        <v>33</v>
      </c>
      <c r="BV5" s="79" t="s">
        <v>33</v>
      </c>
      <c r="BW5" s="79" t="s">
        <v>33</v>
      </c>
      <c r="BX5" s="79" t="s">
        <v>33</v>
      </c>
      <c r="BY5" s="79" t="s">
        <v>33</v>
      </c>
      <c r="BZ5" s="79" t="s">
        <v>33</v>
      </c>
      <c r="CA5" s="79" t="s">
        <v>33</v>
      </c>
      <c r="CB5" s="79" t="s">
        <v>33</v>
      </c>
      <c r="CC5" s="79" t="s">
        <v>33</v>
      </c>
      <c r="CD5" s="79" t="s">
        <v>33</v>
      </c>
      <c r="CE5" s="79" t="s">
        <v>33</v>
      </c>
      <c r="CF5" s="79" t="s">
        <v>33</v>
      </c>
      <c r="CG5" s="79" t="s">
        <v>33</v>
      </c>
      <c r="CH5" s="79" t="s">
        <v>33</v>
      </c>
      <c r="CI5" s="79" t="s">
        <v>33</v>
      </c>
      <c r="CJ5" s="79" t="s">
        <v>33</v>
      </c>
      <c r="CK5" s="79" t="s">
        <v>33</v>
      </c>
      <c r="CL5" s="79" t="s">
        <v>33</v>
      </c>
      <c r="CM5" s="79" t="s">
        <v>33</v>
      </c>
      <c r="CN5" s="79" t="s">
        <v>33</v>
      </c>
      <c r="CO5" s="79" t="s">
        <v>33</v>
      </c>
      <c r="CP5" s="79" t="s">
        <v>33</v>
      </c>
      <c r="CQ5" s="79" t="s">
        <v>33</v>
      </c>
      <c r="CR5" s="79" t="s">
        <v>33</v>
      </c>
      <c r="CS5" s="79" t="s">
        <v>33</v>
      </c>
      <c r="CV5" s="79" t="s">
        <v>33</v>
      </c>
      <c r="CW5" s="79" t="s">
        <v>33</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93"/>
      <c r="EA5" s="79" t="s">
        <v>34</v>
      </c>
      <c r="EC5" s="79" t="s">
        <v>34</v>
      </c>
      <c r="EE5" s="79" t="s">
        <v>34</v>
      </c>
      <c r="EF5" s="93"/>
      <c r="EG5" s="79" t="s">
        <v>461</v>
      </c>
      <c r="EH5" s="79" t="s">
        <v>33</v>
      </c>
      <c r="EI5" s="79" t="s">
        <v>33</v>
      </c>
      <c r="EJ5" s="79" t="s">
        <v>33</v>
      </c>
      <c r="EK5" s="79" t="s">
        <v>33</v>
      </c>
      <c r="EL5" s="79" t="s">
        <v>33</v>
      </c>
      <c r="EM5" s="79" t="s">
        <v>33</v>
      </c>
      <c r="EN5" s="79" t="s">
        <v>33</v>
      </c>
      <c r="EO5" s="79" t="s">
        <v>33</v>
      </c>
      <c r="EP5" s="79" t="s">
        <v>33</v>
      </c>
      <c r="EQ5" s="79" t="s">
        <v>33</v>
      </c>
      <c r="ER5" s="79" t="s">
        <v>33</v>
      </c>
      <c r="ES5" s="79" t="s">
        <v>33</v>
      </c>
      <c r="ET5" s="79" t="s">
        <v>33</v>
      </c>
      <c r="EU5" s="79" t="s">
        <v>33</v>
      </c>
      <c r="EV5" s="79" t="s">
        <v>33</v>
      </c>
      <c r="EW5" s="79" t="s">
        <v>33</v>
      </c>
      <c r="EX5" s="79" t="s">
        <v>33</v>
      </c>
      <c r="EY5" s="79" t="s">
        <v>33</v>
      </c>
      <c r="EZ5" s="79" t="s">
        <v>33</v>
      </c>
      <c r="FA5" s="79" t="s">
        <v>33</v>
      </c>
      <c r="FB5" s="79" t="s">
        <v>33</v>
      </c>
      <c r="FC5" s="79" t="s">
        <v>33</v>
      </c>
      <c r="FD5" s="79" t="s">
        <v>33</v>
      </c>
      <c r="FE5" s="79" t="s">
        <v>33</v>
      </c>
      <c r="FF5" s="79" t="s">
        <v>33</v>
      </c>
      <c r="FG5" s="79" t="s">
        <v>33</v>
      </c>
      <c r="FH5" s="79" t="s">
        <v>33</v>
      </c>
      <c r="FI5" s="79" t="s">
        <v>33</v>
      </c>
      <c r="FJ5" s="79" t="s">
        <v>33</v>
      </c>
      <c r="FK5" s="79" t="s">
        <v>461</v>
      </c>
      <c r="FL5" s="79" t="s">
        <v>33</v>
      </c>
      <c r="FM5" s="79" t="s">
        <v>33</v>
      </c>
      <c r="FN5" s="79" t="s">
        <v>33</v>
      </c>
      <c r="FO5" s="79" t="s">
        <v>33</v>
      </c>
      <c r="FP5" s="79" t="s">
        <v>33</v>
      </c>
      <c r="FQ5" s="79" t="s">
        <v>33</v>
      </c>
      <c r="FR5" s="79" t="s">
        <v>33</v>
      </c>
      <c r="FS5" s="79" t="s">
        <v>33</v>
      </c>
      <c r="FT5" s="79" t="s">
        <v>33</v>
      </c>
      <c r="FU5" s="79" t="s">
        <v>33</v>
      </c>
      <c r="FV5" s="79" t="s">
        <v>33</v>
      </c>
      <c r="FW5" s="79" t="s">
        <v>33</v>
      </c>
      <c r="FX5" s="79" t="s">
        <v>33</v>
      </c>
      <c r="FY5" s="79" t="s">
        <v>33</v>
      </c>
      <c r="FZ5" s="79" t="s">
        <v>33</v>
      </c>
      <c r="GA5" s="79" t="s">
        <v>33</v>
      </c>
      <c r="GB5" s="79" t="s">
        <v>33</v>
      </c>
      <c r="GC5" s="79" t="s">
        <v>33</v>
      </c>
      <c r="GD5" s="79" t="s">
        <v>33</v>
      </c>
      <c r="GE5" s="79" t="s">
        <v>33</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row>
    <row r="6" spans="1:257" ht="14.1" hidden="1" customHeight="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133"/>
      <c r="EF6" s="133"/>
      <c r="EG6" s="93">
        <v>1</v>
      </c>
      <c r="EH6" s="93">
        <v>1</v>
      </c>
      <c r="EI6" s="93">
        <v>1</v>
      </c>
      <c r="EJ6" s="93">
        <v>1</v>
      </c>
      <c r="EK6" s="93">
        <v>1</v>
      </c>
      <c r="EL6" s="93">
        <v>1</v>
      </c>
      <c r="EM6" s="93">
        <v>1</v>
      </c>
      <c r="EN6" s="93">
        <v>1</v>
      </c>
      <c r="EO6" s="93">
        <v>1</v>
      </c>
      <c r="EP6" s="93">
        <v>1</v>
      </c>
      <c r="EQ6" s="93">
        <v>1</v>
      </c>
      <c r="ER6" s="93">
        <v>1</v>
      </c>
      <c r="ES6" s="93">
        <v>1</v>
      </c>
      <c r="ET6" s="93">
        <v>1</v>
      </c>
      <c r="EU6" s="93">
        <v>1</v>
      </c>
      <c r="EV6" s="93">
        <v>1</v>
      </c>
      <c r="EW6" s="93">
        <v>1</v>
      </c>
      <c r="EX6" s="93">
        <v>1</v>
      </c>
      <c r="EY6" s="93">
        <v>1</v>
      </c>
      <c r="EZ6" s="93">
        <v>1</v>
      </c>
      <c r="FA6" s="93">
        <v>1</v>
      </c>
      <c r="FB6" s="93">
        <v>1</v>
      </c>
      <c r="FC6" s="93">
        <v>1</v>
      </c>
      <c r="FD6" s="93">
        <v>1</v>
      </c>
      <c r="FE6" s="93">
        <v>1</v>
      </c>
      <c r="FF6" s="93">
        <v>1</v>
      </c>
      <c r="FG6" s="93">
        <v>1</v>
      </c>
      <c r="FH6" s="93">
        <v>1</v>
      </c>
      <c r="FI6" s="93">
        <v>1</v>
      </c>
      <c r="FJ6" s="93">
        <v>1</v>
      </c>
      <c r="FK6" s="93">
        <v>2</v>
      </c>
      <c r="FL6" s="93">
        <v>2</v>
      </c>
      <c r="FM6" s="93">
        <v>2</v>
      </c>
      <c r="FN6" s="93">
        <v>2</v>
      </c>
      <c r="FO6" s="93">
        <v>2</v>
      </c>
      <c r="FP6" s="93">
        <v>2</v>
      </c>
      <c r="FQ6" s="93">
        <v>2</v>
      </c>
      <c r="FR6" s="93">
        <v>2</v>
      </c>
      <c r="FS6" s="93">
        <v>2</v>
      </c>
      <c r="FT6" s="93">
        <v>2</v>
      </c>
      <c r="FU6" s="93">
        <v>2</v>
      </c>
      <c r="FV6" s="93">
        <v>2</v>
      </c>
      <c r="FW6" s="93">
        <v>2</v>
      </c>
      <c r="FX6" s="93">
        <v>2</v>
      </c>
      <c r="FY6" s="93">
        <v>2</v>
      </c>
      <c r="FZ6" s="93">
        <v>2</v>
      </c>
      <c r="GA6" s="93">
        <v>2</v>
      </c>
      <c r="GB6" s="93">
        <v>2</v>
      </c>
      <c r="GC6" s="93">
        <v>2</v>
      </c>
      <c r="GD6" s="93">
        <v>2</v>
      </c>
      <c r="GE6" s="93">
        <v>2</v>
      </c>
      <c r="GF6" s="93">
        <v>2</v>
      </c>
      <c r="GG6" s="93">
        <v>2</v>
      </c>
      <c r="GH6" s="93">
        <v>2</v>
      </c>
      <c r="GI6" s="93">
        <v>2</v>
      </c>
      <c r="GJ6" s="93">
        <v>2</v>
      </c>
      <c r="GK6" s="93">
        <v>2</v>
      </c>
      <c r="GL6" s="93">
        <v>2</v>
      </c>
      <c r="GM6" s="93">
        <v>2</v>
      </c>
      <c r="GN6" s="93">
        <v>2</v>
      </c>
      <c r="GO6" s="93"/>
      <c r="GP6" s="93"/>
      <c r="GQ6" s="93"/>
      <c r="GR6" s="93"/>
      <c r="GS6" s="93"/>
      <c r="GT6" s="93"/>
      <c r="GU6" s="93"/>
      <c r="GV6" s="93"/>
      <c r="GW6" s="93"/>
      <c r="GX6" s="93"/>
      <c r="GY6" s="93"/>
      <c r="GZ6" s="93"/>
      <c r="HA6" s="93"/>
      <c r="HB6" s="93"/>
      <c r="HC6" s="93"/>
      <c r="HD6" s="93"/>
      <c r="HE6" s="93"/>
      <c r="HF6" s="93"/>
      <c r="HG6" s="93"/>
      <c r="HH6" s="93"/>
      <c r="HI6" s="93"/>
      <c r="HJ6" s="93"/>
      <c r="HK6" s="93"/>
      <c r="HL6" s="93"/>
      <c r="HM6" s="93"/>
      <c r="HN6" s="93"/>
      <c r="HO6" s="93"/>
      <c r="HP6" s="93"/>
      <c r="HQ6" s="93"/>
      <c r="HR6" s="93"/>
      <c r="HS6" s="93"/>
      <c r="HT6" s="93"/>
      <c r="HU6" s="93"/>
      <c r="HV6" s="93"/>
      <c r="HW6" s="93"/>
      <c r="HX6" s="93"/>
      <c r="HY6" s="93"/>
      <c r="HZ6" s="93"/>
      <c r="IA6" s="93"/>
      <c r="IB6" s="93"/>
      <c r="IC6" s="93"/>
      <c r="ID6" s="93"/>
      <c r="IE6" s="93"/>
      <c r="IF6" s="93"/>
      <c r="IG6" s="93"/>
      <c r="IH6" s="93"/>
      <c r="II6" s="93"/>
      <c r="IJ6" s="93"/>
      <c r="IK6" s="93"/>
      <c r="IL6" s="93"/>
      <c r="IM6" s="93"/>
      <c r="IN6" s="93"/>
      <c r="IO6" s="93"/>
      <c r="IP6" s="93"/>
      <c r="IQ6" s="93"/>
      <c r="IR6" s="93"/>
      <c r="IS6" s="93"/>
      <c r="IT6" s="93"/>
      <c r="IU6" s="93"/>
      <c r="IV6" s="93"/>
    </row>
    <row r="7" spans="1:257" ht="14.1" hidden="1" customHeight="1">
      <c r="A7" s="105" t="s">
        <v>40</v>
      </c>
      <c r="B7" s="108" t="s">
        <v>9</v>
      </c>
      <c r="C7" s="105" t="s">
        <v>41</v>
      </c>
      <c r="D7" s="105" t="s">
        <v>42</v>
      </c>
      <c r="E7" s="105" t="s">
        <v>43</v>
      </c>
      <c r="F7" s="105" t="s">
        <v>44</v>
      </c>
      <c r="G7" s="105" t="s">
        <v>45</v>
      </c>
      <c r="H7" s="105" t="s">
        <v>46</v>
      </c>
      <c r="I7" s="105" t="s">
        <v>47</v>
      </c>
      <c r="J7" s="105" t="s">
        <v>48</v>
      </c>
      <c r="K7" s="105" t="s">
        <v>49</v>
      </c>
      <c r="L7" s="105" t="s">
        <v>50</v>
      </c>
      <c r="M7" s="105" t="s">
        <v>51</v>
      </c>
      <c r="N7" s="105" t="s">
        <v>52</v>
      </c>
      <c r="O7" s="105" t="s">
        <v>53</v>
      </c>
      <c r="P7" s="105" t="s">
        <v>54</v>
      </c>
      <c r="Q7" s="105" t="s">
        <v>55</v>
      </c>
      <c r="R7" s="105" t="s">
        <v>56</v>
      </c>
      <c r="S7" s="105" t="s">
        <v>5676</v>
      </c>
      <c r="T7" s="105" t="s">
        <v>57</v>
      </c>
      <c r="U7" s="105" t="s">
        <v>58</v>
      </c>
      <c r="V7" s="105" t="s">
        <v>59</v>
      </c>
      <c r="W7" s="105" t="s">
        <v>60</v>
      </c>
      <c r="X7" s="105" t="s">
        <v>61</v>
      </c>
      <c r="Y7" s="105" t="s">
        <v>62</v>
      </c>
      <c r="Z7" s="105" t="s">
        <v>63</v>
      </c>
      <c r="AA7" s="105" t="s">
        <v>64</v>
      </c>
      <c r="AB7" s="105" t="s">
        <v>5677</v>
      </c>
      <c r="AC7" s="105" t="s">
        <v>65</v>
      </c>
      <c r="AD7" s="105" t="s">
        <v>5674</v>
      </c>
      <c r="AE7" s="108"/>
      <c r="AF7" s="108"/>
      <c r="AG7" s="108" t="s">
        <v>9</v>
      </c>
      <c r="AH7" s="105" t="s">
        <v>41</v>
      </c>
      <c r="AI7" s="105" t="s">
        <v>42</v>
      </c>
      <c r="AJ7" s="105" t="s">
        <v>43</v>
      </c>
      <c r="AK7" s="105" t="s">
        <v>44</v>
      </c>
      <c r="AL7" s="105" t="s">
        <v>45</v>
      </c>
      <c r="AM7" s="105" t="s">
        <v>46</v>
      </c>
      <c r="AN7" s="105" t="s">
        <v>47</v>
      </c>
      <c r="AO7" s="105" t="s">
        <v>48</v>
      </c>
      <c r="AP7" s="105" t="s">
        <v>49</v>
      </c>
      <c r="AQ7" s="105" t="s">
        <v>50</v>
      </c>
      <c r="AR7" s="105" t="s">
        <v>51</v>
      </c>
      <c r="AS7" s="105" t="s">
        <v>52</v>
      </c>
      <c r="AT7" s="105" t="s">
        <v>53</v>
      </c>
      <c r="AU7" s="105" t="s">
        <v>54</v>
      </c>
      <c r="AV7" s="105" t="s">
        <v>55</v>
      </c>
      <c r="AW7" s="105" t="s">
        <v>56</v>
      </c>
      <c r="AX7" s="105" t="s">
        <v>5676</v>
      </c>
      <c r="AY7" s="105" t="s">
        <v>57</v>
      </c>
      <c r="AZ7" s="105" t="s">
        <v>58</v>
      </c>
      <c r="BA7" s="105" t="s">
        <v>59</v>
      </c>
      <c r="BB7" s="105" t="s">
        <v>60</v>
      </c>
      <c r="BC7" s="105" t="s">
        <v>61</v>
      </c>
      <c r="BD7" s="105" t="s">
        <v>62</v>
      </c>
      <c r="BE7" s="105" t="s">
        <v>63</v>
      </c>
      <c r="BF7" s="105" t="s">
        <v>64</v>
      </c>
      <c r="BG7" s="105" t="s">
        <v>5677</v>
      </c>
      <c r="BH7" s="105" t="s">
        <v>65</v>
      </c>
      <c r="BI7" s="105" t="s">
        <v>5674</v>
      </c>
      <c r="BJ7" s="108"/>
      <c r="BK7" s="108"/>
      <c r="BL7" s="108"/>
      <c r="BM7" s="108"/>
      <c r="BN7" s="108"/>
      <c r="BO7" s="108"/>
      <c r="BP7" s="108"/>
      <c r="BQ7" s="145" t="s">
        <v>9</v>
      </c>
      <c r="BR7" s="105" t="s">
        <v>41</v>
      </c>
      <c r="BS7" s="105" t="s">
        <v>42</v>
      </c>
      <c r="BT7" s="105" t="s">
        <v>43</v>
      </c>
      <c r="BU7" s="105" t="s">
        <v>44</v>
      </c>
      <c r="BV7" s="105" t="s">
        <v>45</v>
      </c>
      <c r="BW7" s="105" t="s">
        <v>46</v>
      </c>
      <c r="BX7" s="105" t="s">
        <v>47</v>
      </c>
      <c r="BY7" s="105" t="s">
        <v>48</v>
      </c>
      <c r="BZ7" s="105" t="s">
        <v>49</v>
      </c>
      <c r="CA7" s="105" t="s">
        <v>50</v>
      </c>
      <c r="CB7" s="105" t="s">
        <v>51</v>
      </c>
      <c r="CC7" s="105" t="s">
        <v>52</v>
      </c>
      <c r="CD7" s="105" t="s">
        <v>53</v>
      </c>
      <c r="CE7" s="105" t="s">
        <v>54</v>
      </c>
      <c r="CF7" s="105" t="s">
        <v>55</v>
      </c>
      <c r="CG7" s="105" t="s">
        <v>56</v>
      </c>
      <c r="CH7" s="105" t="s">
        <v>5676</v>
      </c>
      <c r="CI7" s="105" t="s">
        <v>57</v>
      </c>
      <c r="CJ7" s="105" t="s">
        <v>58</v>
      </c>
      <c r="CK7" s="105" t="s">
        <v>59</v>
      </c>
      <c r="CL7" s="105" t="s">
        <v>60</v>
      </c>
      <c r="CM7" s="105" t="s">
        <v>61</v>
      </c>
      <c r="CN7" s="105" t="s">
        <v>62</v>
      </c>
      <c r="CO7" s="105" t="s">
        <v>63</v>
      </c>
      <c r="CP7" s="105" t="s">
        <v>64</v>
      </c>
      <c r="CQ7" s="105" t="s">
        <v>5677</v>
      </c>
      <c r="CR7" s="105" t="s">
        <v>65</v>
      </c>
      <c r="CS7" s="105" t="s">
        <v>5674</v>
      </c>
      <c r="CT7" s="108"/>
      <c r="CU7" s="108"/>
      <c r="CV7" s="108" t="s">
        <v>9</v>
      </c>
      <c r="CW7" s="105" t="s">
        <v>41</v>
      </c>
      <c r="CX7" s="105" t="s">
        <v>42</v>
      </c>
      <c r="CY7" s="105" t="s">
        <v>43</v>
      </c>
      <c r="CZ7" s="105" t="s">
        <v>44</v>
      </c>
      <c r="DA7" s="105" t="s">
        <v>45</v>
      </c>
      <c r="DB7" s="105" t="s">
        <v>46</v>
      </c>
      <c r="DC7" s="105" t="s">
        <v>47</v>
      </c>
      <c r="DD7" s="105" t="s">
        <v>48</v>
      </c>
      <c r="DE7" s="105" t="s">
        <v>49</v>
      </c>
      <c r="DF7" s="105" t="s">
        <v>50</v>
      </c>
      <c r="DG7" s="105" t="s">
        <v>51</v>
      </c>
      <c r="DH7" s="105" t="s">
        <v>52</v>
      </c>
      <c r="DI7" s="105" t="s">
        <v>53</v>
      </c>
      <c r="DJ7" s="105" t="s">
        <v>54</v>
      </c>
      <c r="DK7" s="105" t="s">
        <v>55</v>
      </c>
      <c r="DL7" s="105" t="s">
        <v>56</v>
      </c>
      <c r="DM7" s="105" t="s">
        <v>5676</v>
      </c>
      <c r="DN7" s="105" t="s">
        <v>57</v>
      </c>
      <c r="DO7" s="105" t="s">
        <v>58</v>
      </c>
      <c r="DP7" s="105" t="s">
        <v>59</v>
      </c>
      <c r="DQ7" s="105" t="s">
        <v>60</v>
      </c>
      <c r="DR7" s="105" t="s">
        <v>61</v>
      </c>
      <c r="DS7" s="105" t="s">
        <v>62</v>
      </c>
      <c r="DT7" s="105" t="s">
        <v>63</v>
      </c>
      <c r="DU7" s="105" t="s">
        <v>64</v>
      </c>
      <c r="DV7" s="105" t="s">
        <v>5677</v>
      </c>
      <c r="DW7" s="105" t="s">
        <v>65</v>
      </c>
      <c r="DX7" s="105" t="s">
        <v>5674</v>
      </c>
      <c r="DY7" s="140"/>
      <c r="DZ7" s="108"/>
      <c r="EA7" s="108"/>
      <c r="EB7" s="108"/>
      <c r="EC7" s="108"/>
      <c r="ED7" s="108"/>
      <c r="EE7" s="108"/>
      <c r="EF7" s="108"/>
      <c r="EH7" s="79" t="s">
        <v>9</v>
      </c>
      <c r="EI7" s="80" t="s">
        <v>41</v>
      </c>
      <c r="EJ7" s="80" t="s">
        <v>42</v>
      </c>
      <c r="EK7" s="80" t="s">
        <v>43</v>
      </c>
      <c r="EL7" s="80" t="s">
        <v>44</v>
      </c>
      <c r="EM7" s="80" t="s">
        <v>45</v>
      </c>
      <c r="EN7" s="80" t="s">
        <v>46</v>
      </c>
      <c r="EO7" s="80" t="s">
        <v>47</v>
      </c>
      <c r="EP7" s="80" t="s">
        <v>48</v>
      </c>
      <c r="EQ7" s="80" t="s">
        <v>49</v>
      </c>
      <c r="ER7" s="80" t="s">
        <v>50</v>
      </c>
      <c r="ES7" s="80" t="s">
        <v>51</v>
      </c>
      <c r="ET7" s="80" t="s">
        <v>52</v>
      </c>
      <c r="EU7" s="80" t="s">
        <v>53</v>
      </c>
      <c r="EV7" s="80" t="s">
        <v>54</v>
      </c>
      <c r="EW7" s="80" t="s">
        <v>55</v>
      </c>
      <c r="EX7" s="80" t="s">
        <v>56</v>
      </c>
      <c r="EY7" s="80" t="s">
        <v>5676</v>
      </c>
      <c r="EZ7" s="80" t="s">
        <v>57</v>
      </c>
      <c r="FA7" s="80" t="s">
        <v>58</v>
      </c>
      <c r="FB7" s="80" t="s">
        <v>59</v>
      </c>
      <c r="FC7" s="80" t="s">
        <v>60</v>
      </c>
      <c r="FD7" s="80" t="s">
        <v>61</v>
      </c>
      <c r="FE7" s="80" t="s">
        <v>62</v>
      </c>
      <c r="FF7" s="80" t="s">
        <v>63</v>
      </c>
      <c r="FG7" s="80" t="s">
        <v>64</v>
      </c>
      <c r="FH7" s="80" t="s">
        <v>5677</v>
      </c>
      <c r="FI7" s="80" t="s">
        <v>65</v>
      </c>
      <c r="FJ7" s="80" t="s">
        <v>5674</v>
      </c>
      <c r="FL7" s="79" t="s">
        <v>9</v>
      </c>
      <c r="FM7" s="80" t="s">
        <v>41</v>
      </c>
      <c r="FN7" s="80" t="s">
        <v>42</v>
      </c>
      <c r="FO7" s="80" t="s">
        <v>43</v>
      </c>
      <c r="FP7" s="80" t="s">
        <v>44</v>
      </c>
      <c r="FQ7" s="80" t="s">
        <v>45</v>
      </c>
      <c r="FR7" s="80" t="s">
        <v>46</v>
      </c>
      <c r="FS7" s="80" t="s">
        <v>47</v>
      </c>
      <c r="FT7" s="80" t="s">
        <v>48</v>
      </c>
      <c r="FU7" s="80" t="s">
        <v>49</v>
      </c>
      <c r="FV7" s="80" t="s">
        <v>50</v>
      </c>
      <c r="FW7" s="80" t="s">
        <v>51</v>
      </c>
      <c r="FX7" s="80" t="s">
        <v>52</v>
      </c>
      <c r="FY7" s="80" t="s">
        <v>53</v>
      </c>
      <c r="FZ7" s="80" t="s">
        <v>54</v>
      </c>
      <c r="GA7" s="80" t="s">
        <v>55</v>
      </c>
      <c r="GB7" s="80" t="s">
        <v>56</v>
      </c>
      <c r="GC7" s="80" t="s">
        <v>5676</v>
      </c>
      <c r="GD7" s="80" t="s">
        <v>57</v>
      </c>
      <c r="GE7" s="80" t="s">
        <v>58</v>
      </c>
      <c r="GF7" s="80" t="s">
        <v>59</v>
      </c>
      <c r="GG7" s="80" t="s">
        <v>60</v>
      </c>
      <c r="GH7" s="80" t="s">
        <v>61</v>
      </c>
      <c r="GI7" s="80" t="s">
        <v>62</v>
      </c>
      <c r="GJ7" s="80" t="s">
        <v>63</v>
      </c>
      <c r="GK7" s="80" t="s">
        <v>64</v>
      </c>
      <c r="GL7" s="80" t="s">
        <v>5677</v>
      </c>
      <c r="GM7" s="80" t="s">
        <v>65</v>
      </c>
      <c r="GN7" s="80" t="s">
        <v>5674</v>
      </c>
      <c r="GO7" s="108" t="s">
        <v>9</v>
      </c>
      <c r="GP7" s="105" t="s">
        <v>41</v>
      </c>
      <c r="GQ7" s="105" t="s">
        <v>42</v>
      </c>
      <c r="GR7" s="105" t="s">
        <v>43</v>
      </c>
      <c r="GS7" s="105" t="s">
        <v>44</v>
      </c>
      <c r="GT7" s="105" t="s">
        <v>45</v>
      </c>
      <c r="GU7" s="105" t="s">
        <v>46</v>
      </c>
      <c r="GV7" s="105" t="s">
        <v>47</v>
      </c>
      <c r="GW7" s="105" t="s">
        <v>48</v>
      </c>
      <c r="GX7" s="105" t="s">
        <v>49</v>
      </c>
      <c r="GY7" s="105" t="s">
        <v>50</v>
      </c>
      <c r="GZ7" s="105" t="s">
        <v>51</v>
      </c>
      <c r="HA7" s="105" t="s">
        <v>52</v>
      </c>
      <c r="HB7" s="105" t="s">
        <v>53</v>
      </c>
      <c r="HC7" s="105" t="s">
        <v>54</v>
      </c>
      <c r="HD7" s="105" t="s">
        <v>55</v>
      </c>
      <c r="HE7" s="105" t="s">
        <v>56</v>
      </c>
      <c r="HF7" s="105" t="s">
        <v>5676</v>
      </c>
      <c r="HG7" s="105" t="s">
        <v>57</v>
      </c>
      <c r="HH7" s="105" t="s">
        <v>58</v>
      </c>
      <c r="HI7" s="105" t="s">
        <v>59</v>
      </c>
      <c r="HJ7" s="105" t="s">
        <v>60</v>
      </c>
      <c r="HK7" s="105" t="s">
        <v>61</v>
      </c>
      <c r="HL7" s="105" t="s">
        <v>62</v>
      </c>
      <c r="HM7" s="105" t="s">
        <v>63</v>
      </c>
      <c r="HN7" s="105" t="s">
        <v>64</v>
      </c>
      <c r="HO7" s="105" t="s">
        <v>5677</v>
      </c>
      <c r="HP7" s="105" t="s">
        <v>65</v>
      </c>
      <c r="HQ7" s="105" t="s">
        <v>5674</v>
      </c>
      <c r="HR7" s="108"/>
      <c r="HS7" s="108"/>
      <c r="HT7" s="108" t="s">
        <v>9</v>
      </c>
      <c r="HU7" s="1" t="s">
        <v>41</v>
      </c>
      <c r="HV7" s="1" t="s">
        <v>42</v>
      </c>
      <c r="HW7" s="1" t="s">
        <v>43</v>
      </c>
      <c r="HX7" s="1" t="s">
        <v>44</v>
      </c>
      <c r="HY7" s="1" t="s">
        <v>45</v>
      </c>
      <c r="HZ7" s="1" t="s">
        <v>46</v>
      </c>
      <c r="IA7" s="1" t="s">
        <v>47</v>
      </c>
      <c r="IB7" s="1" t="s">
        <v>48</v>
      </c>
      <c r="IC7" s="1" t="s">
        <v>49</v>
      </c>
      <c r="ID7" s="1" t="s">
        <v>50</v>
      </c>
      <c r="IE7" s="1" t="s">
        <v>51</v>
      </c>
      <c r="IF7" s="1" t="s">
        <v>52</v>
      </c>
      <c r="IG7" s="1" t="s">
        <v>53</v>
      </c>
      <c r="IH7" s="1" t="s">
        <v>54</v>
      </c>
      <c r="II7" s="1" t="s">
        <v>55</v>
      </c>
      <c r="IJ7" s="1" t="s">
        <v>56</v>
      </c>
      <c r="IK7" s="1" t="s">
        <v>5676</v>
      </c>
      <c r="IL7" s="1" t="s">
        <v>57</v>
      </c>
      <c r="IM7" s="1" t="s">
        <v>58</v>
      </c>
      <c r="IN7" s="1" t="s">
        <v>59</v>
      </c>
      <c r="IO7" s="1" t="s">
        <v>60</v>
      </c>
      <c r="IP7" s="1" t="s">
        <v>61</v>
      </c>
      <c r="IQ7" s="1" t="s">
        <v>62</v>
      </c>
      <c r="IR7" s="1" t="s">
        <v>63</v>
      </c>
      <c r="IS7" s="1" t="s">
        <v>64</v>
      </c>
      <c r="IT7" s="1" t="s">
        <v>5677</v>
      </c>
      <c r="IU7" s="1" t="s">
        <v>65</v>
      </c>
      <c r="IV7" s="1" t="s">
        <v>5674</v>
      </c>
    </row>
    <row r="8" spans="1:257" s="134" customFormat="1" ht="43.5"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1080</v>
      </c>
      <c r="AF8" s="279" t="s">
        <v>1081</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1082</v>
      </c>
      <c r="BK8" s="18"/>
      <c r="BL8" s="18" t="s">
        <v>5665</v>
      </c>
      <c r="BM8" s="18"/>
      <c r="BN8" s="18" t="s">
        <v>1083</v>
      </c>
      <c r="BO8" s="18" t="s">
        <v>1084</v>
      </c>
      <c r="BP8" s="18"/>
      <c r="BQ8" s="212" t="s">
        <v>5728</v>
      </c>
      <c r="BR8" s="18" t="s">
        <v>6578</v>
      </c>
      <c r="BS8" s="18" t="s">
        <v>6579</v>
      </c>
      <c r="BT8" s="18" t="s">
        <v>6580</v>
      </c>
      <c r="BU8" s="18" t="s">
        <v>6581</v>
      </c>
      <c r="BV8" s="18" t="s">
        <v>6582</v>
      </c>
      <c r="BW8" s="18" t="s">
        <v>6583</v>
      </c>
      <c r="BX8" s="18" t="s">
        <v>6584</v>
      </c>
      <c r="BY8" s="18" t="s">
        <v>6585</v>
      </c>
      <c r="BZ8" s="18" t="s">
        <v>6586</v>
      </c>
      <c r="CA8" s="18" t="s">
        <v>6587</v>
      </c>
      <c r="CB8" s="18" t="s">
        <v>6588</v>
      </c>
      <c r="CC8" s="18" t="s">
        <v>6589</v>
      </c>
      <c r="CD8" s="18" t="s">
        <v>6590</v>
      </c>
      <c r="CE8" s="18" t="s">
        <v>6591</v>
      </c>
      <c r="CF8" s="18" t="s">
        <v>6592</v>
      </c>
      <c r="CG8" s="18" t="s">
        <v>6593</v>
      </c>
      <c r="CH8" s="18" t="s">
        <v>6594</v>
      </c>
      <c r="CI8" s="18" t="s">
        <v>6595</v>
      </c>
      <c r="CJ8" s="18" t="s">
        <v>6596</v>
      </c>
      <c r="CK8" s="18" t="s">
        <v>6597</v>
      </c>
      <c r="CL8" s="18" t="s">
        <v>6598</v>
      </c>
      <c r="CM8" s="18" t="s">
        <v>6599</v>
      </c>
      <c r="CN8" s="18" t="s">
        <v>6600</v>
      </c>
      <c r="CO8" s="18" t="s">
        <v>6601</v>
      </c>
      <c r="CP8" s="18" t="s">
        <v>6602</v>
      </c>
      <c r="CQ8" s="18" t="s">
        <v>6603</v>
      </c>
      <c r="CR8" s="18" t="s">
        <v>6604</v>
      </c>
      <c r="CS8" s="18" t="s">
        <v>6605</v>
      </c>
      <c r="CT8" s="278" t="s">
        <v>1085</v>
      </c>
      <c r="CU8" s="279" t="s">
        <v>1086</v>
      </c>
      <c r="CV8" s="18" t="s">
        <v>1087</v>
      </c>
      <c r="CW8" s="18" t="s">
        <v>6326</v>
      </c>
      <c r="CX8" s="18" t="s">
        <v>6327</v>
      </c>
      <c r="CY8" s="18" t="s">
        <v>6328</v>
      </c>
      <c r="CZ8" s="18" t="s">
        <v>6329</v>
      </c>
      <c r="DA8" s="18" t="s">
        <v>6330</v>
      </c>
      <c r="DB8" s="18" t="s">
        <v>6331</v>
      </c>
      <c r="DC8" s="18" t="s">
        <v>6332</v>
      </c>
      <c r="DD8" s="18" t="s">
        <v>6333</v>
      </c>
      <c r="DE8" s="18" t="s">
        <v>68</v>
      </c>
      <c r="DF8" s="18" t="s">
        <v>6334</v>
      </c>
      <c r="DG8" s="18" t="s">
        <v>6335</v>
      </c>
      <c r="DH8" s="18" t="s">
        <v>6336</v>
      </c>
      <c r="DI8" s="18" t="s">
        <v>6495</v>
      </c>
      <c r="DJ8" s="18" t="s">
        <v>6338</v>
      </c>
      <c r="DK8" s="18" t="s">
        <v>6339</v>
      </c>
      <c r="DL8" s="18" t="s">
        <v>6340</v>
      </c>
      <c r="DM8" s="18" t="s">
        <v>6341</v>
      </c>
      <c r="DN8" s="18" t="s">
        <v>6342</v>
      </c>
      <c r="DO8" s="18" t="s">
        <v>6496</v>
      </c>
      <c r="DP8" s="18" t="s">
        <v>6328</v>
      </c>
      <c r="DQ8" s="18" t="s">
        <v>6335</v>
      </c>
      <c r="DR8" s="18" t="s">
        <v>6344</v>
      </c>
      <c r="DS8" s="18" t="s">
        <v>6345</v>
      </c>
      <c r="DT8" s="18" t="s">
        <v>6335</v>
      </c>
      <c r="DU8" s="18" t="s">
        <v>6335</v>
      </c>
      <c r="DV8" s="18" t="s">
        <v>6335</v>
      </c>
      <c r="DW8" s="18" t="s">
        <v>6346</v>
      </c>
      <c r="DX8" s="18" t="s">
        <v>6347</v>
      </c>
      <c r="DY8" s="5" t="s">
        <v>825</v>
      </c>
      <c r="DZ8" s="18" t="s">
        <v>40</v>
      </c>
      <c r="EA8" s="18"/>
      <c r="EB8" s="18" t="s">
        <v>1088</v>
      </c>
      <c r="EC8" s="18"/>
      <c r="ED8" s="18" t="s">
        <v>1089</v>
      </c>
      <c r="EE8" s="18"/>
      <c r="EF8" s="5" t="s">
        <v>489</v>
      </c>
      <c r="EG8" s="281" t="s">
        <v>490</v>
      </c>
      <c r="EH8" s="5" t="s">
        <v>491</v>
      </c>
      <c r="EI8" s="5" t="s">
        <v>6524</v>
      </c>
      <c r="EJ8" s="5" t="s">
        <v>6525</v>
      </c>
      <c r="EK8" s="5" t="s">
        <v>6526</v>
      </c>
      <c r="EL8" s="5" t="s">
        <v>6527</v>
      </c>
      <c r="EM8" s="5" t="s">
        <v>6528</v>
      </c>
      <c r="EN8" s="5" t="s">
        <v>6529</v>
      </c>
      <c r="EO8" s="5" t="s">
        <v>6530</v>
      </c>
      <c r="EP8" s="5" t="s">
        <v>6531</v>
      </c>
      <c r="EQ8" s="5" t="s">
        <v>6532</v>
      </c>
      <c r="ER8" s="5" t="s">
        <v>6533</v>
      </c>
      <c r="ES8" s="5" t="s">
        <v>6534</v>
      </c>
      <c r="ET8" s="5" t="s">
        <v>6535</v>
      </c>
      <c r="EU8" s="5" t="s">
        <v>6549</v>
      </c>
      <c r="EV8" s="5" t="s">
        <v>6536</v>
      </c>
      <c r="EW8" s="5" t="s">
        <v>6537</v>
      </c>
      <c r="EX8" s="5" t="s">
        <v>6538</v>
      </c>
      <c r="EY8" s="5" t="s">
        <v>6539</v>
      </c>
      <c r="EZ8" s="5" t="s">
        <v>6540</v>
      </c>
      <c r="FA8" s="5" t="s">
        <v>6550</v>
      </c>
      <c r="FB8" s="5" t="s">
        <v>6541</v>
      </c>
      <c r="FC8" s="5" t="s">
        <v>6542</v>
      </c>
      <c r="FD8" s="5" t="s">
        <v>6543</v>
      </c>
      <c r="FE8" s="5" t="s">
        <v>6544</v>
      </c>
      <c r="FF8" s="5" t="s">
        <v>6545</v>
      </c>
      <c r="FG8" s="5" t="s">
        <v>6546</v>
      </c>
      <c r="FH8" s="5" t="s">
        <v>6534</v>
      </c>
      <c r="FI8" s="5" t="s">
        <v>6547</v>
      </c>
      <c r="FJ8" s="282" t="s">
        <v>6548</v>
      </c>
      <c r="FK8" s="281" t="s">
        <v>492</v>
      </c>
      <c r="FL8" s="5" t="s">
        <v>493</v>
      </c>
      <c r="FM8" s="5" t="s">
        <v>6524</v>
      </c>
      <c r="FN8" s="5" t="s">
        <v>6525</v>
      </c>
      <c r="FO8" s="5" t="s">
        <v>6526</v>
      </c>
      <c r="FP8" s="5" t="s">
        <v>6527</v>
      </c>
      <c r="FQ8" s="5" t="s">
        <v>6528</v>
      </c>
      <c r="FR8" s="5" t="s">
        <v>6529</v>
      </c>
      <c r="FS8" s="5" t="s">
        <v>6530</v>
      </c>
      <c r="FT8" s="5" t="s">
        <v>6531</v>
      </c>
      <c r="FU8" s="5" t="s">
        <v>6532</v>
      </c>
      <c r="FV8" s="5" t="s">
        <v>6533</v>
      </c>
      <c r="FW8" s="5" t="s">
        <v>6534</v>
      </c>
      <c r="FX8" s="5" t="s">
        <v>6535</v>
      </c>
      <c r="FY8" s="5" t="s">
        <v>6549</v>
      </c>
      <c r="FZ8" s="5" t="s">
        <v>6536</v>
      </c>
      <c r="GA8" s="5" t="s">
        <v>6537</v>
      </c>
      <c r="GB8" s="5" t="s">
        <v>6538</v>
      </c>
      <c r="GC8" s="5" t="s">
        <v>6539</v>
      </c>
      <c r="GD8" s="5" t="s">
        <v>6540</v>
      </c>
      <c r="GE8" s="5" t="s">
        <v>6550</v>
      </c>
      <c r="GF8" s="5" t="s">
        <v>6541</v>
      </c>
      <c r="GG8" s="5" t="s">
        <v>6542</v>
      </c>
      <c r="GH8" s="5" t="s">
        <v>6543</v>
      </c>
      <c r="GI8" s="5" t="s">
        <v>6544</v>
      </c>
      <c r="GJ8" s="5" t="s">
        <v>6545</v>
      </c>
      <c r="GK8" s="5" t="s">
        <v>6546</v>
      </c>
      <c r="GL8" s="5" t="s">
        <v>6534</v>
      </c>
      <c r="GM8" s="5" t="s">
        <v>6547</v>
      </c>
      <c r="GN8" s="282" t="s">
        <v>6548</v>
      </c>
      <c r="GO8" s="278" t="s">
        <v>6031</v>
      </c>
      <c r="GP8" s="18" t="s">
        <v>6606</v>
      </c>
      <c r="GQ8" s="18" t="s">
        <v>6607</v>
      </c>
      <c r="GR8" s="18" t="s">
        <v>6608</v>
      </c>
      <c r="GS8" s="18" t="s">
        <v>6609</v>
      </c>
      <c r="GT8" s="18" t="s">
        <v>6610</v>
      </c>
      <c r="GU8" s="18" t="s">
        <v>6611</v>
      </c>
      <c r="GV8" s="18" t="s">
        <v>6612</v>
      </c>
      <c r="GW8" s="18" t="s">
        <v>6613</v>
      </c>
      <c r="GX8" s="18" t="s">
        <v>6614</v>
      </c>
      <c r="GY8" s="18" t="s">
        <v>6615</v>
      </c>
      <c r="GZ8" s="18" t="s">
        <v>6616</v>
      </c>
      <c r="HA8" s="18" t="s">
        <v>6617</v>
      </c>
      <c r="HB8" s="18" t="s">
        <v>6618</v>
      </c>
      <c r="HC8" s="18" t="s">
        <v>6619</v>
      </c>
      <c r="HD8" s="18" t="s">
        <v>6620</v>
      </c>
      <c r="HE8" s="18" t="s">
        <v>6621</v>
      </c>
      <c r="HF8" s="18" t="s">
        <v>6622</v>
      </c>
      <c r="HG8" s="18" t="s">
        <v>6623</v>
      </c>
      <c r="HH8" s="18" t="s">
        <v>6624</v>
      </c>
      <c r="HI8" s="18" t="s">
        <v>6625</v>
      </c>
      <c r="HJ8" s="18" t="s">
        <v>6626</v>
      </c>
      <c r="HK8" s="18" t="s">
        <v>6627</v>
      </c>
      <c r="HL8" s="18" t="s">
        <v>6628</v>
      </c>
      <c r="HM8" s="18" t="s">
        <v>6629</v>
      </c>
      <c r="HN8" s="18" t="s">
        <v>6630</v>
      </c>
      <c r="HO8" s="18" t="s">
        <v>6631</v>
      </c>
      <c r="HP8" s="18" t="s">
        <v>6632</v>
      </c>
      <c r="HQ8" s="18" t="s">
        <v>6633</v>
      </c>
      <c r="HR8" s="278" t="s">
        <v>1090</v>
      </c>
      <c r="HS8" s="279" t="s">
        <v>1091</v>
      </c>
      <c r="HT8" s="18" t="s">
        <v>1092</v>
      </c>
      <c r="HU8" s="66" t="s">
        <v>6326</v>
      </c>
      <c r="HV8" s="66" t="s">
        <v>6327</v>
      </c>
      <c r="HW8" s="66" t="s">
        <v>6328</v>
      </c>
      <c r="HX8" s="66" t="s">
        <v>6329</v>
      </c>
      <c r="HY8" s="66" t="s">
        <v>6330</v>
      </c>
      <c r="HZ8" s="66" t="s">
        <v>6331</v>
      </c>
      <c r="IA8" s="66" t="s">
        <v>6332</v>
      </c>
      <c r="IB8" s="66" t="s">
        <v>6333</v>
      </c>
      <c r="IC8" s="66" t="s">
        <v>68</v>
      </c>
      <c r="ID8" s="66" t="s">
        <v>6334</v>
      </c>
      <c r="IE8" s="66" t="s">
        <v>6335</v>
      </c>
      <c r="IF8" s="66" t="s">
        <v>6336</v>
      </c>
      <c r="IG8" s="66" t="s">
        <v>6495</v>
      </c>
      <c r="IH8" s="66" t="s">
        <v>6338</v>
      </c>
      <c r="II8" s="66" t="s">
        <v>6339</v>
      </c>
      <c r="IJ8" s="66" t="s">
        <v>6340</v>
      </c>
      <c r="IK8" s="66" t="s">
        <v>6341</v>
      </c>
      <c r="IL8" s="66" t="s">
        <v>6342</v>
      </c>
      <c r="IM8" s="66" t="s">
        <v>6496</v>
      </c>
      <c r="IN8" s="66" t="s">
        <v>6328</v>
      </c>
      <c r="IO8" s="66" t="s">
        <v>6335</v>
      </c>
      <c r="IP8" s="66" t="s">
        <v>6344</v>
      </c>
      <c r="IQ8" s="66" t="s">
        <v>6345</v>
      </c>
      <c r="IR8" s="66" t="s">
        <v>6335</v>
      </c>
      <c r="IS8" s="66" t="s">
        <v>6335</v>
      </c>
      <c r="IT8" s="66" t="s">
        <v>6335</v>
      </c>
      <c r="IU8" s="66" t="s">
        <v>6346</v>
      </c>
      <c r="IV8" s="66" t="s">
        <v>6347</v>
      </c>
      <c r="IW8" s="124"/>
    </row>
    <row r="9" spans="1:257" s="134" customFormat="1" ht="67.5">
      <c r="A9" s="74" t="s">
        <v>66</v>
      </c>
      <c r="B9" s="25" t="s">
        <v>6022</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6023</v>
      </c>
      <c r="AG9" s="25" t="s">
        <v>6051</v>
      </c>
      <c r="AH9" s="25" t="s">
        <v>6219</v>
      </c>
      <c r="AI9" s="25" t="s">
        <v>6220</v>
      </c>
      <c r="AJ9" s="25" t="s">
        <v>6221</v>
      </c>
      <c r="AK9" s="25" t="s">
        <v>6222</v>
      </c>
      <c r="AL9" s="25" t="s">
        <v>6223</v>
      </c>
      <c r="AM9" s="25" t="s">
        <v>6224</v>
      </c>
      <c r="AN9" s="25" t="s">
        <v>6225</v>
      </c>
      <c r="AO9" s="25" t="s">
        <v>6226</v>
      </c>
      <c r="AP9" s="25" t="s">
        <v>6227</v>
      </c>
      <c r="AQ9" s="25" t="s">
        <v>6228</v>
      </c>
      <c r="AR9" s="25" t="s">
        <v>6229</v>
      </c>
      <c r="AS9" s="25" t="s">
        <v>6230</v>
      </c>
      <c r="AT9" s="25" t="s">
        <v>6231</v>
      </c>
      <c r="AU9" s="25" t="s">
        <v>6232</v>
      </c>
      <c r="AV9" s="25" t="s">
        <v>6233</v>
      </c>
      <c r="AW9" s="25" t="s">
        <v>6234</v>
      </c>
      <c r="AX9" s="25" t="s">
        <v>6235</v>
      </c>
      <c r="AY9" s="25" t="s">
        <v>6236</v>
      </c>
      <c r="AZ9" s="25" t="s">
        <v>6237</v>
      </c>
      <c r="BA9" s="25" t="s">
        <v>6238</v>
      </c>
      <c r="BB9" s="25" t="s">
        <v>6239</v>
      </c>
      <c r="BC9" s="25" t="s">
        <v>6240</v>
      </c>
      <c r="BD9" s="25" t="s">
        <v>6241</v>
      </c>
      <c r="BE9" s="25" t="s">
        <v>6242</v>
      </c>
      <c r="BF9" s="25" t="s">
        <v>6243</v>
      </c>
      <c r="BG9" s="25" t="s">
        <v>6244</v>
      </c>
      <c r="BH9" s="25" t="s">
        <v>6245</v>
      </c>
      <c r="BI9" s="25" t="s">
        <v>6246</v>
      </c>
      <c r="BJ9" s="25" t="s">
        <v>1093</v>
      </c>
      <c r="BK9" s="25"/>
      <c r="BL9" s="25" t="s">
        <v>6024</v>
      </c>
      <c r="BM9" s="25"/>
      <c r="BN9" s="25" t="s">
        <v>1094</v>
      </c>
      <c r="BO9" s="7" t="s">
        <v>1095</v>
      </c>
      <c r="BP9" s="25"/>
      <c r="BQ9" s="172" t="s">
        <v>6025</v>
      </c>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19" t="s">
        <v>6001</v>
      </c>
      <c r="CU9" s="220" t="s">
        <v>6026</v>
      </c>
      <c r="CV9" s="25" t="s">
        <v>6027</v>
      </c>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75" t="s">
        <v>6043</v>
      </c>
      <c r="DZ9" s="25" t="s">
        <v>6028</v>
      </c>
      <c r="EA9" s="25"/>
      <c r="EB9" s="25" t="s">
        <v>6006</v>
      </c>
      <c r="EC9" s="25"/>
      <c r="ED9" s="25" t="s">
        <v>6029</v>
      </c>
      <c r="EE9" s="25"/>
      <c r="EF9" s="75" t="s">
        <v>6030</v>
      </c>
      <c r="EG9" s="209"/>
      <c r="EH9" s="284" t="s">
        <v>6052</v>
      </c>
      <c r="EI9" s="284"/>
      <c r="EJ9" s="284"/>
      <c r="EK9" s="284"/>
      <c r="EL9" s="284"/>
      <c r="EM9" s="284"/>
      <c r="EN9" s="284"/>
      <c r="EO9" s="284"/>
      <c r="EP9" s="284"/>
      <c r="EQ9" s="284"/>
      <c r="ER9" s="284"/>
      <c r="ES9" s="284"/>
      <c r="ET9" s="284"/>
      <c r="EU9" s="284"/>
      <c r="EV9" s="284"/>
      <c r="EW9" s="284"/>
      <c r="EX9" s="284"/>
      <c r="EY9" s="284"/>
      <c r="EZ9" s="284"/>
      <c r="FA9" s="284"/>
      <c r="FB9" s="284"/>
      <c r="FC9" s="284"/>
      <c r="FD9" s="284"/>
      <c r="FE9" s="284"/>
      <c r="FF9" s="284"/>
      <c r="FG9" s="284"/>
      <c r="FH9" s="284"/>
      <c r="FI9" s="284"/>
      <c r="FJ9" s="283"/>
      <c r="FK9" s="209"/>
      <c r="FL9" s="284" t="s">
        <v>6052</v>
      </c>
      <c r="FM9" s="288"/>
      <c r="FN9" s="288"/>
      <c r="FO9" s="288"/>
      <c r="FP9" s="288"/>
      <c r="FQ9" s="288"/>
      <c r="FR9" s="288"/>
      <c r="FS9" s="288"/>
      <c r="FT9" s="288"/>
      <c r="FU9" s="288"/>
      <c r="FV9" s="288"/>
      <c r="FW9" s="288"/>
      <c r="FX9" s="288"/>
      <c r="FY9" s="288"/>
      <c r="FZ9" s="288"/>
      <c r="GA9" s="288"/>
      <c r="GB9" s="288"/>
      <c r="GC9" s="288"/>
      <c r="GD9" s="288"/>
      <c r="GE9" s="288"/>
      <c r="GF9" s="288"/>
      <c r="GG9" s="288"/>
      <c r="GH9" s="288"/>
      <c r="GI9" s="288"/>
      <c r="GJ9" s="288"/>
      <c r="GK9" s="288"/>
      <c r="GL9" s="288"/>
      <c r="GM9" s="288"/>
      <c r="GN9" s="289"/>
      <c r="GO9" s="293" t="s">
        <v>6033</v>
      </c>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19" t="s">
        <v>6001</v>
      </c>
      <c r="HS9" s="220" t="s">
        <v>6034</v>
      </c>
      <c r="HT9" s="25" t="s">
        <v>6032</v>
      </c>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73"/>
    </row>
    <row r="10" spans="1:257" ht="15" customHeight="1"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84"/>
      <c r="BN10" s="84"/>
      <c r="BO10" s="84"/>
      <c r="BP10" s="84"/>
      <c r="BQ10" s="142" t="s">
        <v>10</v>
      </c>
      <c r="BR10" s="84" t="s">
        <v>78</v>
      </c>
      <c r="BS10" s="84" t="s">
        <v>79</v>
      </c>
      <c r="BT10" s="84" t="s">
        <v>80</v>
      </c>
      <c r="BU10" s="84" t="s">
        <v>81</v>
      </c>
      <c r="BV10" s="84" t="s">
        <v>82</v>
      </c>
      <c r="BW10" s="84" t="s">
        <v>83</v>
      </c>
      <c r="BX10" s="84" t="s">
        <v>84</v>
      </c>
      <c r="BY10" s="84" t="s">
        <v>85</v>
      </c>
      <c r="BZ10" s="84" t="s">
        <v>86</v>
      </c>
      <c r="CA10" s="84" t="s">
        <v>87</v>
      </c>
      <c r="CB10" s="84" t="s">
        <v>88</v>
      </c>
      <c r="CC10" s="84" t="s">
        <v>89</v>
      </c>
      <c r="CD10" s="84" t="s">
        <v>90</v>
      </c>
      <c r="CE10" s="84" t="s">
        <v>91</v>
      </c>
      <c r="CF10" s="84" t="s">
        <v>92</v>
      </c>
      <c r="CG10" s="84" t="s">
        <v>93</v>
      </c>
      <c r="CH10" s="84" t="s">
        <v>5675</v>
      </c>
      <c r="CI10" s="84" t="s">
        <v>94</v>
      </c>
      <c r="CJ10" s="84" t="s">
        <v>12</v>
      </c>
      <c r="CK10" s="84" t="s">
        <v>95</v>
      </c>
      <c r="CL10" s="84" t="s">
        <v>96</v>
      </c>
      <c r="CM10" s="84" t="s">
        <v>97</v>
      </c>
      <c r="CN10" s="84" t="s">
        <v>98</v>
      </c>
      <c r="CO10" s="84" t="s">
        <v>99</v>
      </c>
      <c r="CP10" s="84" t="s">
        <v>100</v>
      </c>
      <c r="CQ10" s="84" t="s">
        <v>5678</v>
      </c>
      <c r="CR10" s="84" t="s">
        <v>101</v>
      </c>
      <c r="CS10" s="84" t="s">
        <v>5679</v>
      </c>
      <c r="CT10" s="84"/>
      <c r="CU10" s="84"/>
      <c r="CV10" s="84" t="s">
        <v>10</v>
      </c>
      <c r="CW10" s="84" t="s">
        <v>78</v>
      </c>
      <c r="CX10" s="84" t="s">
        <v>79</v>
      </c>
      <c r="CY10" s="84" t="s">
        <v>80</v>
      </c>
      <c r="CZ10" s="84" t="s">
        <v>81</v>
      </c>
      <c r="DA10" s="84" t="s">
        <v>82</v>
      </c>
      <c r="DB10" s="84" t="s">
        <v>83</v>
      </c>
      <c r="DC10" s="84" t="s">
        <v>84</v>
      </c>
      <c r="DD10" s="84" t="s">
        <v>85</v>
      </c>
      <c r="DE10" s="84" t="s">
        <v>86</v>
      </c>
      <c r="DF10" s="84" t="s">
        <v>87</v>
      </c>
      <c r="DG10" s="84" t="s">
        <v>88</v>
      </c>
      <c r="DH10" s="84" t="s">
        <v>89</v>
      </c>
      <c r="DI10" s="84" t="s">
        <v>90</v>
      </c>
      <c r="DJ10" s="84" t="s">
        <v>91</v>
      </c>
      <c r="DK10" s="84" t="s">
        <v>92</v>
      </c>
      <c r="DL10" s="84" t="s">
        <v>93</v>
      </c>
      <c r="DM10" s="84" t="s">
        <v>5675</v>
      </c>
      <c r="DN10" s="84" t="s">
        <v>94</v>
      </c>
      <c r="DO10" s="84" t="s">
        <v>12</v>
      </c>
      <c r="DP10" s="84" t="s">
        <v>95</v>
      </c>
      <c r="DQ10" s="84" t="s">
        <v>96</v>
      </c>
      <c r="DR10" s="84" t="s">
        <v>97</v>
      </c>
      <c r="DS10" s="84" t="s">
        <v>98</v>
      </c>
      <c r="DT10" s="84" t="s">
        <v>99</v>
      </c>
      <c r="DU10" s="84" t="s">
        <v>100</v>
      </c>
      <c r="DV10" s="84" t="s">
        <v>5678</v>
      </c>
      <c r="DW10" s="84" t="s">
        <v>101</v>
      </c>
      <c r="DX10" s="84" t="s">
        <v>5679</v>
      </c>
      <c r="DY10" s="84"/>
      <c r="DZ10" s="84"/>
      <c r="EA10" s="84"/>
      <c r="EB10" s="84"/>
      <c r="EC10" s="84"/>
      <c r="ED10" s="84"/>
      <c r="EE10" s="84"/>
      <c r="EF10" s="84"/>
      <c r="EG10" s="84"/>
      <c r="EH10" s="84" t="s">
        <v>10</v>
      </c>
      <c r="EI10" s="84" t="s">
        <v>78</v>
      </c>
      <c r="EJ10" s="84" t="s">
        <v>79</v>
      </c>
      <c r="EK10" s="84" t="s">
        <v>80</v>
      </c>
      <c r="EL10" s="84" t="s">
        <v>81</v>
      </c>
      <c r="EM10" s="84" t="s">
        <v>82</v>
      </c>
      <c r="EN10" s="84" t="s">
        <v>83</v>
      </c>
      <c r="EO10" s="84" t="s">
        <v>84</v>
      </c>
      <c r="EP10" s="84" t="s">
        <v>85</v>
      </c>
      <c r="EQ10" s="84" t="s">
        <v>86</v>
      </c>
      <c r="ER10" s="84" t="s">
        <v>87</v>
      </c>
      <c r="ES10" s="84" t="s">
        <v>88</v>
      </c>
      <c r="ET10" s="84" t="s">
        <v>89</v>
      </c>
      <c r="EU10" s="84" t="s">
        <v>90</v>
      </c>
      <c r="EV10" s="84" t="s">
        <v>91</v>
      </c>
      <c r="EW10" s="84" t="s">
        <v>92</v>
      </c>
      <c r="EX10" s="84" t="s">
        <v>93</v>
      </c>
      <c r="EY10" s="84" t="s">
        <v>5675</v>
      </c>
      <c r="EZ10" s="84" t="s">
        <v>94</v>
      </c>
      <c r="FA10" s="84" t="s">
        <v>12</v>
      </c>
      <c r="FB10" s="84" t="s">
        <v>95</v>
      </c>
      <c r="FC10" s="84" t="s">
        <v>96</v>
      </c>
      <c r="FD10" s="84" t="s">
        <v>97</v>
      </c>
      <c r="FE10" s="84" t="s">
        <v>98</v>
      </c>
      <c r="FF10" s="84" t="s">
        <v>99</v>
      </c>
      <c r="FG10" s="84" t="s">
        <v>100</v>
      </c>
      <c r="FH10" s="84" t="s">
        <v>5678</v>
      </c>
      <c r="FI10" s="84" t="s">
        <v>101</v>
      </c>
      <c r="FJ10" s="84" t="s">
        <v>5679</v>
      </c>
      <c r="FK10" s="84"/>
      <c r="FL10" s="84" t="s">
        <v>10</v>
      </c>
      <c r="FM10" s="84" t="s">
        <v>78</v>
      </c>
      <c r="FN10" s="84" t="s">
        <v>79</v>
      </c>
      <c r="FO10" s="84" t="s">
        <v>80</v>
      </c>
      <c r="FP10" s="84" t="s">
        <v>81</v>
      </c>
      <c r="FQ10" s="84" t="s">
        <v>82</v>
      </c>
      <c r="FR10" s="84" t="s">
        <v>83</v>
      </c>
      <c r="FS10" s="84" t="s">
        <v>84</v>
      </c>
      <c r="FT10" s="84" t="s">
        <v>85</v>
      </c>
      <c r="FU10" s="84" t="s">
        <v>86</v>
      </c>
      <c r="FV10" s="84" t="s">
        <v>87</v>
      </c>
      <c r="FW10" s="84" t="s">
        <v>88</v>
      </c>
      <c r="FX10" s="84" t="s">
        <v>89</v>
      </c>
      <c r="FY10" s="84" t="s">
        <v>90</v>
      </c>
      <c r="FZ10" s="84" t="s">
        <v>91</v>
      </c>
      <c r="GA10" s="84" t="s">
        <v>92</v>
      </c>
      <c r="GB10" s="84" t="s">
        <v>93</v>
      </c>
      <c r="GC10" s="84" t="s">
        <v>5675</v>
      </c>
      <c r="GD10" s="84" t="s">
        <v>94</v>
      </c>
      <c r="GE10" s="84" t="s">
        <v>12</v>
      </c>
      <c r="GF10" s="84" t="s">
        <v>95</v>
      </c>
      <c r="GG10" s="84" t="s">
        <v>96</v>
      </c>
      <c r="GH10" s="84" t="s">
        <v>97</v>
      </c>
      <c r="GI10" s="84" t="s">
        <v>98</v>
      </c>
      <c r="GJ10" s="84" t="s">
        <v>99</v>
      </c>
      <c r="GK10" s="84" t="s">
        <v>100</v>
      </c>
      <c r="GL10" s="84" t="s">
        <v>5678</v>
      </c>
      <c r="GM10" s="84" t="s">
        <v>101</v>
      </c>
      <c r="GN10" s="84" t="s">
        <v>5679</v>
      </c>
      <c r="GO10" s="84" t="s">
        <v>10</v>
      </c>
      <c r="GP10" s="84" t="s">
        <v>78</v>
      </c>
      <c r="GQ10" s="84" t="s">
        <v>79</v>
      </c>
      <c r="GR10" s="84" t="s">
        <v>80</v>
      </c>
      <c r="GS10" s="84" t="s">
        <v>81</v>
      </c>
      <c r="GT10" s="84" t="s">
        <v>82</v>
      </c>
      <c r="GU10" s="84" t="s">
        <v>83</v>
      </c>
      <c r="GV10" s="84" t="s">
        <v>84</v>
      </c>
      <c r="GW10" s="84" t="s">
        <v>85</v>
      </c>
      <c r="GX10" s="84" t="s">
        <v>86</v>
      </c>
      <c r="GY10" s="84" t="s">
        <v>87</v>
      </c>
      <c r="GZ10" s="84" t="s">
        <v>88</v>
      </c>
      <c r="HA10" s="84" t="s">
        <v>89</v>
      </c>
      <c r="HB10" s="84" t="s">
        <v>90</v>
      </c>
      <c r="HC10" s="84" t="s">
        <v>91</v>
      </c>
      <c r="HD10" s="84" t="s">
        <v>92</v>
      </c>
      <c r="HE10" s="84" t="s">
        <v>93</v>
      </c>
      <c r="HF10" s="84" t="s">
        <v>5675</v>
      </c>
      <c r="HG10" s="84" t="s">
        <v>94</v>
      </c>
      <c r="HH10" s="84" t="s">
        <v>12</v>
      </c>
      <c r="HI10" s="84" t="s">
        <v>95</v>
      </c>
      <c r="HJ10" s="84" t="s">
        <v>96</v>
      </c>
      <c r="HK10" s="84" t="s">
        <v>97</v>
      </c>
      <c r="HL10" s="84" t="s">
        <v>98</v>
      </c>
      <c r="HM10" s="84" t="s">
        <v>99</v>
      </c>
      <c r="HN10" s="84" t="s">
        <v>100</v>
      </c>
      <c r="HO10" s="84" t="s">
        <v>5678</v>
      </c>
      <c r="HP10" s="84" t="s">
        <v>101</v>
      </c>
      <c r="HQ10" s="84" t="s">
        <v>5679</v>
      </c>
      <c r="HR10" s="84"/>
      <c r="HS10" s="84"/>
      <c r="HT10" s="84" t="s">
        <v>10</v>
      </c>
      <c r="HU10" s="9" t="s">
        <v>78</v>
      </c>
      <c r="HV10" s="9" t="s">
        <v>79</v>
      </c>
      <c r="HW10" s="9" t="s">
        <v>80</v>
      </c>
      <c r="HX10" s="9" t="s">
        <v>81</v>
      </c>
      <c r="HY10" s="9" t="s">
        <v>82</v>
      </c>
      <c r="HZ10" s="9" t="s">
        <v>83</v>
      </c>
      <c r="IA10" s="9" t="s">
        <v>84</v>
      </c>
      <c r="IB10" s="9" t="s">
        <v>85</v>
      </c>
      <c r="IC10" s="9" t="s">
        <v>86</v>
      </c>
      <c r="ID10" s="9" t="s">
        <v>87</v>
      </c>
      <c r="IE10" s="9" t="s">
        <v>88</v>
      </c>
      <c r="IF10" s="9" t="s">
        <v>89</v>
      </c>
      <c r="IG10" s="9" t="s">
        <v>90</v>
      </c>
      <c r="IH10" s="9" t="s">
        <v>91</v>
      </c>
      <c r="II10" s="9" t="s">
        <v>92</v>
      </c>
      <c r="IJ10" s="9" t="s">
        <v>93</v>
      </c>
      <c r="IK10" s="9" t="s">
        <v>5675</v>
      </c>
      <c r="IL10" s="9" t="s">
        <v>94</v>
      </c>
      <c r="IM10" s="9" t="s">
        <v>12</v>
      </c>
      <c r="IN10" s="9" t="s">
        <v>95</v>
      </c>
      <c r="IO10" s="9" t="s">
        <v>96</v>
      </c>
      <c r="IP10" s="9" t="s">
        <v>97</v>
      </c>
      <c r="IQ10" s="9" t="s">
        <v>98</v>
      </c>
      <c r="IR10" s="9" t="s">
        <v>99</v>
      </c>
      <c r="IS10" s="9" t="s">
        <v>100</v>
      </c>
      <c r="IT10" s="9" t="s">
        <v>5678</v>
      </c>
      <c r="IU10" s="9" t="s">
        <v>101</v>
      </c>
      <c r="IV10" s="9" t="s">
        <v>5679</v>
      </c>
      <c r="IW10" s="127"/>
    </row>
    <row r="11" spans="1:257" s="140"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0"/>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80"/>
      <c r="BK11" s="197"/>
      <c r="BL11" s="180"/>
      <c r="BM11" s="197"/>
      <c r="BN11" s="208"/>
      <c r="BO11" s="197"/>
      <c r="BP11" s="197"/>
      <c r="BQ11" s="199"/>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76"/>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80"/>
      <c r="EA11" s="197"/>
      <c r="EB11" s="181"/>
      <c r="EC11" s="197"/>
      <c r="ED11" s="181"/>
      <c r="EE11" s="197"/>
      <c r="EF11" s="197"/>
      <c r="EG11" s="179"/>
      <c r="EH11" s="179"/>
      <c r="EI11" s="179"/>
      <c r="EJ11" s="179"/>
      <c r="EK11" s="179"/>
      <c r="EL11" s="179"/>
      <c r="EM11" s="179"/>
      <c r="EN11" s="179"/>
      <c r="EO11" s="179"/>
      <c r="EP11" s="179"/>
      <c r="EQ11" s="179"/>
      <c r="ER11" s="179"/>
      <c r="ES11" s="179"/>
      <c r="ET11" s="179"/>
      <c r="EU11" s="179"/>
      <c r="EV11" s="179"/>
      <c r="EW11" s="179"/>
      <c r="EX11" s="179"/>
      <c r="EY11" s="179"/>
      <c r="EZ11" s="179"/>
      <c r="FA11" s="179"/>
      <c r="FB11" s="179"/>
      <c r="FC11" s="179"/>
      <c r="FD11" s="179"/>
      <c r="FE11" s="179"/>
      <c r="FF11" s="179"/>
      <c r="FG11" s="179"/>
      <c r="FH11" s="179"/>
      <c r="FI11" s="179"/>
      <c r="FJ11" s="179"/>
      <c r="FK11" s="179"/>
      <c r="FL11" s="179"/>
      <c r="FM11" s="179"/>
      <c r="FN11" s="179"/>
      <c r="FO11" s="179"/>
      <c r="FP11" s="179"/>
      <c r="FQ11" s="179"/>
      <c r="FR11" s="179"/>
      <c r="FS11" s="179"/>
      <c r="FT11" s="179"/>
      <c r="FU11" s="179"/>
      <c r="FV11" s="179"/>
      <c r="FW11" s="179"/>
      <c r="FX11" s="179"/>
      <c r="FY11" s="179"/>
      <c r="FZ11" s="179"/>
      <c r="GA11" s="179"/>
      <c r="GB11" s="179"/>
      <c r="GC11" s="179"/>
      <c r="GD11" s="179"/>
      <c r="GE11" s="179"/>
      <c r="GF11" s="179"/>
      <c r="GG11" s="179"/>
      <c r="GH11" s="179"/>
      <c r="GI11" s="179"/>
      <c r="GJ11" s="179"/>
      <c r="GK11" s="179"/>
      <c r="GL11" s="179"/>
      <c r="GM11" s="179"/>
      <c r="GN11" s="179"/>
      <c r="GO11" s="179"/>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97"/>
      <c r="HT11" s="179"/>
      <c r="HU11" s="179"/>
      <c r="HV11" s="179"/>
      <c r="HW11" s="179"/>
      <c r="HX11" s="179"/>
      <c r="HY11" s="179"/>
      <c r="HZ11" s="179"/>
      <c r="IA11" s="179"/>
      <c r="IB11" s="179"/>
      <c r="IC11" s="179"/>
      <c r="ID11" s="179"/>
      <c r="IE11" s="179"/>
      <c r="IF11" s="179"/>
      <c r="IG11" s="179"/>
      <c r="IH11" s="179"/>
      <c r="II11" s="179"/>
      <c r="IJ11" s="179"/>
      <c r="IK11" s="179"/>
      <c r="IL11" s="179"/>
      <c r="IM11" s="179"/>
      <c r="IN11" s="179"/>
      <c r="IO11" s="179"/>
      <c r="IP11" s="179"/>
      <c r="IQ11" s="179"/>
      <c r="IR11" s="179"/>
      <c r="IS11" s="179"/>
      <c r="IT11" s="179"/>
      <c r="IU11" s="179"/>
      <c r="IV11" s="179"/>
      <c r="IW11" s="119"/>
    </row>
    <row r="12" spans="1:257" s="116" customFormat="1" ht="43.5" hidden="1" customHeight="1">
      <c r="A12" s="79"/>
      <c r="B12" s="79" t="s">
        <v>1096</v>
      </c>
      <c r="C12" s="79" t="s">
        <v>1097</v>
      </c>
      <c r="D12" s="79" t="s">
        <v>1098</v>
      </c>
      <c r="E12" s="79" t="s">
        <v>1099</v>
      </c>
      <c r="F12" s="79" t="s">
        <v>1100</v>
      </c>
      <c r="G12" s="79" t="s">
        <v>1101</v>
      </c>
      <c r="H12" s="79" t="s">
        <v>1102</v>
      </c>
      <c r="I12" s="79" t="s">
        <v>1103</v>
      </c>
      <c r="J12" s="79" t="s">
        <v>1104</v>
      </c>
      <c r="K12" s="79" t="s">
        <v>1105</v>
      </c>
      <c r="L12" s="79" t="s">
        <v>1106</v>
      </c>
      <c r="M12" s="79" t="s">
        <v>1107</v>
      </c>
      <c r="N12" s="79" t="s">
        <v>1108</v>
      </c>
      <c r="O12" s="79" t="s">
        <v>1109</v>
      </c>
      <c r="P12" s="79" t="s">
        <v>1110</v>
      </c>
      <c r="Q12" s="79" t="s">
        <v>1111</v>
      </c>
      <c r="R12" s="79" t="s">
        <v>1112</v>
      </c>
      <c r="S12" s="79" t="s">
        <v>5780</v>
      </c>
      <c r="T12" s="79" t="s">
        <v>1113</v>
      </c>
      <c r="U12" s="79" t="s">
        <v>1114</v>
      </c>
      <c r="V12" s="79" t="s">
        <v>1115</v>
      </c>
      <c r="W12" s="79" t="s">
        <v>1116</v>
      </c>
      <c r="X12" s="79" t="s">
        <v>1117</v>
      </c>
      <c r="Y12" s="79" t="s">
        <v>1118</v>
      </c>
      <c r="Z12" s="79" t="s">
        <v>1119</v>
      </c>
      <c r="AA12" s="79" t="s">
        <v>1120</v>
      </c>
      <c r="AB12" s="79" t="s">
        <v>5782</v>
      </c>
      <c r="AC12" s="79" t="s">
        <v>1121</v>
      </c>
      <c r="AD12" s="79" t="s">
        <v>5781</v>
      </c>
      <c r="AE12" s="87" t="s">
        <v>1122</v>
      </c>
      <c r="AF12" s="79" t="s">
        <v>1123</v>
      </c>
      <c r="AG12" s="79" t="s">
        <v>1124</v>
      </c>
      <c r="AH12" s="79" t="s">
        <v>1125</v>
      </c>
      <c r="AI12" s="79" t="s">
        <v>1126</v>
      </c>
      <c r="AJ12" s="79" t="s">
        <v>1127</v>
      </c>
      <c r="AK12" s="79" t="s">
        <v>1128</v>
      </c>
      <c r="AL12" s="79" t="s">
        <v>1129</v>
      </c>
      <c r="AM12" s="79" t="s">
        <v>1130</v>
      </c>
      <c r="AN12" s="79" t="s">
        <v>1131</v>
      </c>
      <c r="AO12" s="79" t="s">
        <v>1132</v>
      </c>
      <c r="AP12" s="79" t="s">
        <v>1133</v>
      </c>
      <c r="AQ12" s="79" t="s">
        <v>1134</v>
      </c>
      <c r="AR12" s="79" t="s">
        <v>1135</v>
      </c>
      <c r="AS12" s="79" t="s">
        <v>1136</v>
      </c>
      <c r="AT12" s="79" t="s">
        <v>1137</v>
      </c>
      <c r="AU12" s="79" t="s">
        <v>1138</v>
      </c>
      <c r="AV12" s="79" t="s">
        <v>1139</v>
      </c>
      <c r="AW12" s="79" t="s">
        <v>1140</v>
      </c>
      <c r="AX12" s="79" t="s">
        <v>5783</v>
      </c>
      <c r="AY12" s="79" t="s">
        <v>1141</v>
      </c>
      <c r="AZ12" s="79" t="s">
        <v>1142</v>
      </c>
      <c r="BA12" s="79" t="s">
        <v>1143</v>
      </c>
      <c r="BB12" s="79" t="s">
        <v>1144</v>
      </c>
      <c r="BC12" s="79" t="s">
        <v>1145</v>
      </c>
      <c r="BD12" s="79" t="s">
        <v>1146</v>
      </c>
      <c r="BE12" s="79" t="s">
        <v>1147</v>
      </c>
      <c r="BF12" s="79" t="s">
        <v>1148</v>
      </c>
      <c r="BG12" s="79" t="s">
        <v>5785</v>
      </c>
      <c r="BH12" s="79" t="s">
        <v>1149</v>
      </c>
      <c r="BI12" s="79" t="s">
        <v>5784</v>
      </c>
      <c r="BJ12" s="90" t="s">
        <v>1150</v>
      </c>
      <c r="BK12" s="79" t="s">
        <v>1151</v>
      </c>
      <c r="BL12" s="79" t="s">
        <v>1152</v>
      </c>
      <c r="BM12" s="79" t="s">
        <v>1153</v>
      </c>
      <c r="BN12" s="79" t="s">
        <v>1154</v>
      </c>
      <c r="BO12" s="79" t="s">
        <v>1155</v>
      </c>
      <c r="BP12" s="79" t="s">
        <v>1156</v>
      </c>
      <c r="BQ12" s="145" t="s">
        <v>1157</v>
      </c>
      <c r="BR12" s="79" t="s">
        <v>1158</v>
      </c>
      <c r="BS12" s="79" t="s">
        <v>1159</v>
      </c>
      <c r="BT12" s="79" t="s">
        <v>1160</v>
      </c>
      <c r="BU12" s="79" t="s">
        <v>1161</v>
      </c>
      <c r="BV12" s="79" t="s">
        <v>1162</v>
      </c>
      <c r="BW12" s="79" t="s">
        <v>1163</v>
      </c>
      <c r="BX12" s="79" t="s">
        <v>1164</v>
      </c>
      <c r="BY12" s="79" t="s">
        <v>1165</v>
      </c>
      <c r="BZ12" s="79" t="s">
        <v>1166</v>
      </c>
      <c r="CA12" s="79" t="s">
        <v>1167</v>
      </c>
      <c r="CB12" s="79" t="s">
        <v>1168</v>
      </c>
      <c r="CC12" s="79" t="s">
        <v>1169</v>
      </c>
      <c r="CD12" s="79" t="s">
        <v>1170</v>
      </c>
      <c r="CE12" s="79" t="s">
        <v>1171</v>
      </c>
      <c r="CF12" s="79" t="s">
        <v>1172</v>
      </c>
      <c r="CG12" s="79" t="s">
        <v>1173</v>
      </c>
      <c r="CH12" s="79" t="s">
        <v>5786</v>
      </c>
      <c r="CI12" s="79" t="s">
        <v>1174</v>
      </c>
      <c r="CJ12" s="79" t="s">
        <v>1175</v>
      </c>
      <c r="CK12" s="79" t="s">
        <v>1176</v>
      </c>
      <c r="CL12" s="79" t="s">
        <v>1177</v>
      </c>
      <c r="CM12" s="79" t="s">
        <v>1178</v>
      </c>
      <c r="CN12" s="79" t="s">
        <v>1179</v>
      </c>
      <c r="CO12" s="79" t="s">
        <v>1180</v>
      </c>
      <c r="CP12" s="79" t="s">
        <v>1181</v>
      </c>
      <c r="CQ12" s="79" t="s">
        <v>5788</v>
      </c>
      <c r="CR12" s="79" t="s">
        <v>1182</v>
      </c>
      <c r="CS12" s="79" t="s">
        <v>5787</v>
      </c>
      <c r="CT12" s="79" t="s">
        <v>1183</v>
      </c>
      <c r="CU12" s="79" t="s">
        <v>1184</v>
      </c>
      <c r="CV12" s="79" t="s">
        <v>1185</v>
      </c>
      <c r="CW12" s="79" t="s">
        <v>1186</v>
      </c>
      <c r="CX12" s="79" t="s">
        <v>1187</v>
      </c>
      <c r="CY12" s="79" t="s">
        <v>1188</v>
      </c>
      <c r="CZ12" s="79" t="s">
        <v>1189</v>
      </c>
      <c r="DA12" s="79" t="s">
        <v>1190</v>
      </c>
      <c r="DB12" s="79" t="s">
        <v>1191</v>
      </c>
      <c r="DC12" s="79" t="s">
        <v>1192</v>
      </c>
      <c r="DD12" s="79" t="s">
        <v>1193</v>
      </c>
      <c r="DE12" s="79" t="s">
        <v>1194</v>
      </c>
      <c r="DF12" s="79" t="s">
        <v>1195</v>
      </c>
      <c r="DG12" s="79" t="s">
        <v>1196</v>
      </c>
      <c r="DH12" s="79" t="s">
        <v>1197</v>
      </c>
      <c r="DI12" s="79" t="s">
        <v>1198</v>
      </c>
      <c r="DJ12" s="79" t="s">
        <v>1199</v>
      </c>
      <c r="DK12" s="79" t="s">
        <v>1200</v>
      </c>
      <c r="DL12" s="79" t="s">
        <v>1201</v>
      </c>
      <c r="DM12" s="79" t="s">
        <v>5789</v>
      </c>
      <c r="DN12" s="79" t="s">
        <v>1202</v>
      </c>
      <c r="DO12" s="79" t="s">
        <v>1203</v>
      </c>
      <c r="DP12" s="79" t="s">
        <v>1204</v>
      </c>
      <c r="DQ12" s="79" t="s">
        <v>1205</v>
      </c>
      <c r="DR12" s="79" t="s">
        <v>1206</v>
      </c>
      <c r="DS12" s="79" t="s">
        <v>1207</v>
      </c>
      <c r="DT12" s="79" t="s">
        <v>1208</v>
      </c>
      <c r="DU12" s="79" t="s">
        <v>1209</v>
      </c>
      <c r="DV12" s="79" t="s">
        <v>5791</v>
      </c>
      <c r="DW12" s="79" t="s">
        <v>1210</v>
      </c>
      <c r="DX12" s="79" t="s">
        <v>5790</v>
      </c>
      <c r="DY12" s="79" t="s">
        <v>1211</v>
      </c>
      <c r="DZ12" s="79" t="s">
        <v>1212</v>
      </c>
      <c r="EA12" s="79" t="s">
        <v>1213</v>
      </c>
      <c r="EB12" s="79" t="s">
        <v>1214</v>
      </c>
      <c r="EC12" s="79" t="s">
        <v>1215</v>
      </c>
      <c r="ED12" s="79" t="s">
        <v>228</v>
      </c>
      <c r="EE12" s="79" t="s">
        <v>229</v>
      </c>
      <c r="EF12" s="79" t="s">
        <v>1216</v>
      </c>
      <c r="EG12" s="144" t="s">
        <v>1217</v>
      </c>
      <c r="EH12" s="108" t="s">
        <v>1218</v>
      </c>
      <c r="EI12" s="108" t="s">
        <v>1219</v>
      </c>
      <c r="EJ12" s="108" t="s">
        <v>1220</v>
      </c>
      <c r="EK12" s="108" t="s">
        <v>1221</v>
      </c>
      <c r="EL12" s="108" t="s">
        <v>1222</v>
      </c>
      <c r="EM12" s="108" t="s">
        <v>1223</v>
      </c>
      <c r="EN12" s="108" t="s">
        <v>1224</v>
      </c>
      <c r="EO12" s="108" t="s">
        <v>1225</v>
      </c>
      <c r="EP12" s="108" t="s">
        <v>1226</v>
      </c>
      <c r="EQ12" s="108" t="s">
        <v>1227</v>
      </c>
      <c r="ER12" s="108" t="s">
        <v>1228</v>
      </c>
      <c r="ES12" s="108" t="s">
        <v>1229</v>
      </c>
      <c r="ET12" s="108" t="s">
        <v>1230</v>
      </c>
      <c r="EU12" s="108" t="s">
        <v>1231</v>
      </c>
      <c r="EV12" s="108" t="s">
        <v>1232</v>
      </c>
      <c r="EW12" s="108" t="s">
        <v>1233</v>
      </c>
      <c r="EX12" s="108" t="s">
        <v>1234</v>
      </c>
      <c r="EY12" s="108" t="s">
        <v>5792</v>
      </c>
      <c r="EZ12" s="108" t="s">
        <v>1235</v>
      </c>
      <c r="FA12" s="108" t="s">
        <v>1236</v>
      </c>
      <c r="FB12" s="108" t="s">
        <v>1237</v>
      </c>
      <c r="FC12" s="108" t="s">
        <v>1238</v>
      </c>
      <c r="FD12" s="108" t="s">
        <v>1239</v>
      </c>
      <c r="FE12" s="108" t="s">
        <v>1240</v>
      </c>
      <c r="FF12" s="108" t="s">
        <v>1241</v>
      </c>
      <c r="FG12" s="108" t="s">
        <v>1242</v>
      </c>
      <c r="FH12" s="108" t="s">
        <v>5794</v>
      </c>
      <c r="FI12" s="108" t="s">
        <v>1243</v>
      </c>
      <c r="FJ12" s="108" t="s">
        <v>5793</v>
      </c>
      <c r="FK12" s="108" t="s">
        <v>1244</v>
      </c>
      <c r="FL12" s="108" t="s">
        <v>1245</v>
      </c>
      <c r="FM12" s="117" t="s">
        <v>1246</v>
      </c>
      <c r="FN12" s="117" t="s">
        <v>1247</v>
      </c>
      <c r="FO12" s="117" t="s">
        <v>1248</v>
      </c>
      <c r="FP12" s="117" t="s">
        <v>1249</v>
      </c>
      <c r="FQ12" s="117" t="s">
        <v>1250</v>
      </c>
      <c r="FR12" s="117" t="s">
        <v>1251</v>
      </c>
      <c r="FS12" s="117" t="s">
        <v>1252</v>
      </c>
      <c r="FT12" s="117" t="s">
        <v>1253</v>
      </c>
      <c r="FU12" s="117" t="s">
        <v>1254</v>
      </c>
      <c r="FV12" s="117" t="s">
        <v>1255</v>
      </c>
      <c r="FW12" s="117" t="s">
        <v>1256</v>
      </c>
      <c r="FX12" s="117" t="s">
        <v>1257</v>
      </c>
      <c r="FY12" s="117" t="s">
        <v>1258</v>
      </c>
      <c r="FZ12" s="117" t="s">
        <v>1259</v>
      </c>
      <c r="GA12" s="117" t="s">
        <v>1260</v>
      </c>
      <c r="GB12" s="117" t="s">
        <v>1261</v>
      </c>
      <c r="GC12" s="117" t="s">
        <v>5795</v>
      </c>
      <c r="GD12" s="117" t="s">
        <v>1262</v>
      </c>
      <c r="GE12" s="117" t="s">
        <v>1263</v>
      </c>
      <c r="GF12" s="117" t="s">
        <v>1264</v>
      </c>
      <c r="GG12" s="117" t="s">
        <v>1265</v>
      </c>
      <c r="GH12" s="117" t="s">
        <v>1266</v>
      </c>
      <c r="GI12" s="117" t="s">
        <v>1267</v>
      </c>
      <c r="GJ12" s="117" t="s">
        <v>1268</v>
      </c>
      <c r="GK12" s="117" t="s">
        <v>1269</v>
      </c>
      <c r="GL12" s="117" t="s">
        <v>5797</v>
      </c>
      <c r="GM12" s="117" t="s">
        <v>1270</v>
      </c>
      <c r="GN12" s="117" t="s">
        <v>5796</v>
      </c>
      <c r="GO12" s="79" t="s">
        <v>1271</v>
      </c>
      <c r="GP12" s="79" t="s">
        <v>1272</v>
      </c>
      <c r="GQ12" s="79" t="s">
        <v>1273</v>
      </c>
      <c r="GR12" s="79" t="s">
        <v>1274</v>
      </c>
      <c r="GS12" s="79" t="s">
        <v>1275</v>
      </c>
      <c r="GT12" s="79" t="s">
        <v>1276</v>
      </c>
      <c r="GU12" s="79" t="s">
        <v>1277</v>
      </c>
      <c r="GV12" s="79" t="s">
        <v>1278</v>
      </c>
      <c r="GW12" s="79" t="s">
        <v>1279</v>
      </c>
      <c r="GX12" s="79" t="s">
        <v>1280</v>
      </c>
      <c r="GY12" s="79" t="s">
        <v>1281</v>
      </c>
      <c r="GZ12" s="79" t="s">
        <v>1282</v>
      </c>
      <c r="HA12" s="79" t="s">
        <v>1283</v>
      </c>
      <c r="HB12" s="79" t="s">
        <v>1284</v>
      </c>
      <c r="HC12" s="79" t="s">
        <v>1285</v>
      </c>
      <c r="HD12" s="79" t="s">
        <v>1286</v>
      </c>
      <c r="HE12" s="79" t="s">
        <v>1287</v>
      </c>
      <c r="HF12" s="79" t="s">
        <v>5798</v>
      </c>
      <c r="HG12" s="79" t="s">
        <v>1288</v>
      </c>
      <c r="HH12" s="79" t="s">
        <v>1289</v>
      </c>
      <c r="HI12" s="79" t="s">
        <v>1290</v>
      </c>
      <c r="HJ12" s="79" t="s">
        <v>1291</v>
      </c>
      <c r="HK12" s="79" t="s">
        <v>1292</v>
      </c>
      <c r="HL12" s="79" t="s">
        <v>1293</v>
      </c>
      <c r="HM12" s="79" t="s">
        <v>1294</v>
      </c>
      <c r="HN12" s="79" t="s">
        <v>1295</v>
      </c>
      <c r="HO12" s="79" t="s">
        <v>5800</v>
      </c>
      <c r="HP12" s="79" t="s">
        <v>1296</v>
      </c>
      <c r="HQ12" s="79" t="s">
        <v>5799</v>
      </c>
      <c r="HR12" s="79" t="s">
        <v>1297</v>
      </c>
      <c r="HS12" s="79" t="s">
        <v>1298</v>
      </c>
      <c r="HT12" s="79" t="s">
        <v>1299</v>
      </c>
      <c r="HU12" s="79" t="s">
        <v>1300</v>
      </c>
      <c r="HV12" s="79" t="s">
        <v>1301</v>
      </c>
      <c r="HW12" s="79" t="s">
        <v>1302</v>
      </c>
      <c r="HX12" s="79" t="s">
        <v>1303</v>
      </c>
      <c r="HY12" s="79" t="s">
        <v>1304</v>
      </c>
      <c r="HZ12" s="79" t="s">
        <v>1305</v>
      </c>
      <c r="IA12" s="79" t="s">
        <v>1306</v>
      </c>
      <c r="IB12" s="79" t="s">
        <v>1307</v>
      </c>
      <c r="IC12" s="79" t="s">
        <v>1308</v>
      </c>
      <c r="ID12" s="79" t="s">
        <v>1309</v>
      </c>
      <c r="IE12" s="79" t="s">
        <v>1310</v>
      </c>
      <c r="IF12" s="79" t="s">
        <v>1311</v>
      </c>
      <c r="IG12" s="79" t="s">
        <v>1312</v>
      </c>
      <c r="IH12" s="79" t="s">
        <v>1313</v>
      </c>
      <c r="II12" s="79" t="s">
        <v>1314</v>
      </c>
      <c r="IJ12" s="79" t="s">
        <v>1315</v>
      </c>
      <c r="IK12" s="79" t="s">
        <v>5801</v>
      </c>
      <c r="IL12" s="79" t="s">
        <v>1316</v>
      </c>
      <c r="IM12" s="79" t="s">
        <v>1317</v>
      </c>
      <c r="IN12" s="79" t="s">
        <v>1318</v>
      </c>
      <c r="IO12" s="79" t="s">
        <v>1319</v>
      </c>
      <c r="IP12" s="79" t="s">
        <v>1320</v>
      </c>
      <c r="IQ12" s="79" t="s">
        <v>1321</v>
      </c>
      <c r="IR12" s="79" t="s">
        <v>1322</v>
      </c>
      <c r="IS12" s="79" t="s">
        <v>1323</v>
      </c>
      <c r="IT12" s="79" t="s">
        <v>5803</v>
      </c>
      <c r="IU12" s="79" t="s">
        <v>1324</v>
      </c>
      <c r="IV12" s="79" t="s">
        <v>5802</v>
      </c>
      <c r="IW12" s="114"/>
    </row>
    <row r="13" spans="1:257" ht="29.1" customHeight="1">
      <c r="B13" s="235" t="s">
        <v>6721</v>
      </c>
      <c r="AE13" s="87" t="str">
        <f t="shared" ref="AE13" si="0">IF(ISBLANK(AE$11),"",AE$11)</f>
        <v/>
      </c>
      <c r="AF13" s="87"/>
      <c r="AG13" s="87"/>
      <c r="BJ13" s="87" t="str">
        <f>IF(ISBLANK(BJ$11),"",BJ$11)</f>
        <v/>
      </c>
      <c r="BK13" s="79" t="str" cm="1">
        <f t="array" ref="BK13">MultiMatch(Assessments[[#This Row],[Assessment.assessedBy.Reference.Organisation.]],OrganisationNames,0)</f>
        <v/>
      </c>
      <c r="BL13" s="87" t="str">
        <f>IF(ISBLANK(BL$11),"",BL$11)</f>
        <v/>
      </c>
      <c r="BM13" s="79" t="str" cm="1">
        <f t="array" ref="BM13">MultiMatch(Assessments[[#This Row],[Assessment.idVerification.Reference.name.]],Vocabularies[name],0)</f>
        <v/>
      </c>
      <c r="BN13" s="88" t="str">
        <f>IF(ISBLANK(BN$11),"",(BN$11))</f>
        <v/>
      </c>
      <c r="BO13" s="87" t="s">
        <v>6756</v>
      </c>
      <c r="BP13" s="79" t="str" cm="1">
        <f t="array" ref="BP13">MultiMatch(Assessments[[#This Row],[Assessment.hasPart.MultiReference.Assessment.]],AssessmentNames,0)</f>
        <v>14; 15; 16</v>
      </c>
      <c r="BQ13" s="143" t="str">
        <f>IF(ISBLANK(Assessments[[#This Row],[Assessment.title.Property.content.en]]),"",Assessments[[#This Row],[Assessment.title.Property.content.en]])</f>
        <v>Overall grade</v>
      </c>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t="str">
        <f>IF(ISBLANK(CT$11),"",CT$11)</f>
        <v/>
      </c>
      <c r="CU13" s="87"/>
      <c r="CV13" s="87"/>
      <c r="CW13" s="8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103"/>
      <c r="DZ13" s="87" t="str">
        <f>IF(ISBLANK(DZ$11),"",DZ$11)</f>
        <v/>
      </c>
      <c r="EA13" s="87" t="str" cm="1">
        <f t="array" ref="EA13">MultiMatch(Assessments[[#This Row],[Assessment.specifiedBy.language.Multireference.]],Vocabularies[name],0)</f>
        <v/>
      </c>
      <c r="EB13" s="87" t="str">
        <f>IF(ISBLANK(EB$11),"",EB$11)</f>
        <v/>
      </c>
      <c r="EC13" s="87" t="str" cm="1">
        <f t="array" ref="EC13">MultiMatch(Assessments[[#This Row],[Assessment.specifiedBy.mode.Multireference.]],Vocabularies[name],0)</f>
        <v/>
      </c>
      <c r="ED13" s="87" t="str">
        <f>IF(ISBLANK(ED$11),"",ED$11)</f>
        <v/>
      </c>
      <c r="EE13" s="87" t="str" cm="1">
        <f t="array" ref="EE13">MultiMatch(Assessments[[#This Row],[Column2]],Vocabularies[name],0)</f>
        <v/>
      </c>
      <c r="EF13" s="103"/>
      <c r="EG13" s="87" t="str">
        <f t="shared" ref="EG13" si="1">IF(ISBLANK(EG$11),"",EG$11)</f>
        <v/>
      </c>
      <c r="EH13" s="87" t="str">
        <f t="shared" ref="EH13:FJ13" si="2">IF(ISBLANK(EH$11),"",EH$11)</f>
        <v/>
      </c>
      <c r="EI13" s="87" t="str">
        <f t="shared" si="2"/>
        <v/>
      </c>
      <c r="EJ13" s="87" t="str">
        <f t="shared" si="2"/>
        <v/>
      </c>
      <c r="EK13" s="87" t="str">
        <f t="shared" si="2"/>
        <v/>
      </c>
      <c r="EL13" s="87" t="str">
        <f t="shared" si="2"/>
        <v/>
      </c>
      <c r="EM13" s="87" t="str">
        <f t="shared" si="2"/>
        <v/>
      </c>
      <c r="EN13" s="87" t="str">
        <f t="shared" si="2"/>
        <v/>
      </c>
      <c r="EO13" s="87" t="str">
        <f t="shared" si="2"/>
        <v/>
      </c>
      <c r="EP13" s="87" t="str">
        <f t="shared" si="2"/>
        <v/>
      </c>
      <c r="EQ13" s="87" t="str">
        <f t="shared" si="2"/>
        <v/>
      </c>
      <c r="ER13" s="87" t="str">
        <f t="shared" si="2"/>
        <v/>
      </c>
      <c r="ES13" s="87" t="str">
        <f t="shared" si="2"/>
        <v/>
      </c>
      <c r="ET13" s="87" t="str">
        <f t="shared" si="2"/>
        <v/>
      </c>
      <c r="EU13" s="87" t="str">
        <f t="shared" si="2"/>
        <v/>
      </c>
      <c r="EV13" s="87" t="str">
        <f t="shared" si="2"/>
        <v/>
      </c>
      <c r="EW13" s="87" t="str">
        <f t="shared" si="2"/>
        <v/>
      </c>
      <c r="EX13" s="87" t="str">
        <f t="shared" si="2"/>
        <v/>
      </c>
      <c r="EY13" s="87"/>
      <c r="EZ13" s="87" t="str">
        <f t="shared" si="2"/>
        <v/>
      </c>
      <c r="FA13" s="87" t="str">
        <f t="shared" si="2"/>
        <v/>
      </c>
      <c r="FB13" s="87" t="str">
        <f t="shared" si="2"/>
        <v/>
      </c>
      <c r="FC13" s="87" t="str">
        <f t="shared" si="2"/>
        <v/>
      </c>
      <c r="FD13" s="87" t="str">
        <f t="shared" si="2"/>
        <v/>
      </c>
      <c r="FE13" s="87" t="str">
        <f t="shared" si="2"/>
        <v/>
      </c>
      <c r="FF13" s="87" t="str">
        <f t="shared" si="2"/>
        <v/>
      </c>
      <c r="FG13" s="87" t="str">
        <f t="shared" si="2"/>
        <v/>
      </c>
      <c r="FH13" s="87"/>
      <c r="FI13" s="87"/>
      <c r="FJ13" s="87" t="str">
        <f t="shared" si="2"/>
        <v/>
      </c>
      <c r="FK13" s="87" t="str">
        <f t="shared" ref="FK13:GN13" si="3">IF(ISBLANK(FK$11),"",FK$11)</f>
        <v/>
      </c>
      <c r="FL13" s="87" t="str">
        <f t="shared" si="3"/>
        <v/>
      </c>
      <c r="FM13" s="87" t="str">
        <f t="shared" si="3"/>
        <v/>
      </c>
      <c r="FN13" s="87" t="str">
        <f t="shared" si="3"/>
        <v/>
      </c>
      <c r="FO13" s="87" t="str">
        <f t="shared" si="3"/>
        <v/>
      </c>
      <c r="FP13" s="87" t="str">
        <f t="shared" si="3"/>
        <v/>
      </c>
      <c r="FQ13" s="87" t="str">
        <f t="shared" si="3"/>
        <v/>
      </c>
      <c r="FR13" s="87" t="str">
        <f t="shared" si="3"/>
        <v/>
      </c>
      <c r="FS13" s="87" t="str">
        <f t="shared" si="3"/>
        <v/>
      </c>
      <c r="FT13" s="87" t="str">
        <f t="shared" si="3"/>
        <v/>
      </c>
      <c r="FU13" s="87" t="str">
        <f t="shared" si="3"/>
        <v/>
      </c>
      <c r="FV13" s="87" t="str">
        <f t="shared" si="3"/>
        <v/>
      </c>
      <c r="FW13" s="87" t="str">
        <f t="shared" si="3"/>
        <v/>
      </c>
      <c r="FX13" s="87" t="str">
        <f t="shared" si="3"/>
        <v/>
      </c>
      <c r="FY13" s="87" t="str">
        <f t="shared" si="3"/>
        <v/>
      </c>
      <c r="FZ13" s="87" t="str">
        <f t="shared" si="3"/>
        <v/>
      </c>
      <c r="GA13" s="87" t="str">
        <f t="shared" si="3"/>
        <v/>
      </c>
      <c r="GB13" s="87" t="str">
        <f t="shared" si="3"/>
        <v/>
      </c>
      <c r="GC13" s="87" t="str">
        <f t="shared" si="3"/>
        <v/>
      </c>
      <c r="GD13" s="87" t="str">
        <f t="shared" si="3"/>
        <v/>
      </c>
      <c r="GE13" s="87" t="str">
        <f t="shared" si="3"/>
        <v/>
      </c>
      <c r="GF13" s="87" t="str">
        <f t="shared" si="3"/>
        <v/>
      </c>
      <c r="GG13" s="87" t="str">
        <f t="shared" si="3"/>
        <v/>
      </c>
      <c r="GH13" s="87" t="str">
        <f t="shared" si="3"/>
        <v/>
      </c>
      <c r="GI13" s="87" t="str">
        <f t="shared" si="3"/>
        <v/>
      </c>
      <c r="GJ13" s="87" t="str">
        <f t="shared" si="3"/>
        <v/>
      </c>
      <c r="GK13" s="87" t="str">
        <f t="shared" si="3"/>
        <v/>
      </c>
      <c r="GL13" s="87" t="str">
        <f t="shared" si="3"/>
        <v/>
      </c>
      <c r="GM13" s="87" t="str">
        <f t="shared" si="3"/>
        <v/>
      </c>
      <c r="GN13" s="87" t="str">
        <f t="shared" si="3"/>
        <v/>
      </c>
      <c r="GO13" s="87" t="s">
        <v>6757</v>
      </c>
      <c r="GP13" s="87" t="str">
        <f t="shared" ref="GP13:HQ13" si="4">IF(ISBLANK(GP$11),"",GP$11)</f>
        <v/>
      </c>
      <c r="GQ13" s="87" t="str">
        <f t="shared" si="4"/>
        <v/>
      </c>
      <c r="GR13" s="87" t="str">
        <f t="shared" si="4"/>
        <v/>
      </c>
      <c r="GS13" s="87" t="str">
        <f t="shared" si="4"/>
        <v/>
      </c>
      <c r="GT13" s="87" t="str">
        <f t="shared" si="4"/>
        <v/>
      </c>
      <c r="GU13" s="87" t="str">
        <f t="shared" si="4"/>
        <v/>
      </c>
      <c r="GV13" s="87" t="str">
        <f t="shared" si="4"/>
        <v/>
      </c>
      <c r="GW13" s="87" t="str">
        <f t="shared" si="4"/>
        <v/>
      </c>
      <c r="GX13" s="87" t="str">
        <f t="shared" si="4"/>
        <v/>
      </c>
      <c r="GY13" s="87" t="str">
        <f t="shared" si="4"/>
        <v/>
      </c>
      <c r="GZ13" s="87" t="str">
        <f t="shared" si="4"/>
        <v/>
      </c>
      <c r="HA13" s="87" t="str">
        <f t="shared" si="4"/>
        <v/>
      </c>
      <c r="HB13" s="87" t="str">
        <f t="shared" si="4"/>
        <v/>
      </c>
      <c r="HC13" s="87" t="str">
        <f t="shared" si="4"/>
        <v/>
      </c>
      <c r="HD13" s="87" t="str">
        <f t="shared" si="4"/>
        <v/>
      </c>
      <c r="HE13" s="87" t="str">
        <f t="shared" si="4"/>
        <v/>
      </c>
      <c r="HF13" s="87"/>
      <c r="HG13" s="87" t="str">
        <f t="shared" si="4"/>
        <v/>
      </c>
      <c r="HH13" s="87" t="str">
        <f t="shared" si="4"/>
        <v/>
      </c>
      <c r="HI13" s="87" t="str">
        <f t="shared" si="4"/>
        <v/>
      </c>
      <c r="HJ13" s="87" t="str">
        <f t="shared" si="4"/>
        <v/>
      </c>
      <c r="HK13" s="87" t="str">
        <f t="shared" si="4"/>
        <v/>
      </c>
      <c r="HL13" s="87" t="str">
        <f t="shared" si="4"/>
        <v/>
      </c>
      <c r="HM13" s="87" t="str">
        <f t="shared" si="4"/>
        <v/>
      </c>
      <c r="HN13" s="87" t="str">
        <f t="shared" si="4"/>
        <v/>
      </c>
      <c r="HO13" s="87"/>
      <c r="HP13" s="87"/>
      <c r="HQ13" s="87" t="str">
        <f t="shared" si="4"/>
        <v/>
      </c>
      <c r="HR13" s="87" t="str">
        <f>IF(ISBLANK(HR$11),"",HR$11)</f>
        <v/>
      </c>
      <c r="HS13" s="87"/>
      <c r="HT13" s="87" t="str">
        <f>IF(ISBLANK(HT$11),"",HT$11)</f>
        <v/>
      </c>
      <c r="HU13" s="87" t="str">
        <f t="shared" ref="HU13:IV13" si="5">IF(ISBLANK(HU$11),"",HU$11)</f>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c r="IL13" s="87" t="str">
        <f t="shared" si="5"/>
        <v/>
      </c>
      <c r="IM13" s="87" t="str">
        <f t="shared" si="5"/>
        <v/>
      </c>
      <c r="IN13" s="87" t="str">
        <f t="shared" si="5"/>
        <v/>
      </c>
      <c r="IO13" s="87" t="str">
        <f t="shared" si="5"/>
        <v/>
      </c>
      <c r="IP13" s="87" t="str">
        <f t="shared" si="5"/>
        <v/>
      </c>
      <c r="IQ13" s="87" t="str">
        <f t="shared" si="5"/>
        <v/>
      </c>
      <c r="IR13" s="87" t="str">
        <f t="shared" si="5"/>
        <v/>
      </c>
      <c r="IS13" s="87" t="str">
        <f t="shared" si="5"/>
        <v/>
      </c>
      <c r="IT13" s="87"/>
      <c r="IU13" s="87"/>
      <c r="IV13" s="87" t="str">
        <f t="shared" si="5"/>
        <v/>
      </c>
    </row>
    <row r="14" spans="1:257" ht="29.1" customHeight="1">
      <c r="B14" s="235" t="s">
        <v>6753</v>
      </c>
      <c r="AE14" s="315" t="str">
        <f>IF(ISBLANK(AE$11),"",AE$11)</f>
        <v/>
      </c>
      <c r="AF14" s="87"/>
      <c r="AG14" s="87"/>
      <c r="BJ14" s="315" t="str">
        <f>IF(ISBLANK(BJ$11),"",BJ$11)</f>
        <v/>
      </c>
      <c r="BK14" s="98" t="str" cm="1">
        <f t="array" ref="BK14">MultiMatch(Assessments[[#This Row],[Assessment.assessedBy.Reference.Organisation.]],OrganisationNames,0)</f>
        <v/>
      </c>
      <c r="BL14" s="87" t="str">
        <f>IF(ISBLANK(BL$11),"",BL$11)</f>
        <v/>
      </c>
      <c r="BM14" s="98" t="str" cm="1">
        <f t="array" ref="BM14">MultiMatch(Assessments[[#This Row],[Assessment.idVerification.Reference.name.]],Vocabularies[name],0)</f>
        <v/>
      </c>
      <c r="BN14" s="313" t="str">
        <f>IF(ISBLANK(BN$11),"",(BN$11))</f>
        <v/>
      </c>
      <c r="BO14" s="87"/>
      <c r="BP14" s="98" t="str" cm="1">
        <f t="array" ref="BP14">MultiMatch(Assessments[[#This Row],[Assessment.hasPart.MultiReference.Assessment.]],AssessmentNames,0)</f>
        <v/>
      </c>
      <c r="BQ14" s="143" t="str">
        <f>IF(ISBLANK(Assessments[[#This Row],[Assessment.title.Property.content.en]]),"",Assessments[[#This Row],[Assessment.title.Property.content.en]])</f>
        <v>Individual assignment1</v>
      </c>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t="str">
        <f>IF(ISBLANK(CT$11),"",CT$11)</f>
        <v/>
      </c>
      <c r="CU14" s="87"/>
      <c r="CV14" s="87"/>
      <c r="CW14" s="87"/>
      <c r="CX14" s="87"/>
      <c r="CY14" s="87"/>
      <c r="CZ14" s="87"/>
      <c r="DA14" s="87"/>
      <c r="DB14" s="87"/>
      <c r="DC14" s="87"/>
      <c r="DD14" s="87"/>
      <c r="DE14" s="87"/>
      <c r="DF14" s="87"/>
      <c r="DG14" s="87"/>
      <c r="DH14" s="87"/>
      <c r="DI14" s="87"/>
      <c r="DJ14" s="87"/>
      <c r="DK14" s="87"/>
      <c r="DL14" s="87"/>
      <c r="DM14" s="87"/>
      <c r="DN14" s="87"/>
      <c r="DO14" s="87"/>
      <c r="DP14" s="87"/>
      <c r="DQ14" s="87"/>
      <c r="DR14" s="87"/>
      <c r="DS14" s="87"/>
      <c r="DT14" s="87"/>
      <c r="DU14" s="87"/>
      <c r="DV14" s="87"/>
      <c r="DW14" s="87"/>
      <c r="DX14" s="87"/>
      <c r="DY14" s="327"/>
      <c r="DZ14" s="315" t="str">
        <f>IF(ISBLANK(DZ$11),"",DZ$11)</f>
        <v/>
      </c>
      <c r="EA14" s="315" t="str" cm="1">
        <f t="array" ref="EA14">MultiMatch(Assessments[[#This Row],[Assessment.specifiedBy.language.Multireference.]],Vocabularies[name],0)</f>
        <v/>
      </c>
      <c r="EB14" s="87" t="str">
        <f>IF(ISBLANK(EB$11),"",EB$11)</f>
        <v/>
      </c>
      <c r="EC14" s="315" t="str" cm="1">
        <f t="array" ref="EC14">MultiMatch(Assessments[[#This Row],[Assessment.specifiedBy.mode.Multireference.]],Vocabularies[name],0)</f>
        <v/>
      </c>
      <c r="ED14" s="315" t="str">
        <f>IF(ISBLANK(ED$11),"",ED$11)</f>
        <v/>
      </c>
      <c r="EE14" s="315" t="str" cm="1">
        <f t="array" ref="EE14">MultiMatch(Assessments[[#This Row],[Column2]],Vocabularies[name],0)</f>
        <v/>
      </c>
      <c r="EF14" s="103"/>
      <c r="EG14" s="87" t="str">
        <f t="shared" ref="EG14:EP17" si="6">IF(ISBLANK(EG$11),"",EG$11)</f>
        <v/>
      </c>
      <c r="EH14" s="87" t="str">
        <f t="shared" si="6"/>
        <v/>
      </c>
      <c r="EI14" s="87" t="str">
        <f t="shared" si="6"/>
        <v/>
      </c>
      <c r="EJ14" s="87" t="str">
        <f t="shared" si="6"/>
        <v/>
      </c>
      <c r="EK14" s="87" t="str">
        <f t="shared" si="6"/>
        <v/>
      </c>
      <c r="EL14" s="87" t="str">
        <f t="shared" si="6"/>
        <v/>
      </c>
      <c r="EM14" s="87" t="str">
        <f t="shared" si="6"/>
        <v/>
      </c>
      <c r="EN14" s="87" t="str">
        <f t="shared" si="6"/>
        <v/>
      </c>
      <c r="EO14" s="87" t="str">
        <f t="shared" si="6"/>
        <v/>
      </c>
      <c r="EP14" s="87" t="str">
        <f t="shared" si="6"/>
        <v/>
      </c>
      <c r="EQ14" s="87" t="str">
        <f t="shared" ref="EQ14:EX17" si="7">IF(ISBLANK(EQ$11),"",EQ$11)</f>
        <v/>
      </c>
      <c r="ER14" s="87" t="str">
        <f t="shared" si="7"/>
        <v/>
      </c>
      <c r="ES14" s="87" t="str">
        <f t="shared" si="7"/>
        <v/>
      </c>
      <c r="ET14" s="87" t="str">
        <f t="shared" si="7"/>
        <v/>
      </c>
      <c r="EU14" s="87" t="str">
        <f t="shared" si="7"/>
        <v/>
      </c>
      <c r="EV14" s="87" t="str">
        <f t="shared" si="7"/>
        <v/>
      </c>
      <c r="EW14" s="87" t="str">
        <f t="shared" si="7"/>
        <v/>
      </c>
      <c r="EX14" s="87" t="str">
        <f t="shared" si="7"/>
        <v/>
      </c>
      <c r="EY14" s="87"/>
      <c r="EZ14" s="87" t="str">
        <f t="shared" ref="EZ14:FG17" si="8">IF(ISBLANK(EZ$11),"",EZ$11)</f>
        <v/>
      </c>
      <c r="FA14" s="87" t="str">
        <f t="shared" si="8"/>
        <v/>
      </c>
      <c r="FB14" s="87" t="str">
        <f t="shared" si="8"/>
        <v/>
      </c>
      <c r="FC14" s="87" t="str">
        <f t="shared" si="8"/>
        <v/>
      </c>
      <c r="FD14" s="87" t="str">
        <f t="shared" si="8"/>
        <v/>
      </c>
      <c r="FE14" s="87" t="str">
        <f t="shared" si="8"/>
        <v/>
      </c>
      <c r="FF14" s="87" t="str">
        <f t="shared" si="8"/>
        <v/>
      </c>
      <c r="FG14" s="87" t="str">
        <f t="shared" si="8"/>
        <v/>
      </c>
      <c r="FH14" s="87"/>
      <c r="FI14" s="87"/>
      <c r="FJ14" s="87" t="str">
        <f t="shared" ref="FJ14:FS17" si="9">IF(ISBLANK(FJ$11),"",FJ$11)</f>
        <v/>
      </c>
      <c r="FK14" s="87" t="str">
        <f t="shared" si="9"/>
        <v/>
      </c>
      <c r="FL14" s="87" t="str">
        <f t="shared" si="9"/>
        <v/>
      </c>
      <c r="FM14" s="87" t="str">
        <f t="shared" si="9"/>
        <v/>
      </c>
      <c r="FN14" s="87" t="str">
        <f t="shared" si="9"/>
        <v/>
      </c>
      <c r="FO14" s="87" t="str">
        <f t="shared" si="9"/>
        <v/>
      </c>
      <c r="FP14" s="87" t="str">
        <f t="shared" si="9"/>
        <v/>
      </c>
      <c r="FQ14" s="87" t="str">
        <f t="shared" si="9"/>
        <v/>
      </c>
      <c r="FR14" s="87" t="str">
        <f t="shared" si="9"/>
        <v/>
      </c>
      <c r="FS14" s="87" t="str">
        <f t="shared" si="9"/>
        <v/>
      </c>
      <c r="FT14" s="87" t="str">
        <f t="shared" ref="FT14:GC17" si="10">IF(ISBLANK(FT$11),"",FT$11)</f>
        <v/>
      </c>
      <c r="FU14" s="87" t="str">
        <f t="shared" si="10"/>
        <v/>
      </c>
      <c r="FV14" s="87" t="str">
        <f t="shared" si="10"/>
        <v/>
      </c>
      <c r="FW14" s="87" t="str">
        <f t="shared" si="10"/>
        <v/>
      </c>
      <c r="FX14" s="87" t="str">
        <f t="shared" si="10"/>
        <v/>
      </c>
      <c r="FY14" s="87" t="str">
        <f t="shared" si="10"/>
        <v/>
      </c>
      <c r="FZ14" s="87" t="str">
        <f t="shared" si="10"/>
        <v/>
      </c>
      <c r="GA14" s="87" t="str">
        <f t="shared" si="10"/>
        <v/>
      </c>
      <c r="GB14" s="87" t="str">
        <f t="shared" si="10"/>
        <v/>
      </c>
      <c r="GC14" s="87" t="str">
        <f t="shared" si="10"/>
        <v/>
      </c>
      <c r="GD14" s="87" t="str">
        <f t="shared" ref="GD14:GN17" si="11">IF(ISBLANK(GD$11),"",GD$11)</f>
        <v/>
      </c>
      <c r="GE14" s="87" t="str">
        <f t="shared" si="11"/>
        <v/>
      </c>
      <c r="GF14" s="87" t="str">
        <f t="shared" si="11"/>
        <v/>
      </c>
      <c r="GG14" s="87" t="str">
        <f t="shared" si="11"/>
        <v/>
      </c>
      <c r="GH14" s="87" t="str">
        <f t="shared" si="11"/>
        <v/>
      </c>
      <c r="GI14" s="87" t="str">
        <f t="shared" si="11"/>
        <v/>
      </c>
      <c r="GJ14" s="87" t="str">
        <f t="shared" si="11"/>
        <v/>
      </c>
      <c r="GK14" s="87" t="str">
        <f t="shared" si="11"/>
        <v/>
      </c>
      <c r="GL14" s="87" t="str">
        <f t="shared" si="11"/>
        <v/>
      </c>
      <c r="GM14" s="87" t="str">
        <f t="shared" si="11"/>
        <v/>
      </c>
      <c r="GN14" s="87" t="str">
        <f t="shared" si="11"/>
        <v/>
      </c>
      <c r="GO14" s="87"/>
      <c r="GP14" s="87" t="str">
        <f t="shared" ref="GP14:HE17" si="12">IF(ISBLANK(GP$11),"",GP$11)</f>
        <v/>
      </c>
      <c r="GQ14" s="87" t="str">
        <f t="shared" si="12"/>
        <v/>
      </c>
      <c r="GR14" s="87" t="str">
        <f t="shared" si="12"/>
        <v/>
      </c>
      <c r="GS14" s="87" t="str">
        <f t="shared" si="12"/>
        <v/>
      </c>
      <c r="GT14" s="87" t="str">
        <f t="shared" si="12"/>
        <v/>
      </c>
      <c r="GU14" s="87" t="str">
        <f t="shared" si="12"/>
        <v/>
      </c>
      <c r="GV14" s="87" t="str">
        <f t="shared" si="12"/>
        <v/>
      </c>
      <c r="GW14" s="87" t="str">
        <f t="shared" si="12"/>
        <v/>
      </c>
      <c r="GX14" s="87" t="str">
        <f t="shared" si="12"/>
        <v/>
      </c>
      <c r="GY14" s="87" t="str">
        <f t="shared" si="12"/>
        <v/>
      </c>
      <c r="GZ14" s="87" t="str">
        <f t="shared" si="12"/>
        <v/>
      </c>
      <c r="HA14" s="87" t="str">
        <f t="shared" si="12"/>
        <v/>
      </c>
      <c r="HB14" s="87" t="str">
        <f t="shared" si="12"/>
        <v/>
      </c>
      <c r="HC14" s="87" t="str">
        <f t="shared" si="12"/>
        <v/>
      </c>
      <c r="HD14" s="87" t="str">
        <f t="shared" si="12"/>
        <v/>
      </c>
      <c r="HE14" s="87" t="str">
        <f t="shared" si="12"/>
        <v/>
      </c>
      <c r="HF14" s="87"/>
      <c r="HG14" s="87" t="str">
        <f t="shared" ref="HG14:HN17" si="13">IF(ISBLANK(HG$11),"",HG$11)</f>
        <v/>
      </c>
      <c r="HH14" s="87" t="str">
        <f t="shared" si="13"/>
        <v/>
      </c>
      <c r="HI14" s="87" t="str">
        <f t="shared" si="13"/>
        <v/>
      </c>
      <c r="HJ14" s="87" t="str">
        <f t="shared" si="13"/>
        <v/>
      </c>
      <c r="HK14" s="87" t="str">
        <f t="shared" si="13"/>
        <v/>
      </c>
      <c r="HL14" s="87" t="str">
        <f t="shared" si="13"/>
        <v/>
      </c>
      <c r="HM14" s="87" t="str">
        <f t="shared" si="13"/>
        <v/>
      </c>
      <c r="HN14" s="87" t="str">
        <f t="shared" si="13"/>
        <v/>
      </c>
      <c r="HO14" s="87"/>
      <c r="HP14" s="87"/>
      <c r="HQ14" s="87" t="str">
        <f>IF(ISBLANK(HQ$11),"",HQ$11)</f>
        <v/>
      </c>
      <c r="HR14" s="87"/>
      <c r="HS14" s="87"/>
      <c r="HT14" s="87" t="str">
        <f>IF(ISBLANK(HT$11),"",HT$11)</f>
        <v/>
      </c>
      <c r="HU14" s="87" t="str">
        <f t="shared" ref="HU14:IJ17" si="14">IF(ISBLANK(HU$11),"",HU$11)</f>
        <v/>
      </c>
      <c r="HV14" s="87" t="str">
        <f t="shared" si="14"/>
        <v/>
      </c>
      <c r="HW14" s="87" t="str">
        <f t="shared" si="14"/>
        <v/>
      </c>
      <c r="HX14" s="87" t="str">
        <f t="shared" si="14"/>
        <v/>
      </c>
      <c r="HY14" s="87" t="str">
        <f t="shared" si="14"/>
        <v/>
      </c>
      <c r="HZ14" s="87" t="str">
        <f t="shared" si="14"/>
        <v/>
      </c>
      <c r="IA14" s="87" t="str">
        <f t="shared" si="14"/>
        <v/>
      </c>
      <c r="IB14" s="87" t="str">
        <f t="shared" si="14"/>
        <v/>
      </c>
      <c r="IC14" s="87" t="str">
        <f t="shared" si="14"/>
        <v/>
      </c>
      <c r="ID14" s="87" t="str">
        <f t="shared" si="14"/>
        <v/>
      </c>
      <c r="IE14" s="87" t="str">
        <f t="shared" si="14"/>
        <v/>
      </c>
      <c r="IF14" s="87" t="str">
        <f t="shared" si="14"/>
        <v/>
      </c>
      <c r="IG14" s="87" t="str">
        <f t="shared" si="14"/>
        <v/>
      </c>
      <c r="IH14" s="87" t="str">
        <f t="shared" si="14"/>
        <v/>
      </c>
      <c r="II14" s="87" t="str">
        <f t="shared" si="14"/>
        <v/>
      </c>
      <c r="IJ14" s="87" t="str">
        <f t="shared" si="14"/>
        <v/>
      </c>
      <c r="IK14" s="87"/>
      <c r="IL14" s="87" t="str">
        <f t="shared" ref="IL14:IS17" si="15">IF(ISBLANK(IL$11),"",IL$11)</f>
        <v/>
      </c>
      <c r="IM14" s="87" t="str">
        <f t="shared" si="15"/>
        <v/>
      </c>
      <c r="IN14" s="87" t="str">
        <f t="shared" si="15"/>
        <v/>
      </c>
      <c r="IO14" s="87" t="str">
        <f t="shared" si="15"/>
        <v/>
      </c>
      <c r="IP14" s="87" t="str">
        <f t="shared" si="15"/>
        <v/>
      </c>
      <c r="IQ14" s="87" t="str">
        <f t="shared" si="15"/>
        <v/>
      </c>
      <c r="IR14" s="87" t="str">
        <f t="shared" si="15"/>
        <v/>
      </c>
      <c r="IS14" s="87" t="str">
        <f t="shared" si="15"/>
        <v/>
      </c>
      <c r="IT14" s="87"/>
      <c r="IU14" s="87"/>
      <c r="IV14" s="87" t="str">
        <f>IF(ISBLANK(IV$11),"",IV$11)</f>
        <v/>
      </c>
    </row>
    <row r="15" spans="1:257" ht="29.1" customHeight="1">
      <c r="B15" s="235" t="s">
        <v>6754</v>
      </c>
      <c r="AE15" s="315" t="str">
        <f>IF(ISBLANK(AE$11),"",AE$11)</f>
        <v/>
      </c>
      <c r="AF15" s="87"/>
      <c r="AG15" s="87"/>
      <c r="BJ15" s="315" t="str">
        <f>IF(ISBLANK(BJ$11),"",BJ$11)</f>
        <v/>
      </c>
      <c r="BK15" s="98" t="str" cm="1">
        <f t="array" ref="BK15">MultiMatch(Assessments[[#This Row],[Assessment.assessedBy.Reference.Organisation.]],OrganisationNames,0)</f>
        <v/>
      </c>
      <c r="BL15" s="87" t="str">
        <f>IF(ISBLANK(BL$11),"",BL$11)</f>
        <v/>
      </c>
      <c r="BM15" s="98" t="str" cm="1">
        <f t="array" ref="BM15">MultiMatch(Assessments[[#This Row],[Assessment.idVerification.Reference.name.]],Vocabularies[name],0)</f>
        <v/>
      </c>
      <c r="BN15" s="313" t="str">
        <f>IF(ISBLANK(BN$11),"",(BN$11))</f>
        <v/>
      </c>
      <c r="BO15" s="87"/>
      <c r="BP15" s="98" t="str" cm="1">
        <f t="array" ref="BP15">MultiMatch(Assessments[[#This Row],[Assessment.hasPart.MultiReference.Assessment.]],AssessmentNames,0)</f>
        <v/>
      </c>
      <c r="BQ15" s="143" t="str">
        <f>IF(ISBLANK(Assessments[[#This Row],[Assessment.title.Property.content.en]]),"",Assessments[[#This Row],[Assessment.title.Property.content.en]])</f>
        <v>Individual assignment2</v>
      </c>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t="str">
        <f>IF(ISBLANK(CT$11),"",CT$11)</f>
        <v/>
      </c>
      <c r="CU15" s="87"/>
      <c r="CV15" s="87"/>
      <c r="CW15" s="87"/>
      <c r="CX15" s="87"/>
      <c r="CY15" s="87"/>
      <c r="CZ15" s="87"/>
      <c r="DA15" s="87"/>
      <c r="DB15" s="87"/>
      <c r="DC15" s="87"/>
      <c r="DD15" s="87"/>
      <c r="DE15" s="87"/>
      <c r="DF15" s="87"/>
      <c r="DG15" s="87"/>
      <c r="DH15" s="87"/>
      <c r="DI15" s="87"/>
      <c r="DJ15" s="87"/>
      <c r="DK15" s="87"/>
      <c r="DL15" s="87"/>
      <c r="DM15" s="87"/>
      <c r="DN15" s="87"/>
      <c r="DO15" s="87"/>
      <c r="DP15" s="87"/>
      <c r="DQ15" s="87"/>
      <c r="DR15" s="87"/>
      <c r="DS15" s="87"/>
      <c r="DT15" s="87"/>
      <c r="DU15" s="87"/>
      <c r="DV15" s="87"/>
      <c r="DW15" s="87"/>
      <c r="DX15" s="87"/>
      <c r="DY15" s="327"/>
      <c r="DZ15" s="315" t="str">
        <f>IF(ISBLANK(DZ$11),"",DZ$11)</f>
        <v/>
      </c>
      <c r="EA15" s="315" t="str" cm="1">
        <f t="array" ref="EA15">MultiMatch(Assessments[[#This Row],[Assessment.specifiedBy.language.Multireference.]],Vocabularies[name],0)</f>
        <v/>
      </c>
      <c r="EB15" s="87" t="str">
        <f>IF(ISBLANK(EB$11),"",EB$11)</f>
        <v/>
      </c>
      <c r="EC15" s="315" t="str" cm="1">
        <f t="array" ref="EC15">MultiMatch(Assessments[[#This Row],[Assessment.specifiedBy.mode.Multireference.]],Vocabularies[name],0)</f>
        <v/>
      </c>
      <c r="ED15" s="315" t="str">
        <f>IF(ISBLANK(ED$11),"",ED$11)</f>
        <v/>
      </c>
      <c r="EE15" s="315" t="str" cm="1">
        <f t="array" ref="EE15">MultiMatch(Assessments[[#This Row],[Column2]],Vocabularies[name],0)</f>
        <v/>
      </c>
      <c r="EF15" s="103"/>
      <c r="EG15" s="87" t="str">
        <f t="shared" si="6"/>
        <v/>
      </c>
      <c r="EH15" s="87" t="str">
        <f t="shared" si="6"/>
        <v/>
      </c>
      <c r="EI15" s="87" t="str">
        <f t="shared" si="6"/>
        <v/>
      </c>
      <c r="EJ15" s="87" t="str">
        <f t="shared" si="6"/>
        <v/>
      </c>
      <c r="EK15" s="87" t="str">
        <f t="shared" si="6"/>
        <v/>
      </c>
      <c r="EL15" s="87" t="str">
        <f t="shared" si="6"/>
        <v/>
      </c>
      <c r="EM15" s="87" t="str">
        <f t="shared" si="6"/>
        <v/>
      </c>
      <c r="EN15" s="87" t="str">
        <f t="shared" si="6"/>
        <v/>
      </c>
      <c r="EO15" s="87" t="str">
        <f t="shared" si="6"/>
        <v/>
      </c>
      <c r="EP15" s="87" t="str">
        <f t="shared" si="6"/>
        <v/>
      </c>
      <c r="EQ15" s="87" t="str">
        <f t="shared" si="7"/>
        <v/>
      </c>
      <c r="ER15" s="87" t="str">
        <f t="shared" si="7"/>
        <v/>
      </c>
      <c r="ES15" s="87" t="str">
        <f t="shared" si="7"/>
        <v/>
      </c>
      <c r="ET15" s="87" t="str">
        <f t="shared" si="7"/>
        <v/>
      </c>
      <c r="EU15" s="87" t="str">
        <f t="shared" si="7"/>
        <v/>
      </c>
      <c r="EV15" s="87" t="str">
        <f t="shared" si="7"/>
        <v/>
      </c>
      <c r="EW15" s="87" t="str">
        <f t="shared" si="7"/>
        <v/>
      </c>
      <c r="EX15" s="87" t="str">
        <f t="shared" si="7"/>
        <v/>
      </c>
      <c r="EY15" s="87"/>
      <c r="EZ15" s="87" t="str">
        <f t="shared" si="8"/>
        <v/>
      </c>
      <c r="FA15" s="87" t="str">
        <f t="shared" si="8"/>
        <v/>
      </c>
      <c r="FB15" s="87" t="str">
        <f t="shared" si="8"/>
        <v/>
      </c>
      <c r="FC15" s="87" t="str">
        <f t="shared" si="8"/>
        <v/>
      </c>
      <c r="FD15" s="87" t="str">
        <f t="shared" si="8"/>
        <v/>
      </c>
      <c r="FE15" s="87" t="str">
        <f t="shared" si="8"/>
        <v/>
      </c>
      <c r="FF15" s="87" t="str">
        <f t="shared" si="8"/>
        <v/>
      </c>
      <c r="FG15" s="87" t="str">
        <f t="shared" si="8"/>
        <v/>
      </c>
      <c r="FH15" s="87"/>
      <c r="FI15" s="87"/>
      <c r="FJ15" s="87" t="str">
        <f t="shared" si="9"/>
        <v/>
      </c>
      <c r="FK15" s="87" t="str">
        <f t="shared" si="9"/>
        <v/>
      </c>
      <c r="FL15" s="87" t="str">
        <f t="shared" si="9"/>
        <v/>
      </c>
      <c r="FM15" s="87" t="str">
        <f t="shared" si="9"/>
        <v/>
      </c>
      <c r="FN15" s="87" t="str">
        <f t="shared" si="9"/>
        <v/>
      </c>
      <c r="FO15" s="87" t="str">
        <f t="shared" si="9"/>
        <v/>
      </c>
      <c r="FP15" s="87" t="str">
        <f t="shared" si="9"/>
        <v/>
      </c>
      <c r="FQ15" s="87" t="str">
        <f t="shared" si="9"/>
        <v/>
      </c>
      <c r="FR15" s="87" t="str">
        <f t="shared" si="9"/>
        <v/>
      </c>
      <c r="FS15" s="87" t="str">
        <f t="shared" si="9"/>
        <v/>
      </c>
      <c r="FT15" s="87" t="str">
        <f t="shared" si="10"/>
        <v/>
      </c>
      <c r="FU15" s="87" t="str">
        <f t="shared" si="10"/>
        <v/>
      </c>
      <c r="FV15" s="87" t="str">
        <f t="shared" si="10"/>
        <v/>
      </c>
      <c r="FW15" s="87" t="str">
        <f t="shared" si="10"/>
        <v/>
      </c>
      <c r="FX15" s="87" t="str">
        <f t="shared" si="10"/>
        <v/>
      </c>
      <c r="FY15" s="87" t="str">
        <f t="shared" si="10"/>
        <v/>
      </c>
      <c r="FZ15" s="87" t="str">
        <f t="shared" si="10"/>
        <v/>
      </c>
      <c r="GA15" s="87" t="str">
        <f t="shared" si="10"/>
        <v/>
      </c>
      <c r="GB15" s="87" t="str">
        <f t="shared" si="10"/>
        <v/>
      </c>
      <c r="GC15" s="87" t="str">
        <f t="shared" si="10"/>
        <v/>
      </c>
      <c r="GD15" s="87" t="str">
        <f t="shared" si="11"/>
        <v/>
      </c>
      <c r="GE15" s="87" t="str">
        <f t="shared" si="11"/>
        <v/>
      </c>
      <c r="GF15" s="87" t="str">
        <f t="shared" si="11"/>
        <v/>
      </c>
      <c r="GG15" s="87" t="str">
        <f t="shared" si="11"/>
        <v/>
      </c>
      <c r="GH15" s="87" t="str">
        <f t="shared" si="11"/>
        <v/>
      </c>
      <c r="GI15" s="87" t="str">
        <f t="shared" si="11"/>
        <v/>
      </c>
      <c r="GJ15" s="87" t="str">
        <f t="shared" si="11"/>
        <v/>
      </c>
      <c r="GK15" s="87" t="str">
        <f t="shared" si="11"/>
        <v/>
      </c>
      <c r="GL15" s="87" t="str">
        <f t="shared" si="11"/>
        <v/>
      </c>
      <c r="GM15" s="87" t="str">
        <f t="shared" si="11"/>
        <v/>
      </c>
      <c r="GN15" s="87" t="str">
        <f t="shared" si="11"/>
        <v/>
      </c>
      <c r="GO15" s="87" t="str">
        <f>IF(ISBLANK(GO$11),"",GO$11)</f>
        <v/>
      </c>
      <c r="GP15" s="87" t="str">
        <f t="shared" si="12"/>
        <v/>
      </c>
      <c r="GQ15" s="87" t="str">
        <f t="shared" si="12"/>
        <v/>
      </c>
      <c r="GR15" s="87" t="str">
        <f t="shared" si="12"/>
        <v/>
      </c>
      <c r="GS15" s="87" t="str">
        <f t="shared" si="12"/>
        <v/>
      </c>
      <c r="GT15" s="87" t="str">
        <f t="shared" si="12"/>
        <v/>
      </c>
      <c r="GU15" s="87" t="str">
        <f t="shared" si="12"/>
        <v/>
      </c>
      <c r="GV15" s="87" t="str">
        <f t="shared" si="12"/>
        <v/>
      </c>
      <c r="GW15" s="87" t="str">
        <f t="shared" si="12"/>
        <v/>
      </c>
      <c r="GX15" s="87" t="str">
        <f t="shared" si="12"/>
        <v/>
      </c>
      <c r="GY15" s="87" t="str">
        <f t="shared" si="12"/>
        <v/>
      </c>
      <c r="GZ15" s="87" t="str">
        <f t="shared" si="12"/>
        <v/>
      </c>
      <c r="HA15" s="87" t="str">
        <f t="shared" si="12"/>
        <v/>
      </c>
      <c r="HB15" s="87" t="str">
        <f t="shared" si="12"/>
        <v/>
      </c>
      <c r="HC15" s="87" t="str">
        <f t="shared" si="12"/>
        <v/>
      </c>
      <c r="HD15" s="87" t="str">
        <f t="shared" si="12"/>
        <v/>
      </c>
      <c r="HE15" s="87" t="str">
        <f t="shared" si="12"/>
        <v/>
      </c>
      <c r="HF15" s="87"/>
      <c r="HG15" s="87" t="str">
        <f t="shared" si="13"/>
        <v/>
      </c>
      <c r="HH15" s="87" t="str">
        <f t="shared" si="13"/>
        <v/>
      </c>
      <c r="HI15" s="87" t="str">
        <f t="shared" si="13"/>
        <v/>
      </c>
      <c r="HJ15" s="87" t="str">
        <f t="shared" si="13"/>
        <v/>
      </c>
      <c r="HK15" s="87" t="str">
        <f t="shared" si="13"/>
        <v/>
      </c>
      <c r="HL15" s="87" t="str">
        <f t="shared" si="13"/>
        <v/>
      </c>
      <c r="HM15" s="87" t="str">
        <f t="shared" si="13"/>
        <v/>
      </c>
      <c r="HN15" s="87" t="str">
        <f t="shared" si="13"/>
        <v/>
      </c>
      <c r="HO15" s="87"/>
      <c r="HP15" s="87"/>
      <c r="HQ15" s="87" t="str">
        <f>IF(ISBLANK(HQ$11),"",HQ$11)</f>
        <v/>
      </c>
      <c r="HR15" s="87"/>
      <c r="HS15" s="87"/>
      <c r="HT15" s="87" t="str">
        <f>IF(ISBLANK(HT$11),"",HT$11)</f>
        <v/>
      </c>
      <c r="HU15" s="87" t="str">
        <f t="shared" si="14"/>
        <v/>
      </c>
      <c r="HV15" s="87" t="str">
        <f t="shared" si="14"/>
        <v/>
      </c>
      <c r="HW15" s="87" t="str">
        <f t="shared" si="14"/>
        <v/>
      </c>
      <c r="HX15" s="87" t="str">
        <f t="shared" si="14"/>
        <v/>
      </c>
      <c r="HY15" s="87" t="str">
        <f t="shared" si="14"/>
        <v/>
      </c>
      <c r="HZ15" s="87" t="str">
        <f t="shared" si="14"/>
        <v/>
      </c>
      <c r="IA15" s="87" t="str">
        <f t="shared" si="14"/>
        <v/>
      </c>
      <c r="IB15" s="87" t="str">
        <f t="shared" si="14"/>
        <v/>
      </c>
      <c r="IC15" s="87" t="str">
        <f t="shared" si="14"/>
        <v/>
      </c>
      <c r="ID15" s="87" t="str">
        <f t="shared" si="14"/>
        <v/>
      </c>
      <c r="IE15" s="87" t="str">
        <f t="shared" si="14"/>
        <v/>
      </c>
      <c r="IF15" s="87" t="str">
        <f t="shared" si="14"/>
        <v/>
      </c>
      <c r="IG15" s="87" t="str">
        <f t="shared" si="14"/>
        <v/>
      </c>
      <c r="IH15" s="87" t="str">
        <f t="shared" si="14"/>
        <v/>
      </c>
      <c r="II15" s="87" t="str">
        <f t="shared" si="14"/>
        <v/>
      </c>
      <c r="IJ15" s="87" t="str">
        <f t="shared" si="14"/>
        <v/>
      </c>
      <c r="IK15" s="87"/>
      <c r="IL15" s="87" t="str">
        <f t="shared" si="15"/>
        <v/>
      </c>
      <c r="IM15" s="87" t="str">
        <f t="shared" si="15"/>
        <v/>
      </c>
      <c r="IN15" s="87" t="str">
        <f t="shared" si="15"/>
        <v/>
      </c>
      <c r="IO15" s="87" t="str">
        <f t="shared" si="15"/>
        <v/>
      </c>
      <c r="IP15" s="87" t="str">
        <f t="shared" si="15"/>
        <v/>
      </c>
      <c r="IQ15" s="87" t="str">
        <f t="shared" si="15"/>
        <v/>
      </c>
      <c r="IR15" s="87" t="str">
        <f t="shared" si="15"/>
        <v/>
      </c>
      <c r="IS15" s="87" t="str">
        <f t="shared" si="15"/>
        <v/>
      </c>
      <c r="IT15" s="87"/>
      <c r="IU15" s="87"/>
      <c r="IV15" s="87" t="str">
        <f>IF(ISBLANK(IV$11),"",IV$11)</f>
        <v/>
      </c>
    </row>
    <row r="16" spans="1:257" ht="29.1" customHeight="1">
      <c r="B16" s="235" t="s">
        <v>6755</v>
      </c>
      <c r="AE16" s="315" t="str">
        <f>IF(ISBLANK(AE$11),"",AE$11)</f>
        <v/>
      </c>
      <c r="AF16" s="87"/>
      <c r="AG16" s="87"/>
      <c r="BJ16" s="315" t="str">
        <f>IF(ISBLANK(BJ$11),"",BJ$11)</f>
        <v/>
      </c>
      <c r="BK16" s="98" t="str" cm="1">
        <f t="array" ref="BK16">MultiMatch(Assessments[[#This Row],[Assessment.assessedBy.Reference.Organisation.]],OrganisationNames,0)</f>
        <v/>
      </c>
      <c r="BL16" s="87" t="str">
        <f>IF(ISBLANK(BL$11),"",BL$11)</f>
        <v/>
      </c>
      <c r="BM16" s="98" t="str" cm="1">
        <f t="array" ref="BM16">MultiMatch(Assessments[[#This Row],[Assessment.idVerification.Reference.name.]],Vocabularies[name],0)</f>
        <v/>
      </c>
      <c r="BN16" s="313" t="str">
        <f>IF(ISBLANK(BN$11),"",(BN$11))</f>
        <v/>
      </c>
      <c r="BO16" s="87"/>
      <c r="BP16" s="98" t="str" cm="1">
        <f t="array" ref="BP16">MultiMatch(Assessments[[#This Row],[Assessment.hasPart.MultiReference.Assessment.]],AssessmentNames,0)</f>
        <v/>
      </c>
      <c r="BQ16" s="143" t="str">
        <f>IF(ISBLANK(Assessments[[#This Row],[Assessment.title.Property.content.en]]),"",Assessments[[#This Row],[Assessment.title.Property.content.en]])</f>
        <v>Project assignment</v>
      </c>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t="str">
        <f>IF(ISBLANK(CT$11),"",CT$11)</f>
        <v/>
      </c>
      <c r="CU16" s="87"/>
      <c r="CV16" s="87"/>
      <c r="CW16" s="87"/>
      <c r="CX16" s="87"/>
      <c r="CY16" s="87"/>
      <c r="CZ16" s="87"/>
      <c r="DA16" s="87"/>
      <c r="DB16" s="87"/>
      <c r="DC16" s="87"/>
      <c r="DD16" s="87"/>
      <c r="DE16" s="87"/>
      <c r="DF16" s="87"/>
      <c r="DG16" s="87"/>
      <c r="DH16" s="87"/>
      <c r="DI16" s="87"/>
      <c r="DJ16" s="87"/>
      <c r="DK16" s="87"/>
      <c r="DL16" s="87"/>
      <c r="DM16" s="87"/>
      <c r="DN16" s="87"/>
      <c r="DO16" s="87"/>
      <c r="DP16" s="87"/>
      <c r="DQ16" s="87"/>
      <c r="DR16" s="87"/>
      <c r="DS16" s="87"/>
      <c r="DT16" s="87"/>
      <c r="DU16" s="87"/>
      <c r="DV16" s="87"/>
      <c r="DW16" s="87"/>
      <c r="DX16" s="87"/>
      <c r="DY16" s="327"/>
      <c r="DZ16" s="315" t="str">
        <f>IF(ISBLANK(DZ$11),"",DZ$11)</f>
        <v/>
      </c>
      <c r="EA16" s="315" t="str" cm="1">
        <f t="array" ref="EA16">MultiMatch(Assessments[[#This Row],[Assessment.specifiedBy.language.Multireference.]],Vocabularies[name],0)</f>
        <v/>
      </c>
      <c r="EB16" s="87" t="str">
        <f>IF(ISBLANK(EB$11),"",EB$11)</f>
        <v/>
      </c>
      <c r="EC16" s="315" t="str" cm="1">
        <f t="array" ref="EC16">MultiMatch(Assessments[[#This Row],[Assessment.specifiedBy.mode.Multireference.]],Vocabularies[name],0)</f>
        <v/>
      </c>
      <c r="ED16" s="315" t="str">
        <f>IF(ISBLANK(ED$11),"",ED$11)</f>
        <v/>
      </c>
      <c r="EE16" s="315" t="str" cm="1">
        <f t="array" ref="EE16">MultiMatch(Assessments[[#This Row],[Column2]],Vocabularies[name],0)</f>
        <v/>
      </c>
      <c r="EF16" s="103"/>
      <c r="EG16" s="87" t="str">
        <f t="shared" si="6"/>
        <v/>
      </c>
      <c r="EH16" s="87" t="str">
        <f t="shared" si="6"/>
        <v/>
      </c>
      <c r="EI16" s="87" t="str">
        <f t="shared" si="6"/>
        <v/>
      </c>
      <c r="EJ16" s="87" t="str">
        <f t="shared" si="6"/>
        <v/>
      </c>
      <c r="EK16" s="87" t="str">
        <f t="shared" si="6"/>
        <v/>
      </c>
      <c r="EL16" s="87" t="str">
        <f t="shared" si="6"/>
        <v/>
      </c>
      <c r="EM16" s="87" t="str">
        <f t="shared" si="6"/>
        <v/>
      </c>
      <c r="EN16" s="87" t="str">
        <f t="shared" si="6"/>
        <v/>
      </c>
      <c r="EO16" s="87" t="str">
        <f t="shared" si="6"/>
        <v/>
      </c>
      <c r="EP16" s="87" t="str">
        <f t="shared" si="6"/>
        <v/>
      </c>
      <c r="EQ16" s="87" t="str">
        <f t="shared" si="7"/>
        <v/>
      </c>
      <c r="ER16" s="87" t="str">
        <f t="shared" si="7"/>
        <v/>
      </c>
      <c r="ES16" s="87" t="str">
        <f t="shared" si="7"/>
        <v/>
      </c>
      <c r="ET16" s="87" t="str">
        <f t="shared" si="7"/>
        <v/>
      </c>
      <c r="EU16" s="87" t="str">
        <f t="shared" si="7"/>
        <v/>
      </c>
      <c r="EV16" s="87" t="str">
        <f t="shared" si="7"/>
        <v/>
      </c>
      <c r="EW16" s="87" t="str">
        <f t="shared" si="7"/>
        <v/>
      </c>
      <c r="EX16" s="87" t="str">
        <f t="shared" si="7"/>
        <v/>
      </c>
      <c r="EY16" s="87"/>
      <c r="EZ16" s="87" t="str">
        <f t="shared" si="8"/>
        <v/>
      </c>
      <c r="FA16" s="87" t="str">
        <f t="shared" si="8"/>
        <v/>
      </c>
      <c r="FB16" s="87" t="str">
        <f t="shared" si="8"/>
        <v/>
      </c>
      <c r="FC16" s="87" t="str">
        <f t="shared" si="8"/>
        <v/>
      </c>
      <c r="FD16" s="87" t="str">
        <f t="shared" si="8"/>
        <v/>
      </c>
      <c r="FE16" s="87" t="str">
        <f t="shared" si="8"/>
        <v/>
      </c>
      <c r="FF16" s="87" t="str">
        <f t="shared" si="8"/>
        <v/>
      </c>
      <c r="FG16" s="87" t="str">
        <f t="shared" si="8"/>
        <v/>
      </c>
      <c r="FH16" s="87"/>
      <c r="FI16" s="87"/>
      <c r="FJ16" s="87" t="str">
        <f t="shared" si="9"/>
        <v/>
      </c>
      <c r="FK16" s="87" t="str">
        <f t="shared" si="9"/>
        <v/>
      </c>
      <c r="FL16" s="87" t="str">
        <f t="shared" si="9"/>
        <v/>
      </c>
      <c r="FM16" s="87" t="str">
        <f t="shared" si="9"/>
        <v/>
      </c>
      <c r="FN16" s="87" t="str">
        <f t="shared" si="9"/>
        <v/>
      </c>
      <c r="FO16" s="87" t="str">
        <f t="shared" si="9"/>
        <v/>
      </c>
      <c r="FP16" s="87" t="str">
        <f t="shared" si="9"/>
        <v/>
      </c>
      <c r="FQ16" s="87" t="str">
        <f t="shared" si="9"/>
        <v/>
      </c>
      <c r="FR16" s="87" t="str">
        <f t="shared" si="9"/>
        <v/>
      </c>
      <c r="FS16" s="87" t="str">
        <f t="shared" si="9"/>
        <v/>
      </c>
      <c r="FT16" s="87" t="str">
        <f t="shared" si="10"/>
        <v/>
      </c>
      <c r="FU16" s="87" t="str">
        <f t="shared" si="10"/>
        <v/>
      </c>
      <c r="FV16" s="87" t="str">
        <f t="shared" si="10"/>
        <v/>
      </c>
      <c r="FW16" s="87" t="str">
        <f t="shared" si="10"/>
        <v/>
      </c>
      <c r="FX16" s="87" t="str">
        <f t="shared" si="10"/>
        <v/>
      </c>
      <c r="FY16" s="87" t="str">
        <f t="shared" si="10"/>
        <v/>
      </c>
      <c r="FZ16" s="87" t="str">
        <f t="shared" si="10"/>
        <v/>
      </c>
      <c r="GA16" s="87" t="str">
        <f t="shared" si="10"/>
        <v/>
      </c>
      <c r="GB16" s="87" t="str">
        <f t="shared" si="10"/>
        <v/>
      </c>
      <c r="GC16" s="87" t="str">
        <f t="shared" si="10"/>
        <v/>
      </c>
      <c r="GD16" s="87" t="str">
        <f t="shared" si="11"/>
        <v/>
      </c>
      <c r="GE16" s="87" t="str">
        <f t="shared" si="11"/>
        <v/>
      </c>
      <c r="GF16" s="87" t="str">
        <f t="shared" si="11"/>
        <v/>
      </c>
      <c r="GG16" s="87" t="str">
        <f t="shared" si="11"/>
        <v/>
      </c>
      <c r="GH16" s="87" t="str">
        <f t="shared" si="11"/>
        <v/>
      </c>
      <c r="GI16" s="87" t="str">
        <f t="shared" si="11"/>
        <v/>
      </c>
      <c r="GJ16" s="87" t="str">
        <f t="shared" si="11"/>
        <v/>
      </c>
      <c r="GK16" s="87" t="str">
        <f t="shared" si="11"/>
        <v/>
      </c>
      <c r="GL16" s="87" t="str">
        <f t="shared" si="11"/>
        <v/>
      </c>
      <c r="GM16" s="87" t="str">
        <f t="shared" si="11"/>
        <v/>
      </c>
      <c r="GN16" s="87" t="str">
        <f t="shared" si="11"/>
        <v/>
      </c>
      <c r="GO16" s="87" t="str">
        <f>IF(ISBLANK(GO$11),"",GO$11)</f>
        <v/>
      </c>
      <c r="GP16" s="87" t="str">
        <f t="shared" si="12"/>
        <v/>
      </c>
      <c r="GQ16" s="87" t="str">
        <f t="shared" si="12"/>
        <v/>
      </c>
      <c r="GR16" s="87" t="str">
        <f t="shared" si="12"/>
        <v/>
      </c>
      <c r="GS16" s="87" t="str">
        <f t="shared" si="12"/>
        <v/>
      </c>
      <c r="GT16" s="87" t="str">
        <f t="shared" si="12"/>
        <v/>
      </c>
      <c r="GU16" s="87" t="str">
        <f t="shared" si="12"/>
        <v/>
      </c>
      <c r="GV16" s="87" t="str">
        <f t="shared" si="12"/>
        <v/>
      </c>
      <c r="GW16" s="87" t="str">
        <f t="shared" si="12"/>
        <v/>
      </c>
      <c r="GX16" s="87" t="str">
        <f t="shared" si="12"/>
        <v/>
      </c>
      <c r="GY16" s="87" t="str">
        <f t="shared" si="12"/>
        <v/>
      </c>
      <c r="GZ16" s="87" t="str">
        <f t="shared" si="12"/>
        <v/>
      </c>
      <c r="HA16" s="87" t="str">
        <f t="shared" si="12"/>
        <v/>
      </c>
      <c r="HB16" s="87" t="str">
        <f t="shared" si="12"/>
        <v/>
      </c>
      <c r="HC16" s="87" t="str">
        <f t="shared" si="12"/>
        <v/>
      </c>
      <c r="HD16" s="87" t="str">
        <f t="shared" si="12"/>
        <v/>
      </c>
      <c r="HE16" s="87" t="str">
        <f t="shared" si="12"/>
        <v/>
      </c>
      <c r="HF16" s="87"/>
      <c r="HG16" s="87" t="str">
        <f t="shared" si="13"/>
        <v/>
      </c>
      <c r="HH16" s="87" t="str">
        <f t="shared" si="13"/>
        <v/>
      </c>
      <c r="HI16" s="87" t="str">
        <f t="shared" si="13"/>
        <v/>
      </c>
      <c r="HJ16" s="87" t="str">
        <f t="shared" si="13"/>
        <v/>
      </c>
      <c r="HK16" s="87" t="str">
        <f t="shared" si="13"/>
        <v/>
      </c>
      <c r="HL16" s="87" t="str">
        <f t="shared" si="13"/>
        <v/>
      </c>
      <c r="HM16" s="87" t="str">
        <f t="shared" si="13"/>
        <v/>
      </c>
      <c r="HN16" s="87" t="str">
        <f t="shared" si="13"/>
        <v/>
      </c>
      <c r="HO16" s="87"/>
      <c r="HP16" s="87"/>
      <c r="HQ16" s="87" t="str">
        <f>IF(ISBLANK(HQ$11),"",HQ$11)</f>
        <v/>
      </c>
      <c r="HR16" s="87"/>
      <c r="HS16" s="87"/>
      <c r="HT16" s="87" t="str">
        <f>IF(ISBLANK(HT$11),"",HT$11)</f>
        <v/>
      </c>
      <c r="HU16" s="87" t="str">
        <f t="shared" si="14"/>
        <v/>
      </c>
      <c r="HV16" s="87" t="str">
        <f t="shared" si="14"/>
        <v/>
      </c>
      <c r="HW16" s="87" t="str">
        <f t="shared" si="14"/>
        <v/>
      </c>
      <c r="HX16" s="87" t="str">
        <f t="shared" si="14"/>
        <v/>
      </c>
      <c r="HY16" s="87" t="str">
        <f t="shared" si="14"/>
        <v/>
      </c>
      <c r="HZ16" s="87" t="str">
        <f t="shared" si="14"/>
        <v/>
      </c>
      <c r="IA16" s="87" t="str">
        <f t="shared" si="14"/>
        <v/>
      </c>
      <c r="IB16" s="87" t="str">
        <f t="shared" si="14"/>
        <v/>
      </c>
      <c r="IC16" s="87" t="str">
        <f t="shared" si="14"/>
        <v/>
      </c>
      <c r="ID16" s="87" t="str">
        <f t="shared" si="14"/>
        <v/>
      </c>
      <c r="IE16" s="87" t="str">
        <f t="shared" si="14"/>
        <v/>
      </c>
      <c r="IF16" s="87" t="str">
        <f t="shared" si="14"/>
        <v/>
      </c>
      <c r="IG16" s="87" t="str">
        <f t="shared" si="14"/>
        <v/>
      </c>
      <c r="IH16" s="87" t="str">
        <f t="shared" si="14"/>
        <v/>
      </c>
      <c r="II16" s="87" t="str">
        <f t="shared" si="14"/>
        <v/>
      </c>
      <c r="IJ16" s="87" t="str">
        <f t="shared" si="14"/>
        <v/>
      </c>
      <c r="IK16" s="87"/>
      <c r="IL16" s="87" t="str">
        <f t="shared" si="15"/>
        <v/>
      </c>
      <c r="IM16" s="87" t="str">
        <f t="shared" si="15"/>
        <v/>
      </c>
      <c r="IN16" s="87" t="str">
        <f t="shared" si="15"/>
        <v/>
      </c>
      <c r="IO16" s="87" t="str">
        <f t="shared" si="15"/>
        <v/>
      </c>
      <c r="IP16" s="87" t="str">
        <f t="shared" si="15"/>
        <v/>
      </c>
      <c r="IQ16" s="87" t="str">
        <f t="shared" si="15"/>
        <v/>
      </c>
      <c r="IR16" s="87" t="str">
        <f t="shared" si="15"/>
        <v/>
      </c>
      <c r="IS16" s="87" t="str">
        <f t="shared" si="15"/>
        <v/>
      </c>
      <c r="IT16" s="87"/>
      <c r="IU16" s="87"/>
      <c r="IV16" s="87" t="str">
        <f>IF(ISBLANK(IV$11),"",IV$11)</f>
        <v/>
      </c>
    </row>
    <row r="17" spans="2:256" ht="29.1" customHeight="1">
      <c r="B17" s="235"/>
      <c r="AE17" s="315" t="str">
        <f>IF(ISBLANK(AE$11),"",AE$11)</f>
        <v/>
      </c>
      <c r="AF17" s="87"/>
      <c r="AG17" s="87"/>
      <c r="BJ17" s="315" t="str">
        <f>IF(ISBLANK(BJ$11),"",BJ$11)</f>
        <v/>
      </c>
      <c r="BK17" s="98" t="str" cm="1">
        <f t="array" ref="BK17">MultiMatch(Assessments[[#This Row],[Assessment.assessedBy.Reference.Organisation.]],OrganisationNames,0)</f>
        <v/>
      </c>
      <c r="BL17" s="87" t="str">
        <f>IF(ISBLANK(BL$11),"",BL$11)</f>
        <v/>
      </c>
      <c r="BM17" s="98" t="str" cm="1">
        <f t="array" ref="BM17">MultiMatch(Assessments[[#This Row],[Assessment.idVerification.Reference.name.]],Vocabularies[name],0)</f>
        <v/>
      </c>
      <c r="BN17" s="313" t="str">
        <f>IF(ISBLANK(BN$11),"",(BN$11))</f>
        <v/>
      </c>
      <c r="BO17" s="87"/>
      <c r="BP17" s="98" t="str" cm="1">
        <f t="array" ref="BP17">MultiMatch(Assessments[[#This Row],[Assessment.hasPart.MultiReference.Assessment.]],AssessmentNames,0)</f>
        <v/>
      </c>
      <c r="BQ17" s="143" t="str">
        <f>IF(ISBLANK(Assessments[[#This Row],[Assessment.title.Property.content.en]]),"",Assessments[[#This Row],[Assessment.title.Property.content.en]])</f>
        <v/>
      </c>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t="str">
        <f>IF(ISBLANK(CT$11),"",CT$11)</f>
        <v/>
      </c>
      <c r="CU17" s="87"/>
      <c r="CV17" s="87"/>
      <c r="CW17" s="87"/>
      <c r="CX17" s="87"/>
      <c r="CY17" s="87"/>
      <c r="CZ17" s="87"/>
      <c r="DA17" s="87"/>
      <c r="DB17" s="87"/>
      <c r="DC17" s="87"/>
      <c r="DD17" s="87"/>
      <c r="DE17" s="87"/>
      <c r="DF17" s="87"/>
      <c r="DG17" s="87"/>
      <c r="DH17" s="87"/>
      <c r="DI17" s="87"/>
      <c r="DJ17" s="87"/>
      <c r="DK17" s="87"/>
      <c r="DL17" s="87"/>
      <c r="DM17" s="87"/>
      <c r="DN17" s="87"/>
      <c r="DO17" s="87"/>
      <c r="DP17" s="87"/>
      <c r="DQ17" s="87"/>
      <c r="DR17" s="87"/>
      <c r="DS17" s="87"/>
      <c r="DT17" s="87"/>
      <c r="DU17" s="87"/>
      <c r="DV17" s="87"/>
      <c r="DW17" s="87"/>
      <c r="DX17" s="87"/>
      <c r="DY17" s="327"/>
      <c r="DZ17" s="315" t="str">
        <f>IF(ISBLANK(DZ$11),"",DZ$11)</f>
        <v/>
      </c>
      <c r="EA17" s="315" t="str" cm="1">
        <f t="array" ref="EA17">MultiMatch(Assessments[[#This Row],[Assessment.specifiedBy.language.Multireference.]],Vocabularies[name],0)</f>
        <v/>
      </c>
      <c r="EB17" s="87" t="str">
        <f>IF(ISBLANK(EB$11),"",EB$11)</f>
        <v/>
      </c>
      <c r="EC17" s="315" t="str" cm="1">
        <f t="array" ref="EC17">MultiMatch(Assessments[[#This Row],[Assessment.specifiedBy.mode.Multireference.]],Vocabularies[name],0)</f>
        <v/>
      </c>
      <c r="ED17" s="315" t="str">
        <f>IF(ISBLANK(ED$11),"",ED$11)</f>
        <v/>
      </c>
      <c r="EE17" s="315" t="str" cm="1">
        <f t="array" ref="EE17">MultiMatch(Assessments[[#This Row],[Column2]],Vocabularies[name],0)</f>
        <v/>
      </c>
      <c r="EF17" s="103"/>
      <c r="EG17" s="87" t="str">
        <f t="shared" si="6"/>
        <v/>
      </c>
      <c r="EH17" s="87" t="str">
        <f t="shared" si="6"/>
        <v/>
      </c>
      <c r="EI17" s="87" t="str">
        <f t="shared" si="6"/>
        <v/>
      </c>
      <c r="EJ17" s="87" t="str">
        <f t="shared" si="6"/>
        <v/>
      </c>
      <c r="EK17" s="87" t="str">
        <f t="shared" si="6"/>
        <v/>
      </c>
      <c r="EL17" s="87" t="str">
        <f t="shared" si="6"/>
        <v/>
      </c>
      <c r="EM17" s="87" t="str">
        <f t="shared" si="6"/>
        <v/>
      </c>
      <c r="EN17" s="87" t="str">
        <f t="shared" si="6"/>
        <v/>
      </c>
      <c r="EO17" s="87" t="str">
        <f t="shared" si="6"/>
        <v/>
      </c>
      <c r="EP17" s="87" t="str">
        <f t="shared" si="6"/>
        <v/>
      </c>
      <c r="EQ17" s="87" t="str">
        <f t="shared" si="7"/>
        <v/>
      </c>
      <c r="ER17" s="87" t="str">
        <f t="shared" si="7"/>
        <v/>
      </c>
      <c r="ES17" s="87" t="str">
        <f t="shared" si="7"/>
        <v/>
      </c>
      <c r="ET17" s="87" t="str">
        <f t="shared" si="7"/>
        <v/>
      </c>
      <c r="EU17" s="87" t="str">
        <f t="shared" si="7"/>
        <v/>
      </c>
      <c r="EV17" s="87" t="str">
        <f t="shared" si="7"/>
        <v/>
      </c>
      <c r="EW17" s="87" t="str">
        <f t="shared" si="7"/>
        <v/>
      </c>
      <c r="EX17" s="87" t="str">
        <f t="shared" si="7"/>
        <v/>
      </c>
      <c r="EY17" s="87"/>
      <c r="EZ17" s="87" t="str">
        <f t="shared" si="8"/>
        <v/>
      </c>
      <c r="FA17" s="87" t="str">
        <f t="shared" si="8"/>
        <v/>
      </c>
      <c r="FB17" s="87" t="str">
        <f t="shared" si="8"/>
        <v/>
      </c>
      <c r="FC17" s="87" t="str">
        <f t="shared" si="8"/>
        <v/>
      </c>
      <c r="FD17" s="87" t="str">
        <f t="shared" si="8"/>
        <v/>
      </c>
      <c r="FE17" s="87" t="str">
        <f t="shared" si="8"/>
        <v/>
      </c>
      <c r="FF17" s="87" t="str">
        <f t="shared" si="8"/>
        <v/>
      </c>
      <c r="FG17" s="87" t="str">
        <f t="shared" si="8"/>
        <v/>
      </c>
      <c r="FH17" s="87"/>
      <c r="FI17" s="87"/>
      <c r="FJ17" s="87" t="str">
        <f t="shared" si="9"/>
        <v/>
      </c>
      <c r="FK17" s="87" t="str">
        <f t="shared" si="9"/>
        <v/>
      </c>
      <c r="FL17" s="87" t="str">
        <f t="shared" si="9"/>
        <v/>
      </c>
      <c r="FM17" s="87" t="str">
        <f t="shared" si="9"/>
        <v/>
      </c>
      <c r="FN17" s="87" t="str">
        <f t="shared" si="9"/>
        <v/>
      </c>
      <c r="FO17" s="87" t="str">
        <f t="shared" si="9"/>
        <v/>
      </c>
      <c r="FP17" s="87" t="str">
        <f t="shared" si="9"/>
        <v/>
      </c>
      <c r="FQ17" s="87" t="str">
        <f t="shared" si="9"/>
        <v/>
      </c>
      <c r="FR17" s="87" t="str">
        <f t="shared" si="9"/>
        <v/>
      </c>
      <c r="FS17" s="87" t="str">
        <f t="shared" si="9"/>
        <v/>
      </c>
      <c r="FT17" s="87" t="str">
        <f t="shared" si="10"/>
        <v/>
      </c>
      <c r="FU17" s="87" t="str">
        <f t="shared" si="10"/>
        <v/>
      </c>
      <c r="FV17" s="87" t="str">
        <f t="shared" si="10"/>
        <v/>
      </c>
      <c r="FW17" s="87" t="str">
        <f t="shared" si="10"/>
        <v/>
      </c>
      <c r="FX17" s="87" t="str">
        <f t="shared" si="10"/>
        <v/>
      </c>
      <c r="FY17" s="87" t="str">
        <f t="shared" si="10"/>
        <v/>
      </c>
      <c r="FZ17" s="87" t="str">
        <f t="shared" si="10"/>
        <v/>
      </c>
      <c r="GA17" s="87" t="str">
        <f t="shared" si="10"/>
        <v/>
      </c>
      <c r="GB17" s="87" t="str">
        <f t="shared" si="10"/>
        <v/>
      </c>
      <c r="GC17" s="87" t="str">
        <f t="shared" si="10"/>
        <v/>
      </c>
      <c r="GD17" s="87" t="str">
        <f t="shared" si="11"/>
        <v/>
      </c>
      <c r="GE17" s="87" t="str">
        <f t="shared" si="11"/>
        <v/>
      </c>
      <c r="GF17" s="87" t="str">
        <f t="shared" si="11"/>
        <v/>
      </c>
      <c r="GG17" s="87" t="str">
        <f t="shared" si="11"/>
        <v/>
      </c>
      <c r="GH17" s="87" t="str">
        <f t="shared" si="11"/>
        <v/>
      </c>
      <c r="GI17" s="87" t="str">
        <f t="shared" si="11"/>
        <v/>
      </c>
      <c r="GJ17" s="87" t="str">
        <f t="shared" si="11"/>
        <v/>
      </c>
      <c r="GK17" s="87" t="str">
        <f t="shared" si="11"/>
        <v/>
      </c>
      <c r="GL17" s="87" t="str">
        <f t="shared" si="11"/>
        <v/>
      </c>
      <c r="GM17" s="87" t="str">
        <f t="shared" si="11"/>
        <v/>
      </c>
      <c r="GN17" s="87" t="str">
        <f t="shared" si="11"/>
        <v/>
      </c>
      <c r="GO17" s="87" t="str">
        <f>IF(ISBLANK(GO$11),"",GO$11)</f>
        <v/>
      </c>
      <c r="GP17" s="87" t="str">
        <f t="shared" si="12"/>
        <v/>
      </c>
      <c r="GQ17" s="87" t="str">
        <f t="shared" si="12"/>
        <v/>
      </c>
      <c r="GR17" s="87" t="str">
        <f t="shared" si="12"/>
        <v/>
      </c>
      <c r="GS17" s="87" t="str">
        <f t="shared" si="12"/>
        <v/>
      </c>
      <c r="GT17" s="87" t="str">
        <f t="shared" si="12"/>
        <v/>
      </c>
      <c r="GU17" s="87" t="str">
        <f t="shared" si="12"/>
        <v/>
      </c>
      <c r="GV17" s="87" t="str">
        <f t="shared" si="12"/>
        <v/>
      </c>
      <c r="GW17" s="87" t="str">
        <f t="shared" si="12"/>
        <v/>
      </c>
      <c r="GX17" s="87" t="str">
        <f t="shared" si="12"/>
        <v/>
      </c>
      <c r="GY17" s="87" t="str">
        <f t="shared" si="12"/>
        <v/>
      </c>
      <c r="GZ17" s="87" t="str">
        <f t="shared" si="12"/>
        <v/>
      </c>
      <c r="HA17" s="87" t="str">
        <f t="shared" si="12"/>
        <v/>
      </c>
      <c r="HB17" s="87" t="str">
        <f t="shared" si="12"/>
        <v/>
      </c>
      <c r="HC17" s="87" t="str">
        <f t="shared" si="12"/>
        <v/>
      </c>
      <c r="HD17" s="87" t="str">
        <f t="shared" si="12"/>
        <v/>
      </c>
      <c r="HE17" s="87" t="str">
        <f t="shared" si="12"/>
        <v/>
      </c>
      <c r="HF17" s="87"/>
      <c r="HG17" s="87" t="str">
        <f t="shared" si="13"/>
        <v/>
      </c>
      <c r="HH17" s="87" t="str">
        <f t="shared" si="13"/>
        <v/>
      </c>
      <c r="HI17" s="87" t="str">
        <f t="shared" si="13"/>
        <v/>
      </c>
      <c r="HJ17" s="87" t="str">
        <f t="shared" si="13"/>
        <v/>
      </c>
      <c r="HK17" s="87" t="str">
        <f t="shared" si="13"/>
        <v/>
      </c>
      <c r="HL17" s="87" t="str">
        <f t="shared" si="13"/>
        <v/>
      </c>
      <c r="HM17" s="87" t="str">
        <f t="shared" si="13"/>
        <v/>
      </c>
      <c r="HN17" s="87" t="str">
        <f t="shared" si="13"/>
        <v/>
      </c>
      <c r="HO17" s="87"/>
      <c r="HP17" s="87"/>
      <c r="HQ17" s="87" t="str">
        <f>IF(ISBLANK(HQ$11),"",HQ$11)</f>
        <v/>
      </c>
      <c r="HR17" s="87"/>
      <c r="HS17" s="87"/>
      <c r="HT17" s="87" t="str">
        <f>IF(ISBLANK(HT$11),"",HT$11)</f>
        <v/>
      </c>
      <c r="HU17" s="87" t="str">
        <f t="shared" si="14"/>
        <v/>
      </c>
      <c r="HV17" s="87" t="str">
        <f t="shared" si="14"/>
        <v/>
      </c>
      <c r="HW17" s="87" t="str">
        <f t="shared" si="14"/>
        <v/>
      </c>
      <c r="HX17" s="87" t="str">
        <f t="shared" si="14"/>
        <v/>
      </c>
      <c r="HY17" s="87" t="str">
        <f t="shared" si="14"/>
        <v/>
      </c>
      <c r="HZ17" s="87" t="str">
        <f t="shared" si="14"/>
        <v/>
      </c>
      <c r="IA17" s="87" t="str">
        <f t="shared" si="14"/>
        <v/>
      </c>
      <c r="IB17" s="87" t="str">
        <f t="shared" si="14"/>
        <v/>
      </c>
      <c r="IC17" s="87" t="str">
        <f t="shared" si="14"/>
        <v/>
      </c>
      <c r="ID17" s="87" t="str">
        <f t="shared" si="14"/>
        <v/>
      </c>
      <c r="IE17" s="87" t="str">
        <f t="shared" si="14"/>
        <v/>
      </c>
      <c r="IF17" s="87" t="str">
        <f t="shared" si="14"/>
        <v/>
      </c>
      <c r="IG17" s="87" t="str">
        <f t="shared" si="14"/>
        <v/>
      </c>
      <c r="IH17" s="87" t="str">
        <f t="shared" si="14"/>
        <v/>
      </c>
      <c r="II17" s="87" t="str">
        <f t="shared" si="14"/>
        <v/>
      </c>
      <c r="IJ17" s="87" t="str">
        <f t="shared" si="14"/>
        <v/>
      </c>
      <c r="IK17" s="87"/>
      <c r="IL17" s="87" t="str">
        <f t="shared" si="15"/>
        <v/>
      </c>
      <c r="IM17" s="87" t="str">
        <f t="shared" si="15"/>
        <v/>
      </c>
      <c r="IN17" s="87" t="str">
        <f t="shared" si="15"/>
        <v/>
      </c>
      <c r="IO17" s="87" t="str">
        <f t="shared" si="15"/>
        <v/>
      </c>
      <c r="IP17" s="87" t="str">
        <f t="shared" si="15"/>
        <v/>
      </c>
      <c r="IQ17" s="87" t="str">
        <f t="shared" si="15"/>
        <v/>
      </c>
      <c r="IR17" s="87" t="str">
        <f t="shared" si="15"/>
        <v/>
      </c>
      <c r="IS17" s="87" t="str">
        <f t="shared" si="15"/>
        <v/>
      </c>
      <c r="IT17" s="87"/>
      <c r="IU17" s="87"/>
      <c r="IV17" s="87" t="str">
        <f>IF(ISBLANK(IV$11),"",IV$11)</f>
        <v/>
      </c>
    </row>
  </sheetData>
  <sheetProtection algorithmName="SHA-512" hashValue="nyV+zkJZaBh3gv0rJnin6PC6EP5m4BBCYfEQgubIgRmmfskmsoDcurrAgkCq64g/yU3Z7D+PEIM9wqYUiQWCqA==" saltValue="mpZRv0J+h2B/n0rsVRk93w==" spinCount="100000" sheet="1" objects="1" scenarios="1" formatColumns="0"/>
  <mergeCells count="2">
    <mergeCell ref="BQ1:GN1"/>
    <mergeCell ref="GO1:IV1"/>
  </mergeCells>
  <phoneticPr fontId="12" type="noConversion"/>
  <dataValidations count="7">
    <dataValidation type="list" allowBlank="1" showInputMessage="1" showErrorMessage="1" sqref="BJ11 BJ13:BJ19" xr:uid="{00000000-0002-0000-0700-000000000000}">
      <formula1>OrganisationNames</formula1>
    </dataValidation>
    <dataValidation type="list" allowBlank="1" showInputMessage="1" showErrorMessage="1" sqref="BL11 BL13:BL19" xr:uid="{00000000-0002-0000-0700-000001000000}">
      <formula1>IDVerificationNames</formula1>
    </dataValidation>
    <dataValidation type="list" allowBlank="1" showInputMessage="1" showErrorMessage="1" sqref="DZ11 DZ13:DZ19" xr:uid="{00000000-0002-0000-0700-000003000000}">
      <formula1>LanguageNames</formula1>
    </dataValidation>
    <dataValidation type="list" allowBlank="1" showInputMessage="1" showErrorMessage="1" sqref="EB11 EB13:EB19" xr:uid="{00000000-0002-0000-0700-000004000000}">
      <formula1>ModeOfLearningNames</formula1>
    </dataValidation>
    <dataValidation type="list" allowBlank="1" showInputMessage="1" showErrorMessage="1" sqref="ED11" xr:uid="{00000000-0002-0000-0700-000005000000}">
      <formula1>assessmentTypeNames</formula1>
    </dataValidation>
    <dataValidation type="date" operator="greaterThan" allowBlank="1" showInputMessage="1" showErrorMessage="1" sqref="BN11 BN13:BN19" xr:uid="{00000000-0002-0000-0700-000006000000}">
      <formula1>1</formula1>
    </dataValidation>
    <dataValidation type="list" allowBlank="1" showInputMessage="1" showErrorMessage="1" sqref="BO13:BO19" xr:uid="{00000000-0002-0000-0700-000002000000}">
      <formula1>AssessmentNames</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References!$D$1445:$D$1458</xm:f>
          </x14:formula1>
          <xm:sqref>ED12:ED19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RY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defaultColWidth="9.140625" defaultRowHeight="29.1" customHeight="1"/>
  <cols>
    <col min="1" max="1" width="23.85546875" style="79" customWidth="1"/>
    <col min="2" max="2" width="25.85546875" style="79" customWidth="1"/>
    <col min="3" max="30" width="25.85546875" style="79" hidden="1" customWidth="1"/>
    <col min="31" max="31" width="20.85546875" style="79" customWidth="1"/>
    <col min="32" max="34" width="15.85546875" style="79" customWidth="1"/>
    <col min="35" max="35" width="30.85546875" style="79" customWidth="1"/>
    <col min="36" max="63" width="30.85546875" style="79" hidden="1" customWidth="1"/>
    <col min="64" max="64" width="30.85546875" style="79" customWidth="1"/>
    <col min="65" max="65" width="10.85546875" style="79" hidden="1" customWidth="1"/>
    <col min="66" max="66" width="30.85546875" style="145" customWidth="1"/>
    <col min="67" max="94" width="30.85546875" style="108" hidden="1" customWidth="1"/>
    <col min="95" max="95" width="20.85546875" style="108" customWidth="1"/>
    <col min="96" max="96" width="11.42578125" style="108" hidden="1" customWidth="1"/>
    <col min="97" max="97" width="17.42578125" style="108" customWidth="1"/>
    <col min="98" max="98" width="10.85546875" style="108" hidden="1" customWidth="1"/>
    <col min="99" max="99" width="25.85546875" style="79" customWidth="1"/>
    <col min="100" max="101" width="20.85546875" style="79" customWidth="1"/>
    <col min="102" max="102" width="30.85546875" style="79" customWidth="1"/>
    <col min="103" max="130" width="30.85546875" style="79" hidden="1" customWidth="1"/>
    <col min="131" max="131" width="30.85546875" style="79" customWidth="1"/>
    <col min="132" max="132" width="10.85546875" style="79" hidden="1" customWidth="1"/>
    <col min="133" max="133" width="16.42578125" style="79" customWidth="1"/>
    <col min="134" max="134" width="10.85546875" style="79" hidden="1" customWidth="1"/>
    <col min="135" max="135" width="14.85546875" style="79" hidden="1" customWidth="1"/>
    <col min="136" max="137" width="11.42578125" style="114" customWidth="1"/>
    <col min="138" max="16384" width="9.140625" style="114"/>
  </cols>
  <sheetData>
    <row r="1" spans="1:493" ht="23.25">
      <c r="A1" s="99" t="s">
        <v>5670</v>
      </c>
      <c r="B1" s="77"/>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c r="BJ1" s="107"/>
      <c r="BK1" s="107"/>
      <c r="BL1" s="107"/>
      <c r="BM1" s="107"/>
      <c r="BN1" s="340" t="s">
        <v>430</v>
      </c>
      <c r="BO1" s="341"/>
      <c r="BP1" s="341"/>
      <c r="BQ1" s="341"/>
      <c r="BR1" s="341"/>
      <c r="BS1" s="341"/>
      <c r="BT1" s="341"/>
      <c r="BU1" s="341"/>
      <c r="BV1" s="341"/>
      <c r="BW1" s="341"/>
      <c r="BX1" s="341"/>
      <c r="BY1" s="34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c r="DA1" s="341"/>
      <c r="DB1" s="341"/>
      <c r="DC1" s="341"/>
      <c r="DD1" s="341"/>
      <c r="DE1" s="341"/>
      <c r="DF1" s="341"/>
      <c r="DG1" s="341"/>
      <c r="DH1" s="341"/>
      <c r="DI1" s="341"/>
      <c r="DJ1" s="341"/>
      <c r="DK1" s="341"/>
      <c r="DL1" s="341"/>
      <c r="DM1" s="341"/>
      <c r="DN1" s="341"/>
      <c r="DO1" s="341"/>
      <c r="DP1" s="341"/>
      <c r="DQ1" s="341"/>
      <c r="DR1" s="341"/>
      <c r="DS1" s="341"/>
      <c r="DT1" s="341"/>
      <c r="DU1" s="341"/>
      <c r="DV1" s="341"/>
      <c r="DW1" s="341"/>
      <c r="DX1" s="341"/>
      <c r="DY1" s="341"/>
      <c r="DZ1" s="341"/>
      <c r="EA1" s="341"/>
      <c r="EB1" s="341"/>
      <c r="EC1" s="341"/>
      <c r="ED1" s="341"/>
      <c r="EE1" s="341"/>
    </row>
    <row r="2" spans="1:493" ht="18.75" hidden="1" customHeight="1">
      <c r="A2" s="80" t="s">
        <v>1325</v>
      </c>
      <c r="B2" s="109" t="s">
        <v>195</v>
      </c>
      <c r="C2" s="109" t="s">
        <v>195</v>
      </c>
      <c r="D2" s="109" t="s">
        <v>195</v>
      </c>
      <c r="E2" s="109" t="s">
        <v>195</v>
      </c>
      <c r="F2" s="109" t="s">
        <v>195</v>
      </c>
      <c r="G2" s="109" t="s">
        <v>195</v>
      </c>
      <c r="H2" s="109" t="s">
        <v>195</v>
      </c>
      <c r="I2" s="109" t="s">
        <v>195</v>
      </c>
      <c r="J2" s="109" t="s">
        <v>195</v>
      </c>
      <c r="K2" s="109" t="s">
        <v>195</v>
      </c>
      <c r="L2" s="109" t="s">
        <v>195</v>
      </c>
      <c r="M2" s="109" t="s">
        <v>195</v>
      </c>
      <c r="N2" s="109" t="s">
        <v>195</v>
      </c>
      <c r="O2" s="109" t="s">
        <v>195</v>
      </c>
      <c r="P2" s="109" t="s">
        <v>195</v>
      </c>
      <c r="Q2" s="109" t="s">
        <v>195</v>
      </c>
      <c r="R2" s="109" t="s">
        <v>195</v>
      </c>
      <c r="S2" s="109" t="s">
        <v>195</v>
      </c>
      <c r="T2" s="109" t="s">
        <v>195</v>
      </c>
      <c r="U2" s="109" t="s">
        <v>195</v>
      </c>
      <c r="V2" s="109" t="s">
        <v>195</v>
      </c>
      <c r="W2" s="109" t="s">
        <v>195</v>
      </c>
      <c r="X2" s="109" t="s">
        <v>195</v>
      </c>
      <c r="Y2" s="109" t="s">
        <v>195</v>
      </c>
      <c r="Z2" s="109" t="s">
        <v>195</v>
      </c>
      <c r="AA2" s="109" t="s">
        <v>195</v>
      </c>
      <c r="AB2" s="109" t="s">
        <v>195</v>
      </c>
      <c r="AC2" s="109" t="s">
        <v>195</v>
      </c>
      <c r="AD2" s="109" t="s">
        <v>195</v>
      </c>
      <c r="AE2" s="109" t="s">
        <v>1326</v>
      </c>
      <c r="AF2" s="109" t="s">
        <v>1326</v>
      </c>
      <c r="AG2" s="81" t="s">
        <v>195</v>
      </c>
      <c r="AH2" s="81" t="s">
        <v>195</v>
      </c>
      <c r="AI2" s="110" t="s">
        <v>195</v>
      </c>
      <c r="AJ2" s="110" t="s">
        <v>195</v>
      </c>
      <c r="AK2" s="110" t="s">
        <v>195</v>
      </c>
      <c r="AL2" s="110" t="s">
        <v>195</v>
      </c>
      <c r="AM2" s="110" t="s">
        <v>195</v>
      </c>
      <c r="AN2" s="110" t="s">
        <v>195</v>
      </c>
      <c r="AO2" s="110" t="s">
        <v>195</v>
      </c>
      <c r="AP2" s="110" t="s">
        <v>195</v>
      </c>
      <c r="AQ2" s="110" t="s">
        <v>195</v>
      </c>
      <c r="AR2" s="110" t="s">
        <v>195</v>
      </c>
      <c r="AS2" s="110" t="s">
        <v>195</v>
      </c>
      <c r="AT2" s="110" t="s">
        <v>195</v>
      </c>
      <c r="AU2" s="110" t="s">
        <v>195</v>
      </c>
      <c r="AV2" s="110" t="s">
        <v>195</v>
      </c>
      <c r="AW2" s="110" t="s">
        <v>195</v>
      </c>
      <c r="AX2" s="110" t="s">
        <v>195</v>
      </c>
      <c r="AY2" s="110" t="s">
        <v>195</v>
      </c>
      <c r="AZ2" s="110" t="s">
        <v>195</v>
      </c>
      <c r="BA2" s="110" t="s">
        <v>195</v>
      </c>
      <c r="BB2" s="110" t="s">
        <v>195</v>
      </c>
      <c r="BC2" s="110" t="s">
        <v>195</v>
      </c>
      <c r="BD2" s="110" t="s">
        <v>195</v>
      </c>
      <c r="BE2" s="110" t="s">
        <v>195</v>
      </c>
      <c r="BF2" s="110" t="s">
        <v>195</v>
      </c>
      <c r="BG2" s="110" t="s">
        <v>195</v>
      </c>
      <c r="BH2" s="110" t="s">
        <v>195</v>
      </c>
      <c r="BI2" s="110" t="s">
        <v>195</v>
      </c>
      <c r="BJ2" s="110" t="s">
        <v>195</v>
      </c>
      <c r="BK2" s="110" t="s">
        <v>195</v>
      </c>
      <c r="BL2" s="111" t="s">
        <v>195</v>
      </c>
      <c r="BM2" s="111" t="s">
        <v>195</v>
      </c>
      <c r="BN2" s="137" t="s">
        <v>1327</v>
      </c>
      <c r="BO2" s="110" t="s">
        <v>1327</v>
      </c>
      <c r="BP2" s="110" t="s">
        <v>1327</v>
      </c>
      <c r="BQ2" s="110" t="s">
        <v>1327</v>
      </c>
      <c r="BR2" s="110" t="s">
        <v>1327</v>
      </c>
      <c r="BS2" s="110" t="s">
        <v>1327</v>
      </c>
      <c r="BT2" s="110" t="s">
        <v>1327</v>
      </c>
      <c r="BU2" s="110" t="s">
        <v>1327</v>
      </c>
      <c r="BV2" s="110" t="s">
        <v>1327</v>
      </c>
      <c r="BW2" s="110" t="s">
        <v>1327</v>
      </c>
      <c r="BX2" s="110" t="s">
        <v>1327</v>
      </c>
      <c r="BY2" s="110" t="s">
        <v>1327</v>
      </c>
      <c r="BZ2" s="110" t="s">
        <v>1327</v>
      </c>
      <c r="CA2" s="110" t="s">
        <v>1327</v>
      </c>
      <c r="CB2" s="110" t="s">
        <v>1327</v>
      </c>
      <c r="CC2" s="110" t="s">
        <v>1327</v>
      </c>
      <c r="CD2" s="110" t="s">
        <v>1327</v>
      </c>
      <c r="CE2" s="110" t="s">
        <v>1327</v>
      </c>
      <c r="CF2" s="110" t="s">
        <v>1327</v>
      </c>
      <c r="CG2" s="110" t="s">
        <v>1327</v>
      </c>
      <c r="CH2" s="110" t="s">
        <v>1327</v>
      </c>
      <c r="CI2" s="110" t="s">
        <v>1327</v>
      </c>
      <c r="CJ2" s="110" t="s">
        <v>1327</v>
      </c>
      <c r="CK2" s="110" t="s">
        <v>1327</v>
      </c>
      <c r="CL2" s="110" t="s">
        <v>1327</v>
      </c>
      <c r="CM2" s="110" t="s">
        <v>1327</v>
      </c>
      <c r="CN2" s="110" t="s">
        <v>1327</v>
      </c>
      <c r="CO2" s="110" t="s">
        <v>1327</v>
      </c>
      <c r="CP2" s="110" t="s">
        <v>1327</v>
      </c>
      <c r="CQ2" s="110" t="s">
        <v>1327</v>
      </c>
      <c r="CR2" s="110" t="s">
        <v>1327</v>
      </c>
      <c r="CS2" s="109" t="s">
        <v>1327</v>
      </c>
      <c r="CT2" s="109" t="s">
        <v>1327</v>
      </c>
      <c r="CU2" s="109" t="s">
        <v>1328</v>
      </c>
      <c r="CV2" s="109" t="s">
        <v>1328</v>
      </c>
      <c r="CW2" s="109" t="s">
        <v>6707</v>
      </c>
      <c r="CX2" s="109" t="s">
        <v>1327</v>
      </c>
      <c r="CY2" s="109" t="s">
        <v>1327</v>
      </c>
      <c r="CZ2" s="109" t="s">
        <v>1327</v>
      </c>
      <c r="DA2" s="109" t="s">
        <v>1327</v>
      </c>
      <c r="DB2" s="109" t="s">
        <v>1327</v>
      </c>
      <c r="DC2" s="109" t="s">
        <v>1327</v>
      </c>
      <c r="DD2" s="109" t="s">
        <v>1327</v>
      </c>
      <c r="DE2" s="109" t="s">
        <v>1327</v>
      </c>
      <c r="DF2" s="109" t="s">
        <v>1327</v>
      </c>
      <c r="DG2" s="109" t="s">
        <v>1327</v>
      </c>
      <c r="DH2" s="109" t="s">
        <v>1327</v>
      </c>
      <c r="DI2" s="109" t="s">
        <v>1327</v>
      </c>
      <c r="DJ2" s="109" t="s">
        <v>1327</v>
      </c>
      <c r="DK2" s="109" t="s">
        <v>1327</v>
      </c>
      <c r="DL2" s="109" t="s">
        <v>1327</v>
      </c>
      <c r="DM2" s="109" t="s">
        <v>1327</v>
      </c>
      <c r="DN2" s="109" t="s">
        <v>1327</v>
      </c>
      <c r="DO2" s="109" t="s">
        <v>1327</v>
      </c>
      <c r="DP2" s="109" t="s">
        <v>1327</v>
      </c>
      <c r="DQ2" s="109" t="s">
        <v>1327</v>
      </c>
      <c r="DR2" s="109" t="s">
        <v>1327</v>
      </c>
      <c r="DS2" s="109" t="s">
        <v>1327</v>
      </c>
      <c r="DT2" s="109" t="s">
        <v>1327</v>
      </c>
      <c r="DU2" s="109" t="s">
        <v>1327</v>
      </c>
      <c r="DV2" s="109" t="s">
        <v>1327</v>
      </c>
      <c r="DW2" s="109" t="s">
        <v>1327</v>
      </c>
      <c r="DX2" s="109" t="s">
        <v>1327</v>
      </c>
      <c r="DY2" s="109" t="s">
        <v>1327</v>
      </c>
      <c r="DZ2" s="109" t="s">
        <v>1327</v>
      </c>
      <c r="EA2" s="109" t="s">
        <v>1327</v>
      </c>
      <c r="EB2" s="109" t="s">
        <v>1327</v>
      </c>
      <c r="EC2" s="109" t="s">
        <v>1327</v>
      </c>
      <c r="ED2" s="109" t="s">
        <v>1327</v>
      </c>
      <c r="EE2" s="112" t="s">
        <v>1329</v>
      </c>
    </row>
    <row r="3" spans="1:493" ht="30" hidden="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81" t="s">
        <v>1077</v>
      </c>
      <c r="AH3" s="81" t="s">
        <v>1330</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443</v>
      </c>
      <c r="BM3" s="93" t="s">
        <v>443</v>
      </c>
      <c r="BN3" s="137" t="s">
        <v>18</v>
      </c>
      <c r="BO3" s="110" t="s">
        <v>18</v>
      </c>
      <c r="BP3" s="110" t="s">
        <v>18</v>
      </c>
      <c r="BQ3" s="110" t="s">
        <v>18</v>
      </c>
      <c r="BR3" s="110" t="s">
        <v>18</v>
      </c>
      <c r="BS3" s="110" t="s">
        <v>18</v>
      </c>
      <c r="BT3" s="110" t="s">
        <v>18</v>
      </c>
      <c r="BU3" s="110" t="s">
        <v>18</v>
      </c>
      <c r="BV3" s="110" t="s">
        <v>18</v>
      </c>
      <c r="BW3" s="110" t="s">
        <v>18</v>
      </c>
      <c r="BX3" s="110" t="s">
        <v>18</v>
      </c>
      <c r="BY3" s="110" t="s">
        <v>18</v>
      </c>
      <c r="BZ3" s="110" t="s">
        <v>18</v>
      </c>
      <c r="CA3" s="110" t="s">
        <v>18</v>
      </c>
      <c r="CB3" s="110" t="s">
        <v>18</v>
      </c>
      <c r="CC3" s="110" t="s">
        <v>18</v>
      </c>
      <c r="CD3" s="110" t="s">
        <v>18</v>
      </c>
      <c r="CE3" s="110" t="s">
        <v>18</v>
      </c>
      <c r="CF3" s="110" t="s">
        <v>18</v>
      </c>
      <c r="CG3" s="110" t="s">
        <v>18</v>
      </c>
      <c r="CH3" s="110" t="s">
        <v>18</v>
      </c>
      <c r="CI3" s="110" t="s">
        <v>18</v>
      </c>
      <c r="CJ3" s="110" t="s">
        <v>18</v>
      </c>
      <c r="CK3" s="110" t="s">
        <v>18</v>
      </c>
      <c r="CL3" s="110" t="s">
        <v>18</v>
      </c>
      <c r="CM3" s="110" t="s">
        <v>18</v>
      </c>
      <c r="CN3" s="110" t="s">
        <v>18</v>
      </c>
      <c r="CO3" s="110" t="s">
        <v>18</v>
      </c>
      <c r="CP3" s="110" t="s">
        <v>18</v>
      </c>
      <c r="CQ3" s="110" t="s">
        <v>1331</v>
      </c>
      <c r="CR3" s="110" t="s">
        <v>1331</v>
      </c>
      <c r="CS3" s="110" t="s">
        <v>1332</v>
      </c>
      <c r="CT3" s="110" t="s">
        <v>1332</v>
      </c>
      <c r="CU3" s="93" t="s">
        <v>182</v>
      </c>
      <c r="CV3" s="93" t="s">
        <v>33</v>
      </c>
      <c r="CW3" s="93" t="s">
        <v>184</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19</v>
      </c>
      <c r="DZ3" s="93" t="s">
        <v>19</v>
      </c>
      <c r="EA3" s="93" t="s">
        <v>1333</v>
      </c>
      <c r="EB3" s="93" t="s">
        <v>1333</v>
      </c>
      <c r="EC3" s="93" t="s">
        <v>1334</v>
      </c>
      <c r="ED3" s="93" t="s">
        <v>1334</v>
      </c>
      <c r="EE3" s="113"/>
    </row>
    <row r="4" spans="1:493" ht="30" hidden="1">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81" t="s">
        <v>28</v>
      </c>
      <c r="AH4" s="81"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28</v>
      </c>
      <c r="BK4" s="79" t="s">
        <v>28</v>
      </c>
      <c r="BL4" s="79" t="s">
        <v>191</v>
      </c>
      <c r="BM4" s="79" t="s">
        <v>30</v>
      </c>
      <c r="BN4" s="145" t="s">
        <v>31</v>
      </c>
      <c r="BO4" s="108" t="s">
        <v>31</v>
      </c>
      <c r="BP4" s="108" t="s">
        <v>31</v>
      </c>
      <c r="BQ4" s="108" t="s">
        <v>31</v>
      </c>
      <c r="BR4" s="108" t="s">
        <v>31</v>
      </c>
      <c r="BS4" s="108" t="s">
        <v>31</v>
      </c>
      <c r="BT4" s="108" t="s">
        <v>31</v>
      </c>
      <c r="BU4" s="108" t="s">
        <v>31</v>
      </c>
      <c r="BV4" s="108" t="s">
        <v>31</v>
      </c>
      <c r="BW4" s="108" t="s">
        <v>31</v>
      </c>
      <c r="BX4" s="108" t="s">
        <v>31</v>
      </c>
      <c r="BY4" s="108" t="s">
        <v>31</v>
      </c>
      <c r="BZ4" s="108" t="s">
        <v>31</v>
      </c>
      <c r="CA4" s="108" t="s">
        <v>31</v>
      </c>
      <c r="CB4" s="108" t="s">
        <v>31</v>
      </c>
      <c r="CC4" s="108" t="s">
        <v>31</v>
      </c>
      <c r="CD4" s="108" t="s">
        <v>31</v>
      </c>
      <c r="CE4" s="108" t="s">
        <v>31</v>
      </c>
      <c r="CF4" s="108" t="s">
        <v>31</v>
      </c>
      <c r="CG4" s="108" t="s">
        <v>31</v>
      </c>
      <c r="CH4" s="108" t="s">
        <v>31</v>
      </c>
      <c r="CI4" s="108" t="s">
        <v>31</v>
      </c>
      <c r="CJ4" s="108" t="s">
        <v>31</v>
      </c>
      <c r="CK4" s="108" t="s">
        <v>31</v>
      </c>
      <c r="CL4" s="108" t="s">
        <v>31</v>
      </c>
      <c r="CM4" s="108" t="s">
        <v>31</v>
      </c>
      <c r="CN4" s="108" t="s">
        <v>31</v>
      </c>
      <c r="CO4" s="108" t="s">
        <v>31</v>
      </c>
      <c r="CP4" s="108" t="s">
        <v>31</v>
      </c>
      <c r="CQ4" s="108" t="s">
        <v>29</v>
      </c>
      <c r="CR4" s="108" t="s">
        <v>190</v>
      </c>
      <c r="CS4" s="108" t="s">
        <v>29</v>
      </c>
      <c r="CT4" s="108" t="s">
        <v>190</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79" t="s">
        <v>31</v>
      </c>
      <c r="DZ4" s="79" t="s">
        <v>31</v>
      </c>
      <c r="EA4" s="79" t="s">
        <v>191</v>
      </c>
      <c r="EB4" s="79" t="s">
        <v>190</v>
      </c>
      <c r="EC4" s="79" t="s">
        <v>191</v>
      </c>
      <c r="ED4" s="79" t="s">
        <v>190</v>
      </c>
      <c r="EE4" s="113" t="s">
        <v>1335</v>
      </c>
    </row>
    <row r="5" spans="1:493" ht="30" hidden="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81"/>
      <c r="AH5" s="81"/>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195</v>
      </c>
      <c r="BM5" s="79" t="s">
        <v>195</v>
      </c>
      <c r="BN5" s="145" t="s">
        <v>33</v>
      </c>
      <c r="BO5" s="108" t="s">
        <v>33</v>
      </c>
      <c r="BP5" s="108" t="s">
        <v>33</v>
      </c>
      <c r="BQ5" s="108" t="s">
        <v>33</v>
      </c>
      <c r="BR5" s="108" t="s">
        <v>33</v>
      </c>
      <c r="BS5" s="108" t="s">
        <v>33</v>
      </c>
      <c r="BT5" s="108" t="s">
        <v>33</v>
      </c>
      <c r="BU5" s="108" t="s">
        <v>33</v>
      </c>
      <c r="BV5" s="108" t="s">
        <v>33</v>
      </c>
      <c r="BW5" s="108" t="s">
        <v>33</v>
      </c>
      <c r="BX5" s="108" t="s">
        <v>33</v>
      </c>
      <c r="BY5" s="108" t="s">
        <v>33</v>
      </c>
      <c r="BZ5" s="108" t="s">
        <v>33</v>
      </c>
      <c r="CA5" s="108" t="s">
        <v>33</v>
      </c>
      <c r="CB5" s="108" t="s">
        <v>33</v>
      </c>
      <c r="CC5" s="108" t="s">
        <v>33</v>
      </c>
      <c r="CD5" s="108" t="s">
        <v>33</v>
      </c>
      <c r="CE5" s="108" t="s">
        <v>33</v>
      </c>
      <c r="CF5" s="108" t="s">
        <v>33</v>
      </c>
      <c r="CG5" s="108" t="s">
        <v>33</v>
      </c>
      <c r="CH5" s="108" t="s">
        <v>33</v>
      </c>
      <c r="CI5" s="108" t="s">
        <v>33</v>
      </c>
      <c r="CJ5" s="108" t="s">
        <v>33</v>
      </c>
      <c r="CK5" s="108" t="s">
        <v>33</v>
      </c>
      <c r="CL5" s="108" t="s">
        <v>33</v>
      </c>
      <c r="CM5" s="108" t="s">
        <v>33</v>
      </c>
      <c r="CN5" s="108" t="s">
        <v>33</v>
      </c>
      <c r="CO5" s="108" t="s">
        <v>33</v>
      </c>
      <c r="CP5" s="108" t="s">
        <v>33</v>
      </c>
      <c r="CR5" s="108" t="s">
        <v>34</v>
      </c>
      <c r="CT5" s="114" t="s">
        <v>34</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79" t="s">
        <v>33</v>
      </c>
      <c r="DZ5" s="79" t="s">
        <v>33</v>
      </c>
      <c r="EA5" s="79" t="s">
        <v>36</v>
      </c>
      <c r="EB5" s="79" t="s">
        <v>36</v>
      </c>
      <c r="EC5" s="115"/>
      <c r="ED5" s="79" t="s">
        <v>34</v>
      </c>
      <c r="EE5" s="113"/>
    </row>
    <row r="6" spans="1:493" ht="15" hidden="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81"/>
      <c r="AH6" s="81"/>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N6" s="137"/>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113"/>
    </row>
    <row r="7" spans="1:493" ht="15" hidden="1">
      <c r="A7" s="80" t="s">
        <v>40</v>
      </c>
      <c r="B7" s="79"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G7" s="81"/>
      <c r="AH7" s="81"/>
      <c r="AI7" s="79" t="s">
        <v>9</v>
      </c>
      <c r="AJ7" s="80" t="s">
        <v>41</v>
      </c>
      <c r="AK7" s="80" t="s">
        <v>42</v>
      </c>
      <c r="AL7" s="80" t="s">
        <v>43</v>
      </c>
      <c r="AM7" s="80" t="s">
        <v>44</v>
      </c>
      <c r="AN7" s="80" t="s">
        <v>45</v>
      </c>
      <c r="AO7" s="80" t="s">
        <v>46</v>
      </c>
      <c r="AP7" s="80" t="s">
        <v>47</v>
      </c>
      <c r="AQ7" s="80" t="s">
        <v>48</v>
      </c>
      <c r="AR7" s="80" t="s">
        <v>49</v>
      </c>
      <c r="AS7" s="80" t="s">
        <v>50</v>
      </c>
      <c r="AT7" s="80" t="s">
        <v>51</v>
      </c>
      <c r="AU7" s="80" t="s">
        <v>52</v>
      </c>
      <c r="AV7" s="80" t="s">
        <v>53</v>
      </c>
      <c r="AW7" s="80" t="s">
        <v>54</v>
      </c>
      <c r="AX7" s="80" t="s">
        <v>55</v>
      </c>
      <c r="AY7" s="80" t="s">
        <v>56</v>
      </c>
      <c r="AZ7" s="80" t="s">
        <v>5676</v>
      </c>
      <c r="BA7" s="80" t="s">
        <v>57</v>
      </c>
      <c r="BB7" s="80" t="s">
        <v>58</v>
      </c>
      <c r="BC7" s="80" t="s">
        <v>59</v>
      </c>
      <c r="BD7" s="80" t="s">
        <v>60</v>
      </c>
      <c r="BE7" s="80" t="s">
        <v>61</v>
      </c>
      <c r="BF7" s="80" t="s">
        <v>62</v>
      </c>
      <c r="BG7" s="80" t="s">
        <v>63</v>
      </c>
      <c r="BH7" s="80" t="s">
        <v>64</v>
      </c>
      <c r="BI7" s="80" t="s">
        <v>5677</v>
      </c>
      <c r="BJ7" s="80" t="s">
        <v>65</v>
      </c>
      <c r="BK7" s="80" t="s">
        <v>5674</v>
      </c>
      <c r="BN7" s="145" t="s">
        <v>9</v>
      </c>
      <c r="BO7" s="105" t="s">
        <v>41</v>
      </c>
      <c r="BP7" s="105" t="s">
        <v>42</v>
      </c>
      <c r="BQ7" s="105" t="s">
        <v>43</v>
      </c>
      <c r="BR7" s="105" t="s">
        <v>44</v>
      </c>
      <c r="BS7" s="105" t="s">
        <v>45</v>
      </c>
      <c r="BT7" s="105" t="s">
        <v>46</v>
      </c>
      <c r="BU7" s="105" t="s">
        <v>47</v>
      </c>
      <c r="BV7" s="105" t="s">
        <v>48</v>
      </c>
      <c r="BW7" s="105" t="s">
        <v>49</v>
      </c>
      <c r="BX7" s="105" t="s">
        <v>50</v>
      </c>
      <c r="BY7" s="105" t="s">
        <v>51</v>
      </c>
      <c r="BZ7" s="105" t="s">
        <v>52</v>
      </c>
      <c r="CA7" s="105" t="s">
        <v>53</v>
      </c>
      <c r="CB7" s="105" t="s">
        <v>54</v>
      </c>
      <c r="CC7" s="105" t="s">
        <v>55</v>
      </c>
      <c r="CD7" s="105" t="s">
        <v>56</v>
      </c>
      <c r="CE7" s="105" t="s">
        <v>5676</v>
      </c>
      <c r="CF7" s="105" t="s">
        <v>57</v>
      </c>
      <c r="CG7" s="105" t="s">
        <v>58</v>
      </c>
      <c r="CH7" s="105" t="s">
        <v>59</v>
      </c>
      <c r="CI7" s="105" t="s">
        <v>60</v>
      </c>
      <c r="CJ7" s="105" t="s">
        <v>61</v>
      </c>
      <c r="CK7" s="105" t="s">
        <v>62</v>
      </c>
      <c r="CL7" s="105" t="s">
        <v>63</v>
      </c>
      <c r="CM7" s="105" t="s">
        <v>64</v>
      </c>
      <c r="CN7" s="105" t="s">
        <v>5677</v>
      </c>
      <c r="CO7" s="105" t="s">
        <v>65</v>
      </c>
      <c r="CP7" s="105" t="s">
        <v>5674</v>
      </c>
      <c r="CQ7" s="105"/>
      <c r="CR7" s="105"/>
      <c r="CS7" s="105"/>
      <c r="CT7" s="105"/>
      <c r="CX7" s="79" t="s">
        <v>9</v>
      </c>
      <c r="CY7" s="80" t="s">
        <v>41</v>
      </c>
      <c r="CZ7" s="80" t="s">
        <v>42</v>
      </c>
      <c r="DA7" s="80" t="s">
        <v>43</v>
      </c>
      <c r="DB7" s="80" t="s">
        <v>44</v>
      </c>
      <c r="DC7" s="80" t="s">
        <v>45</v>
      </c>
      <c r="DD7" s="80" t="s">
        <v>46</v>
      </c>
      <c r="DE7" s="80" t="s">
        <v>47</v>
      </c>
      <c r="DF7" s="80" t="s">
        <v>48</v>
      </c>
      <c r="DG7" s="80" t="s">
        <v>49</v>
      </c>
      <c r="DH7" s="80" t="s">
        <v>50</v>
      </c>
      <c r="DI7" s="80" t="s">
        <v>51</v>
      </c>
      <c r="DJ7" s="80" t="s">
        <v>52</v>
      </c>
      <c r="DK7" s="80" t="s">
        <v>53</v>
      </c>
      <c r="DL7" s="80" t="s">
        <v>54</v>
      </c>
      <c r="DM7" s="80" t="s">
        <v>55</v>
      </c>
      <c r="DN7" s="80" t="s">
        <v>56</v>
      </c>
      <c r="DO7" s="80" t="s">
        <v>5676</v>
      </c>
      <c r="DP7" s="80" t="s">
        <v>57</v>
      </c>
      <c r="DQ7" s="80" t="s">
        <v>58</v>
      </c>
      <c r="DR7" s="80" t="s">
        <v>59</v>
      </c>
      <c r="DS7" s="80" t="s">
        <v>60</v>
      </c>
      <c r="DT7" s="80" t="s">
        <v>61</v>
      </c>
      <c r="DU7" s="80" t="s">
        <v>62</v>
      </c>
      <c r="DV7" s="80" t="s">
        <v>63</v>
      </c>
      <c r="DW7" s="80" t="s">
        <v>64</v>
      </c>
      <c r="DX7" s="80" t="s">
        <v>5677</v>
      </c>
      <c r="DY7" s="80" t="s">
        <v>65</v>
      </c>
      <c r="DZ7" s="80" t="s">
        <v>5674</v>
      </c>
      <c r="EE7" s="113"/>
    </row>
    <row r="8" spans="1:493" s="126" customFormat="1" ht="29.1"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1336</v>
      </c>
      <c r="AF8" s="279" t="s">
        <v>463</v>
      </c>
      <c r="AG8" s="18" t="s">
        <v>1337</v>
      </c>
      <c r="AH8" s="18" t="s">
        <v>1338</v>
      </c>
      <c r="AI8" s="18" t="s">
        <v>68</v>
      </c>
      <c r="AJ8" s="18" t="s">
        <v>6326</v>
      </c>
      <c r="AK8" s="18" t="s">
        <v>6327</v>
      </c>
      <c r="AL8" s="18" t="s">
        <v>6328</v>
      </c>
      <c r="AM8" s="18" t="s">
        <v>6329</v>
      </c>
      <c r="AN8" s="18" t="s">
        <v>6330</v>
      </c>
      <c r="AO8" s="18" t="s">
        <v>6331</v>
      </c>
      <c r="AP8" s="18" t="s">
        <v>6332</v>
      </c>
      <c r="AQ8" s="18" t="s">
        <v>6333</v>
      </c>
      <c r="AR8" s="18" t="s">
        <v>68</v>
      </c>
      <c r="AS8" s="18" t="s">
        <v>6334</v>
      </c>
      <c r="AT8" s="18" t="s">
        <v>6335</v>
      </c>
      <c r="AU8" s="18" t="s">
        <v>6336</v>
      </c>
      <c r="AV8" s="18" t="s">
        <v>6337</v>
      </c>
      <c r="AW8" s="18" t="s">
        <v>6338</v>
      </c>
      <c r="AX8" s="18" t="s">
        <v>6339</v>
      </c>
      <c r="AY8" s="18" t="s">
        <v>6340</v>
      </c>
      <c r="AZ8" s="18" t="s">
        <v>6341</v>
      </c>
      <c r="BA8" s="18" t="s">
        <v>6342</v>
      </c>
      <c r="BB8" s="18" t="s">
        <v>6343</v>
      </c>
      <c r="BC8" s="18" t="s">
        <v>6328</v>
      </c>
      <c r="BD8" s="18" t="s">
        <v>6335</v>
      </c>
      <c r="BE8" s="18" t="s">
        <v>6344</v>
      </c>
      <c r="BF8" s="18" t="s">
        <v>6345</v>
      </c>
      <c r="BG8" s="18" t="s">
        <v>6335</v>
      </c>
      <c r="BH8" s="18" t="s">
        <v>6335</v>
      </c>
      <c r="BI8" s="18" t="s">
        <v>6335</v>
      </c>
      <c r="BJ8" s="18" t="s">
        <v>6346</v>
      </c>
      <c r="BK8" s="18" t="s">
        <v>6347</v>
      </c>
      <c r="BL8" s="18" t="s">
        <v>1339</v>
      </c>
      <c r="BM8" s="18"/>
      <c r="BN8" s="212" t="s">
        <v>1340</v>
      </c>
      <c r="BO8" s="18" t="s">
        <v>6634</v>
      </c>
      <c r="BP8" s="18" t="s">
        <v>6635</v>
      </c>
      <c r="BQ8" s="18" t="s">
        <v>6636</v>
      </c>
      <c r="BR8" s="18" t="s">
        <v>6637</v>
      </c>
      <c r="BS8" s="18" t="s">
        <v>6638</v>
      </c>
      <c r="BT8" s="18" t="s">
        <v>6639</v>
      </c>
      <c r="BU8" s="18" t="s">
        <v>6640</v>
      </c>
      <c r="BV8" s="18" t="s">
        <v>6641</v>
      </c>
      <c r="BW8" s="18" t="s">
        <v>6642</v>
      </c>
      <c r="BX8" s="18" t="s">
        <v>6643</v>
      </c>
      <c r="BY8" s="18" t="s">
        <v>6644</v>
      </c>
      <c r="BZ8" s="18" t="s">
        <v>6645</v>
      </c>
      <c r="CA8" s="18" t="s">
        <v>6646</v>
      </c>
      <c r="CB8" s="18" t="s">
        <v>6648</v>
      </c>
      <c r="CC8" s="18" t="s">
        <v>6649</v>
      </c>
      <c r="CD8" s="18" t="s">
        <v>6650</v>
      </c>
      <c r="CE8" s="18" t="s">
        <v>6651</v>
      </c>
      <c r="CF8" s="18" t="s">
        <v>6652</v>
      </c>
      <c r="CG8" s="18" t="s">
        <v>6653</v>
      </c>
      <c r="CH8" s="18" t="s">
        <v>6655</v>
      </c>
      <c r="CI8" s="18" t="s">
        <v>6656</v>
      </c>
      <c r="CJ8" s="18" t="s">
        <v>6657</v>
      </c>
      <c r="CK8" s="18" t="s">
        <v>6658</v>
      </c>
      <c r="CL8" s="18" t="s">
        <v>6659</v>
      </c>
      <c r="CM8" s="18" t="s">
        <v>6660</v>
      </c>
      <c r="CN8" s="18" t="s">
        <v>6644</v>
      </c>
      <c r="CO8" s="18" t="s">
        <v>6661</v>
      </c>
      <c r="CP8" s="18" t="s">
        <v>6662</v>
      </c>
      <c r="CQ8" s="236" t="s">
        <v>1341</v>
      </c>
      <c r="CR8" s="215"/>
      <c r="CS8" s="236" t="s">
        <v>1342</v>
      </c>
      <c r="CT8" s="18"/>
      <c r="CU8" s="278" t="s">
        <v>1343</v>
      </c>
      <c r="CV8" s="279" t="s">
        <v>1344</v>
      </c>
      <c r="CW8" s="18" t="s">
        <v>489</v>
      </c>
      <c r="CX8" s="18" t="s">
        <v>68</v>
      </c>
      <c r="CY8" s="18" t="s">
        <v>6326</v>
      </c>
      <c r="CZ8" s="18" t="s">
        <v>6327</v>
      </c>
      <c r="DA8" s="18" t="s">
        <v>6328</v>
      </c>
      <c r="DB8" s="18" t="s">
        <v>6329</v>
      </c>
      <c r="DC8" s="18" t="s">
        <v>6330</v>
      </c>
      <c r="DD8" s="18" t="s">
        <v>6331</v>
      </c>
      <c r="DE8" s="18" t="s">
        <v>6332</v>
      </c>
      <c r="DF8" s="18" t="s">
        <v>6333</v>
      </c>
      <c r="DG8" s="18" t="s">
        <v>68</v>
      </c>
      <c r="DH8" s="18" t="s">
        <v>6334</v>
      </c>
      <c r="DI8" s="18" t="s">
        <v>6335</v>
      </c>
      <c r="DJ8" s="18" t="s">
        <v>6336</v>
      </c>
      <c r="DK8" s="18" t="s">
        <v>6337</v>
      </c>
      <c r="DL8" s="18" t="s">
        <v>6338</v>
      </c>
      <c r="DM8" s="18" t="s">
        <v>6339</v>
      </c>
      <c r="DN8" s="18" t="s">
        <v>6340</v>
      </c>
      <c r="DO8" s="18" t="s">
        <v>6341</v>
      </c>
      <c r="DP8" s="18" t="s">
        <v>6342</v>
      </c>
      <c r="DQ8" s="18" t="s">
        <v>6343</v>
      </c>
      <c r="DR8" s="18" t="s">
        <v>6328</v>
      </c>
      <c r="DS8" s="18" t="s">
        <v>6335</v>
      </c>
      <c r="DT8" s="18" t="s">
        <v>6344</v>
      </c>
      <c r="DU8" s="18" t="s">
        <v>6345</v>
      </c>
      <c r="DV8" s="18" t="s">
        <v>6335</v>
      </c>
      <c r="DW8" s="18" t="s">
        <v>6335</v>
      </c>
      <c r="DX8" s="18" t="s">
        <v>6335</v>
      </c>
      <c r="DY8" s="18" t="s">
        <v>6346</v>
      </c>
      <c r="DZ8" s="18" t="s">
        <v>6347</v>
      </c>
      <c r="EA8" s="18" t="s">
        <v>1345</v>
      </c>
      <c r="EB8" s="18"/>
      <c r="EC8" s="18" t="s">
        <v>1346</v>
      </c>
      <c r="ED8" s="18"/>
      <c r="EE8" s="18" t="s">
        <v>1347</v>
      </c>
      <c r="EF8" s="69"/>
      <c r="EG8" s="69"/>
      <c r="EH8" s="69"/>
      <c r="EI8" s="69"/>
      <c r="EJ8" s="69"/>
      <c r="EK8" s="69"/>
      <c r="EL8" s="69"/>
      <c r="EM8" s="69"/>
      <c r="EN8" s="69"/>
      <c r="EO8" s="69"/>
      <c r="EP8" s="69"/>
      <c r="EQ8" s="69"/>
      <c r="ER8" s="69"/>
      <c r="ES8" s="69"/>
      <c r="ET8" s="69"/>
      <c r="EU8" s="69"/>
      <c r="EV8" s="69"/>
      <c r="EW8" s="69"/>
      <c r="EX8" s="69"/>
      <c r="EY8" s="69"/>
      <c r="EZ8" s="69"/>
      <c r="FA8" s="69"/>
      <c r="FB8" s="69"/>
      <c r="FC8" s="69"/>
      <c r="FD8" s="69"/>
      <c r="FE8" s="69"/>
      <c r="FF8" s="69"/>
      <c r="FG8" s="69"/>
      <c r="FH8" s="69"/>
      <c r="FI8" s="69"/>
      <c r="FJ8" s="69"/>
      <c r="FK8" s="69"/>
      <c r="FL8" s="69"/>
      <c r="FM8" s="69"/>
      <c r="FN8" s="69"/>
      <c r="FO8" s="69"/>
      <c r="FP8" s="69"/>
      <c r="FQ8" s="69"/>
      <c r="FR8" s="69"/>
      <c r="FS8" s="69"/>
      <c r="FT8" s="69"/>
      <c r="FU8" s="69"/>
      <c r="FV8" s="69"/>
      <c r="FW8" s="69"/>
      <c r="FX8" s="69"/>
      <c r="FY8" s="69"/>
      <c r="FZ8" s="69"/>
      <c r="GA8" s="69"/>
      <c r="GB8" s="69"/>
      <c r="GC8" s="69"/>
      <c r="GD8" s="69"/>
      <c r="GE8" s="69"/>
      <c r="GF8" s="69"/>
      <c r="GG8" s="69"/>
      <c r="GH8" s="69"/>
      <c r="GI8" s="69"/>
      <c r="GJ8" s="69"/>
      <c r="GK8" s="69"/>
      <c r="GL8" s="69"/>
      <c r="GM8" s="69"/>
      <c r="GN8" s="69"/>
      <c r="GO8" s="69"/>
      <c r="GP8" s="69"/>
      <c r="GQ8" s="69"/>
      <c r="GR8" s="69"/>
      <c r="GS8" s="69"/>
      <c r="GT8" s="69"/>
      <c r="GU8" s="69"/>
      <c r="GV8" s="69"/>
      <c r="GW8" s="69"/>
      <c r="GX8" s="69"/>
      <c r="GY8" s="69"/>
      <c r="GZ8" s="69"/>
      <c r="HA8" s="69"/>
      <c r="HB8" s="69"/>
      <c r="HC8" s="69"/>
      <c r="HD8" s="69"/>
      <c r="HE8" s="69"/>
      <c r="HF8" s="69"/>
      <c r="HG8" s="69"/>
      <c r="HH8" s="69"/>
      <c r="HI8" s="69"/>
      <c r="HJ8" s="69"/>
      <c r="HK8" s="69"/>
      <c r="HL8" s="69"/>
      <c r="HM8" s="69"/>
      <c r="HN8" s="69"/>
      <c r="HO8" s="69"/>
      <c r="HP8" s="69"/>
      <c r="HQ8" s="69"/>
      <c r="HR8" s="69"/>
      <c r="HS8" s="69"/>
      <c r="HT8" s="69"/>
      <c r="HU8" s="69"/>
      <c r="HV8" s="69"/>
      <c r="HW8" s="69"/>
      <c r="HX8" s="69"/>
      <c r="HY8" s="69"/>
      <c r="HZ8" s="69"/>
      <c r="IA8" s="69"/>
      <c r="IB8" s="69"/>
      <c r="IC8" s="69"/>
      <c r="ID8" s="69"/>
      <c r="IE8" s="69"/>
      <c r="IF8" s="69"/>
      <c r="IG8" s="69"/>
      <c r="IH8" s="69"/>
      <c r="II8" s="69"/>
      <c r="IJ8" s="69"/>
      <c r="IK8" s="69"/>
      <c r="IL8" s="69"/>
      <c r="IM8" s="69"/>
      <c r="IN8" s="69"/>
      <c r="IO8" s="69"/>
      <c r="IP8" s="69"/>
      <c r="IQ8" s="69"/>
      <c r="IR8" s="69"/>
      <c r="IS8" s="69"/>
      <c r="IT8" s="69"/>
      <c r="IU8" s="69"/>
      <c r="IV8" s="69"/>
      <c r="IW8" s="69"/>
      <c r="IX8" s="69"/>
      <c r="IY8" s="69"/>
      <c r="IZ8" s="69"/>
      <c r="JA8" s="69"/>
      <c r="JB8" s="69"/>
      <c r="JC8" s="69"/>
      <c r="JD8" s="69"/>
      <c r="JE8" s="69"/>
      <c r="JF8" s="69"/>
      <c r="JG8" s="69"/>
      <c r="JH8" s="69"/>
      <c r="JI8" s="69"/>
      <c r="JJ8" s="69"/>
      <c r="JK8" s="69"/>
      <c r="JL8" s="69"/>
      <c r="JM8" s="69"/>
      <c r="JN8" s="69"/>
      <c r="JO8" s="69"/>
      <c r="JP8" s="69"/>
      <c r="JQ8" s="124"/>
      <c r="JR8" s="124"/>
      <c r="JS8" s="124"/>
      <c r="JT8" s="124"/>
      <c r="JU8" s="124"/>
      <c r="JV8" s="124"/>
      <c r="JW8" s="124"/>
      <c r="JX8" s="124"/>
      <c r="JY8" s="124"/>
      <c r="JZ8" s="124"/>
      <c r="KA8" s="124"/>
      <c r="KB8" s="124"/>
      <c r="KC8" s="124"/>
      <c r="KD8" s="124"/>
      <c r="KE8" s="124"/>
      <c r="KF8" s="124"/>
      <c r="KG8" s="124"/>
      <c r="KH8" s="124"/>
      <c r="KI8" s="124"/>
      <c r="KJ8" s="124"/>
      <c r="KK8" s="124"/>
      <c r="KL8" s="124"/>
      <c r="KM8" s="124"/>
      <c r="KN8" s="124"/>
      <c r="KO8" s="124"/>
      <c r="KP8" s="124"/>
      <c r="KQ8" s="124"/>
      <c r="KR8" s="124"/>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70"/>
      <c r="LQ8" s="70"/>
      <c r="LR8" s="70"/>
      <c r="LS8" s="70"/>
      <c r="LT8" s="70"/>
      <c r="LU8" s="70"/>
      <c r="LV8" s="70"/>
      <c r="LW8" s="70"/>
      <c r="LX8" s="70"/>
      <c r="LY8" s="70"/>
      <c r="LZ8" s="70"/>
      <c r="MA8" s="70"/>
      <c r="MB8" s="70"/>
      <c r="MC8" s="70"/>
      <c r="MD8" s="70"/>
      <c r="ME8" s="70"/>
      <c r="MF8" s="70"/>
      <c r="MG8" s="70"/>
      <c r="MH8" s="70"/>
      <c r="MI8" s="70"/>
      <c r="MJ8" s="70"/>
      <c r="MK8" s="70"/>
      <c r="ML8" s="70"/>
      <c r="MM8" s="70"/>
      <c r="MN8" s="70"/>
      <c r="MO8" s="70"/>
      <c r="MP8" s="70"/>
      <c r="MQ8" s="70"/>
      <c r="MR8" s="124"/>
      <c r="MS8" s="124"/>
      <c r="MT8" s="124"/>
      <c r="MU8" s="124"/>
      <c r="MV8" s="124"/>
      <c r="MW8" s="124"/>
      <c r="MX8" s="124"/>
      <c r="MY8" s="124"/>
      <c r="MZ8" s="124"/>
      <c r="NA8" s="124"/>
      <c r="NB8" s="124"/>
      <c r="NC8" s="124"/>
      <c r="ND8" s="124"/>
      <c r="NE8" s="124"/>
      <c r="NF8" s="124"/>
      <c r="NG8" s="124"/>
      <c r="NH8" s="124"/>
      <c r="NI8" s="124"/>
      <c r="NJ8" s="124"/>
      <c r="NK8" s="124"/>
      <c r="NL8" s="124"/>
      <c r="NM8" s="124"/>
      <c r="NN8" s="124"/>
      <c r="NO8" s="124"/>
      <c r="NP8" s="124"/>
      <c r="NQ8" s="124"/>
      <c r="NR8" s="124"/>
      <c r="NS8" s="124"/>
      <c r="NT8" s="124"/>
      <c r="NU8" s="124"/>
      <c r="NV8" s="124"/>
      <c r="NW8" s="124"/>
      <c r="NX8" s="124"/>
      <c r="NY8" s="124"/>
      <c r="NZ8" s="124"/>
      <c r="OA8" s="124"/>
      <c r="OB8" s="124"/>
      <c r="OC8" s="124"/>
      <c r="OD8" s="124"/>
      <c r="OE8" s="124"/>
      <c r="OF8" s="124"/>
      <c r="OG8" s="124"/>
      <c r="OH8" s="124"/>
      <c r="OI8" s="124"/>
      <c r="OJ8" s="124"/>
      <c r="OK8" s="124"/>
      <c r="OL8" s="124"/>
      <c r="OM8" s="124"/>
      <c r="ON8" s="124"/>
      <c r="OO8" s="124"/>
      <c r="OP8" s="124"/>
      <c r="OQ8" s="124"/>
      <c r="OR8" s="124"/>
      <c r="OS8" s="124"/>
      <c r="OT8" s="124"/>
      <c r="OU8" s="124"/>
      <c r="OV8" s="124"/>
      <c r="OW8" s="124"/>
      <c r="OX8" s="124"/>
      <c r="OY8" s="124"/>
      <c r="OZ8" s="124"/>
      <c r="PA8" s="124"/>
      <c r="PB8" s="124"/>
      <c r="PC8" s="124"/>
      <c r="PD8" s="124"/>
      <c r="PE8" s="124"/>
      <c r="PF8" s="124"/>
      <c r="PG8" s="124"/>
      <c r="PH8" s="124"/>
      <c r="PI8" s="124"/>
      <c r="PJ8" s="124"/>
      <c r="PK8" s="124"/>
      <c r="PL8" s="124"/>
      <c r="PM8" s="124"/>
      <c r="PN8" s="124"/>
      <c r="PO8" s="124"/>
      <c r="PP8" s="124"/>
      <c r="PQ8" s="124"/>
      <c r="PR8" s="124"/>
      <c r="PS8" s="124"/>
      <c r="PT8" s="124"/>
      <c r="PU8" s="124"/>
      <c r="PV8" s="124"/>
      <c r="PW8" s="124"/>
      <c r="PX8" s="124"/>
      <c r="PY8" s="124"/>
      <c r="PZ8" s="124"/>
      <c r="QA8" s="124"/>
      <c r="QB8" s="124"/>
      <c r="QC8" s="124"/>
      <c r="QD8" s="124"/>
      <c r="QE8" s="124"/>
      <c r="QF8" s="124"/>
      <c r="QG8" s="124"/>
      <c r="QH8" s="124"/>
      <c r="QI8" s="124"/>
      <c r="QJ8" s="124"/>
      <c r="QK8" s="124"/>
      <c r="QL8" s="124"/>
      <c r="QM8" s="124"/>
      <c r="QN8" s="124"/>
      <c r="QO8" s="124"/>
      <c r="QP8" s="124"/>
      <c r="QQ8" s="124"/>
      <c r="QR8" s="124"/>
      <c r="QS8" s="124"/>
      <c r="QT8" s="124"/>
      <c r="QU8" s="124"/>
      <c r="QV8" s="124"/>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c r="RW8" s="124"/>
      <c r="RX8" s="124"/>
      <c r="RY8" s="124"/>
    </row>
    <row r="9" spans="1:493" s="126" customFormat="1" ht="78" customHeight="1">
      <c r="A9" s="74" t="s">
        <v>66</v>
      </c>
      <c r="B9" s="25" t="s">
        <v>6035</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19" t="s">
        <v>6001</v>
      </c>
      <c r="AF9" s="220" t="s">
        <v>6036</v>
      </c>
      <c r="AG9" s="25" t="s">
        <v>1348</v>
      </c>
      <c r="AH9" s="25" t="s">
        <v>1349</v>
      </c>
      <c r="AI9" s="25" t="s">
        <v>6053</v>
      </c>
      <c r="AJ9" s="25" t="s">
        <v>6247</v>
      </c>
      <c r="AK9" s="25" t="s">
        <v>6248</v>
      </c>
      <c r="AL9" s="25" t="s">
        <v>6249</v>
      </c>
      <c r="AM9" s="25" t="s">
        <v>6250</v>
      </c>
      <c r="AN9" s="25" t="s">
        <v>6251</v>
      </c>
      <c r="AO9" s="25" t="s">
        <v>6252</v>
      </c>
      <c r="AP9" s="25" t="s">
        <v>6253</v>
      </c>
      <c r="AQ9" s="25" t="s">
        <v>6254</v>
      </c>
      <c r="AR9" s="25" t="s">
        <v>6255</v>
      </c>
      <c r="AS9" s="25" t="s">
        <v>6256</v>
      </c>
      <c r="AT9" s="25" t="s">
        <v>6257</v>
      </c>
      <c r="AU9" s="25" t="s">
        <v>6258</v>
      </c>
      <c r="AV9" s="25" t="s">
        <v>6259</v>
      </c>
      <c r="AW9" s="25" t="s">
        <v>6260</v>
      </c>
      <c r="AX9" s="25" t="s">
        <v>6261</v>
      </c>
      <c r="AY9" s="25" t="s">
        <v>6262</v>
      </c>
      <c r="AZ9" s="25" t="s">
        <v>6263</v>
      </c>
      <c r="BA9" s="25" t="s">
        <v>6264</v>
      </c>
      <c r="BB9" s="25" t="s">
        <v>6265</v>
      </c>
      <c r="BC9" s="25" t="s">
        <v>6266</v>
      </c>
      <c r="BD9" s="25" t="s">
        <v>6267</v>
      </c>
      <c r="BE9" s="25" t="s">
        <v>6268</v>
      </c>
      <c r="BF9" s="25" t="s">
        <v>6269</v>
      </c>
      <c r="BG9" s="25" t="s">
        <v>6270</v>
      </c>
      <c r="BH9" s="25" t="s">
        <v>6271</v>
      </c>
      <c r="BI9" s="25" t="s">
        <v>6272</v>
      </c>
      <c r="BJ9" s="25" t="s">
        <v>6273</v>
      </c>
      <c r="BK9" s="25" t="s">
        <v>6274</v>
      </c>
      <c r="BL9" s="25" t="s">
        <v>1350</v>
      </c>
      <c r="BM9" s="25"/>
      <c r="BN9" s="172" t="s">
        <v>1351</v>
      </c>
      <c r="BO9" s="67" t="s">
        <v>6275</v>
      </c>
      <c r="BP9" s="67" t="s">
        <v>6276</v>
      </c>
      <c r="BQ9" s="67" t="s">
        <v>6277</v>
      </c>
      <c r="BR9" s="67" t="s">
        <v>6278</v>
      </c>
      <c r="BS9" s="67" t="s">
        <v>6279</v>
      </c>
      <c r="BT9" s="67" t="s">
        <v>6280</v>
      </c>
      <c r="BU9" s="67" t="s">
        <v>6281</v>
      </c>
      <c r="BV9" s="67" t="s">
        <v>6282</v>
      </c>
      <c r="BW9" s="67" t="s">
        <v>6283</v>
      </c>
      <c r="BX9" s="67" t="s">
        <v>6284</v>
      </c>
      <c r="BY9" s="67" t="s">
        <v>6285</v>
      </c>
      <c r="BZ9" s="67" t="s">
        <v>6286</v>
      </c>
      <c r="CA9" s="67" t="s">
        <v>6647</v>
      </c>
      <c r="CB9" s="67" t="s">
        <v>6287</v>
      </c>
      <c r="CC9" s="67" t="s">
        <v>6288</v>
      </c>
      <c r="CD9" s="67" t="s">
        <v>6289</v>
      </c>
      <c r="CE9" s="67" t="s">
        <v>6290</v>
      </c>
      <c r="CF9" s="67" t="s">
        <v>6291</v>
      </c>
      <c r="CG9" s="67" t="s">
        <v>6654</v>
      </c>
      <c r="CH9" s="67" t="s">
        <v>6292</v>
      </c>
      <c r="CI9" s="67" t="s">
        <v>6293</v>
      </c>
      <c r="CJ9" s="67" t="s">
        <v>6294</v>
      </c>
      <c r="CK9" s="67" t="s">
        <v>6295</v>
      </c>
      <c r="CL9" s="67" t="s">
        <v>6296</v>
      </c>
      <c r="CM9" s="67" t="s">
        <v>6297</v>
      </c>
      <c r="CN9" s="67" t="s">
        <v>6298</v>
      </c>
      <c r="CO9" s="67" t="s">
        <v>6299</v>
      </c>
      <c r="CP9" s="67" t="s">
        <v>6300</v>
      </c>
      <c r="CQ9" s="67" t="s">
        <v>1352</v>
      </c>
      <c r="CR9" s="67"/>
      <c r="CS9" s="67" t="s">
        <v>1353</v>
      </c>
      <c r="CT9" s="67"/>
      <c r="CU9" s="219" t="s">
        <v>6001</v>
      </c>
      <c r="CV9" s="220" t="s">
        <v>6037</v>
      </c>
      <c r="CW9" s="67" t="s">
        <v>6708</v>
      </c>
      <c r="CX9" s="25" t="s">
        <v>6038</v>
      </c>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t="s">
        <v>1354</v>
      </c>
      <c r="EB9" s="25"/>
      <c r="EC9" s="25" t="s">
        <v>1355</v>
      </c>
      <c r="ED9" s="25"/>
      <c r="EE9" s="7"/>
      <c r="EF9" s="72"/>
      <c r="EG9" s="72"/>
      <c r="EH9" s="72"/>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2"/>
      <c r="LQ9" s="72"/>
      <c r="LR9" s="72"/>
      <c r="LS9" s="72"/>
      <c r="LT9" s="72"/>
      <c r="LU9" s="72"/>
      <c r="LV9" s="72"/>
      <c r="LW9" s="72"/>
      <c r="LX9" s="72"/>
      <c r="LY9" s="72"/>
      <c r="LZ9" s="72"/>
      <c r="MA9" s="72"/>
      <c r="MB9" s="72"/>
      <c r="MC9" s="72"/>
      <c r="MD9" s="72"/>
      <c r="ME9" s="72"/>
      <c r="MF9" s="72"/>
      <c r="MG9" s="72"/>
      <c r="MH9" s="72"/>
      <c r="MI9" s="72"/>
      <c r="MJ9" s="72"/>
      <c r="MK9" s="72"/>
      <c r="ML9" s="72"/>
      <c r="MM9" s="72"/>
      <c r="MN9" s="72"/>
      <c r="MO9" s="72"/>
      <c r="MP9" s="72"/>
      <c r="MQ9" s="72"/>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row>
    <row r="10" spans="1:493" ht="15.75"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t="s">
        <v>10</v>
      </c>
      <c r="AJ10" s="84" t="s">
        <v>78</v>
      </c>
      <c r="AK10" s="84" t="s">
        <v>79</v>
      </c>
      <c r="AL10" s="84" t="s">
        <v>80</v>
      </c>
      <c r="AM10" s="84" t="s">
        <v>81</v>
      </c>
      <c r="AN10" s="84" t="s">
        <v>82</v>
      </c>
      <c r="AO10" s="84" t="s">
        <v>83</v>
      </c>
      <c r="AP10" s="84" t="s">
        <v>84</v>
      </c>
      <c r="AQ10" s="84" t="s">
        <v>85</v>
      </c>
      <c r="AR10" s="84" t="s">
        <v>86</v>
      </c>
      <c r="AS10" s="84" t="s">
        <v>87</v>
      </c>
      <c r="AT10" s="84" t="s">
        <v>88</v>
      </c>
      <c r="AU10" s="84" t="s">
        <v>89</v>
      </c>
      <c r="AV10" s="84" t="s">
        <v>90</v>
      </c>
      <c r="AW10" s="84" t="s">
        <v>91</v>
      </c>
      <c r="AX10" s="84" t="s">
        <v>92</v>
      </c>
      <c r="AY10" s="84" t="s">
        <v>93</v>
      </c>
      <c r="AZ10" s="84" t="s">
        <v>5675</v>
      </c>
      <c r="BA10" s="84" t="s">
        <v>94</v>
      </c>
      <c r="BB10" s="84" t="s">
        <v>12</v>
      </c>
      <c r="BC10" s="84" t="s">
        <v>95</v>
      </c>
      <c r="BD10" s="84" t="s">
        <v>96</v>
      </c>
      <c r="BE10" s="84" t="s">
        <v>97</v>
      </c>
      <c r="BF10" s="84" t="s">
        <v>98</v>
      </c>
      <c r="BG10" s="84" t="s">
        <v>99</v>
      </c>
      <c r="BH10" s="84" t="s">
        <v>100</v>
      </c>
      <c r="BI10" s="84" t="s">
        <v>5678</v>
      </c>
      <c r="BJ10" s="84" t="s">
        <v>101</v>
      </c>
      <c r="BK10" s="84" t="s">
        <v>5679</v>
      </c>
      <c r="BL10" s="84"/>
      <c r="BM10" s="84"/>
      <c r="BN10" s="142" t="s">
        <v>10</v>
      </c>
      <c r="BO10" s="84" t="s">
        <v>78</v>
      </c>
      <c r="BP10" s="84" t="s">
        <v>79</v>
      </c>
      <c r="BQ10" s="84" t="s">
        <v>80</v>
      </c>
      <c r="BR10" s="84" t="s">
        <v>81</v>
      </c>
      <c r="BS10" s="84" t="s">
        <v>82</v>
      </c>
      <c r="BT10" s="84" t="s">
        <v>83</v>
      </c>
      <c r="BU10" s="84" t="s">
        <v>84</v>
      </c>
      <c r="BV10" s="84" t="s">
        <v>85</v>
      </c>
      <c r="BW10" s="84" t="s">
        <v>86</v>
      </c>
      <c r="BX10" s="84" t="s">
        <v>87</v>
      </c>
      <c r="BY10" s="84" t="s">
        <v>88</v>
      </c>
      <c r="BZ10" s="84" t="s">
        <v>89</v>
      </c>
      <c r="CA10" s="84" t="s">
        <v>90</v>
      </c>
      <c r="CB10" s="84" t="s">
        <v>91</v>
      </c>
      <c r="CC10" s="84" t="s">
        <v>92</v>
      </c>
      <c r="CD10" s="84" t="s">
        <v>93</v>
      </c>
      <c r="CE10" s="84" t="s">
        <v>5675</v>
      </c>
      <c r="CF10" s="84" t="s">
        <v>94</v>
      </c>
      <c r="CG10" s="84" t="s">
        <v>12</v>
      </c>
      <c r="CH10" s="84" t="s">
        <v>95</v>
      </c>
      <c r="CI10" s="84" t="s">
        <v>96</v>
      </c>
      <c r="CJ10" s="84" t="s">
        <v>97</v>
      </c>
      <c r="CK10" s="84" t="s">
        <v>98</v>
      </c>
      <c r="CL10" s="84" t="s">
        <v>99</v>
      </c>
      <c r="CM10" s="84" t="s">
        <v>100</v>
      </c>
      <c r="CN10" s="84" t="s">
        <v>5678</v>
      </c>
      <c r="CO10" s="84" t="s">
        <v>101</v>
      </c>
      <c r="CP10" s="84" t="s">
        <v>5679</v>
      </c>
      <c r="CQ10" s="84"/>
      <c r="CR10" s="84"/>
      <c r="CS10" s="84"/>
      <c r="CT10" s="84"/>
      <c r="CU10" s="84"/>
      <c r="CV10" s="84"/>
      <c r="CW10" s="84"/>
      <c r="CX10" s="84" t="s">
        <v>10</v>
      </c>
      <c r="CY10" s="84" t="s">
        <v>78</v>
      </c>
      <c r="CZ10" s="84" t="s">
        <v>79</v>
      </c>
      <c r="DA10" s="84" t="s">
        <v>80</v>
      </c>
      <c r="DB10" s="84" t="s">
        <v>81</v>
      </c>
      <c r="DC10" s="84" t="s">
        <v>82</v>
      </c>
      <c r="DD10" s="84" t="s">
        <v>83</v>
      </c>
      <c r="DE10" s="84" t="s">
        <v>84</v>
      </c>
      <c r="DF10" s="84" t="s">
        <v>85</v>
      </c>
      <c r="DG10" s="84" t="s">
        <v>86</v>
      </c>
      <c r="DH10" s="84" t="s">
        <v>87</v>
      </c>
      <c r="DI10" s="84" t="s">
        <v>88</v>
      </c>
      <c r="DJ10" s="84" t="s">
        <v>89</v>
      </c>
      <c r="DK10" s="84" t="s">
        <v>90</v>
      </c>
      <c r="DL10" s="84" t="s">
        <v>91</v>
      </c>
      <c r="DM10" s="84" t="s">
        <v>92</v>
      </c>
      <c r="DN10" s="84" t="s">
        <v>93</v>
      </c>
      <c r="DO10" s="84" t="s">
        <v>5675</v>
      </c>
      <c r="DP10" s="84" t="s">
        <v>94</v>
      </c>
      <c r="DQ10" s="84" t="s">
        <v>12</v>
      </c>
      <c r="DR10" s="84" t="s">
        <v>95</v>
      </c>
      <c r="DS10" s="84" t="s">
        <v>96</v>
      </c>
      <c r="DT10" s="84" t="s">
        <v>97</v>
      </c>
      <c r="DU10" s="84" t="s">
        <v>98</v>
      </c>
      <c r="DV10" s="84" t="s">
        <v>99</v>
      </c>
      <c r="DW10" s="84" t="s">
        <v>100</v>
      </c>
      <c r="DX10" s="84" t="s">
        <v>5678</v>
      </c>
      <c r="DY10" s="84" t="s">
        <v>101</v>
      </c>
      <c r="DZ10" s="84" t="s">
        <v>5679</v>
      </c>
      <c r="EA10" s="84"/>
      <c r="EB10" s="84"/>
      <c r="EC10" s="84"/>
      <c r="ED10" s="84"/>
      <c r="EE10" s="84"/>
      <c r="EF10" s="127"/>
      <c r="EG10" s="127"/>
      <c r="EH10" s="127"/>
      <c r="EI10" s="128"/>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8"/>
      <c r="FJ10" s="128"/>
      <c r="FK10" s="128"/>
      <c r="FL10" s="128"/>
      <c r="FM10" s="128"/>
      <c r="FN10" s="128"/>
      <c r="FO10" s="128"/>
      <c r="FP10" s="128"/>
      <c r="FQ10" s="128"/>
      <c r="FR10" s="128"/>
      <c r="FS10" s="128"/>
      <c r="FT10" s="128"/>
      <c r="FU10" s="128"/>
      <c r="FV10" s="128"/>
      <c r="FW10" s="128"/>
      <c r="FX10" s="128"/>
      <c r="FY10" s="128"/>
      <c r="FZ10" s="128"/>
      <c r="GA10" s="128"/>
      <c r="GB10" s="128"/>
      <c r="GC10" s="128"/>
      <c r="GD10" s="128"/>
      <c r="GE10" s="128"/>
      <c r="GF10" s="128"/>
      <c r="GG10" s="128"/>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7"/>
      <c r="LY10" s="127"/>
      <c r="LZ10" s="127"/>
      <c r="MA10" s="127"/>
      <c r="MB10" s="127"/>
      <c r="MC10" s="127"/>
      <c r="MD10" s="127"/>
      <c r="ME10" s="127"/>
      <c r="MF10" s="127"/>
      <c r="MG10" s="127"/>
      <c r="MH10" s="127"/>
      <c r="MI10" s="127"/>
      <c r="MJ10" s="127"/>
      <c r="MK10" s="127"/>
      <c r="ML10" s="127"/>
      <c r="MM10" s="127"/>
      <c r="MN10" s="127"/>
      <c r="MO10" s="127"/>
      <c r="MP10" s="127"/>
      <c r="MQ10" s="127"/>
      <c r="MR10" s="127"/>
      <c r="MS10" s="127"/>
      <c r="MT10" s="127"/>
      <c r="MU10" s="127"/>
      <c r="MV10" s="127"/>
      <c r="MW10" s="127"/>
      <c r="MX10" s="127"/>
      <c r="MY10" s="127"/>
      <c r="MZ10" s="127"/>
      <c r="NA10" s="127"/>
      <c r="NB10" s="127"/>
      <c r="NC10" s="127"/>
      <c r="ND10" s="127"/>
      <c r="NE10" s="127"/>
      <c r="NF10" s="127"/>
      <c r="NG10" s="127"/>
      <c r="NH10" s="127"/>
      <c r="NI10" s="127"/>
      <c r="NJ10" s="127"/>
      <c r="NK10" s="127"/>
      <c r="NL10" s="127"/>
      <c r="NM10" s="127"/>
      <c r="NN10" s="127"/>
      <c r="NO10" s="127"/>
      <c r="NP10" s="127"/>
      <c r="NQ10" s="127"/>
      <c r="NR10" s="127"/>
      <c r="NS10" s="127"/>
      <c r="NT10" s="127"/>
      <c r="NU10" s="127"/>
      <c r="NV10" s="127"/>
      <c r="NW10" s="127"/>
      <c r="NX10" s="127"/>
      <c r="NY10" s="127"/>
      <c r="NZ10" s="127"/>
      <c r="OA10" s="127"/>
      <c r="OB10" s="127"/>
      <c r="OC10" s="127"/>
      <c r="OD10" s="127"/>
      <c r="OE10" s="127"/>
      <c r="OF10" s="127"/>
      <c r="OG10" s="127"/>
      <c r="OH10" s="127"/>
      <c r="OI10" s="127"/>
      <c r="OJ10" s="127"/>
      <c r="OK10" s="127"/>
      <c r="OL10" s="127"/>
      <c r="OM10" s="127"/>
      <c r="ON10" s="127"/>
      <c r="OO10" s="127"/>
      <c r="OP10" s="127"/>
      <c r="OQ10" s="127"/>
      <c r="OR10" s="127"/>
      <c r="OS10" s="127"/>
      <c r="OT10" s="127"/>
      <c r="OU10" s="127"/>
      <c r="OV10" s="127"/>
      <c r="OW10" s="127"/>
      <c r="OX10" s="127"/>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7"/>
      <c r="PX10" s="127"/>
      <c r="PY10" s="127"/>
      <c r="PZ10" s="127"/>
      <c r="QA10" s="127"/>
      <c r="QB10" s="127"/>
      <c r="QC10" s="127"/>
      <c r="QD10" s="127"/>
      <c r="QE10" s="127"/>
      <c r="QF10" s="127"/>
      <c r="QG10" s="127"/>
      <c r="QH10" s="127"/>
      <c r="QI10" s="127"/>
      <c r="QJ10" s="127"/>
      <c r="QK10" s="127"/>
      <c r="QL10" s="127"/>
      <c r="QM10" s="127"/>
      <c r="QN10" s="127"/>
      <c r="QO10" s="127"/>
      <c r="QP10" s="127"/>
      <c r="QQ10" s="127"/>
      <c r="QR10" s="127"/>
      <c r="QS10" s="127"/>
      <c r="QT10" s="127"/>
      <c r="QU10" s="127"/>
      <c r="QV10" s="127"/>
      <c r="QW10" s="127"/>
      <c r="QX10" s="127"/>
      <c r="QY10" s="127"/>
      <c r="QZ10" s="127"/>
      <c r="RA10" s="127"/>
      <c r="RB10" s="127"/>
      <c r="RC10" s="127"/>
      <c r="RD10" s="127"/>
      <c r="RE10" s="127"/>
      <c r="RF10" s="127"/>
      <c r="RG10" s="127"/>
      <c r="RH10" s="127"/>
      <c r="RI10" s="127"/>
      <c r="RJ10" s="127"/>
      <c r="RK10" s="127"/>
      <c r="RL10" s="127"/>
      <c r="RM10" s="127"/>
      <c r="RN10" s="127"/>
      <c r="RO10" s="127"/>
      <c r="RP10" s="127"/>
      <c r="RQ10" s="127"/>
      <c r="RR10" s="127"/>
      <c r="RS10" s="127"/>
      <c r="RT10" s="127"/>
      <c r="RU10" s="127"/>
      <c r="RV10" s="127"/>
      <c r="RW10" s="127"/>
      <c r="RX10" s="127"/>
      <c r="RY10" s="127"/>
    </row>
    <row r="11" spans="1:493" s="201" customFormat="1" ht="28.5"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8"/>
      <c r="AF11" s="197"/>
      <c r="AG11" s="200"/>
      <c r="AH11" s="200"/>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9"/>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78"/>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20"/>
      <c r="FK11" s="119"/>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0"/>
      <c r="GT11" s="120"/>
      <c r="GU11" s="120"/>
      <c r="GV11" s="120"/>
      <c r="GW11" s="120"/>
      <c r="GX11" s="120"/>
      <c r="GY11" s="120"/>
      <c r="GZ11" s="120"/>
      <c r="HA11" s="120"/>
      <c r="HB11" s="120"/>
      <c r="HC11" s="120"/>
      <c r="HD11" s="120"/>
      <c r="HE11" s="120"/>
      <c r="HF11" s="120"/>
      <c r="HG11" s="120"/>
      <c r="HH11" s="120"/>
      <c r="HI11" s="120"/>
      <c r="HJ11" s="120"/>
      <c r="HK11" s="120"/>
      <c r="HL11" s="120"/>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L11" s="120"/>
      <c r="KM11" s="120"/>
      <c r="KN11" s="120"/>
      <c r="KO11" s="120"/>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119"/>
      <c r="LW11" s="119"/>
      <c r="LX11" s="119"/>
      <c r="LY11" s="119"/>
      <c r="LZ11" s="119"/>
      <c r="MA11" s="119"/>
      <c r="MB11" s="119"/>
      <c r="MC11" s="119"/>
      <c r="MD11" s="119"/>
      <c r="ME11" s="119"/>
      <c r="MF11" s="119"/>
      <c r="MG11" s="119"/>
      <c r="MH11" s="119"/>
      <c r="MI11" s="119"/>
      <c r="MJ11" s="119"/>
      <c r="MK11" s="119"/>
      <c r="ML11" s="119"/>
      <c r="MM11" s="119"/>
      <c r="MN11" s="119"/>
      <c r="MO11" s="119"/>
      <c r="MP11" s="120"/>
      <c r="MQ11" s="119"/>
      <c r="MR11" s="119"/>
      <c r="MS11" s="119"/>
      <c r="MT11" s="119"/>
      <c r="MU11" s="119"/>
      <c r="MV11" s="119"/>
      <c r="MW11" s="119"/>
      <c r="MX11" s="119"/>
      <c r="MY11" s="119"/>
      <c r="MZ11" s="119"/>
      <c r="NA11" s="119"/>
      <c r="NB11" s="119"/>
      <c r="NC11" s="119"/>
      <c r="ND11" s="119"/>
      <c r="NE11" s="119"/>
      <c r="NF11" s="119"/>
      <c r="NG11" s="119"/>
      <c r="NH11" s="119"/>
      <c r="NI11" s="119"/>
      <c r="NJ11" s="119"/>
      <c r="NK11" s="119"/>
      <c r="NL11" s="119"/>
      <c r="NM11" s="119"/>
      <c r="NN11" s="119"/>
      <c r="NO11" s="119"/>
      <c r="NP11" s="119"/>
      <c r="NQ11" s="119"/>
      <c r="NR11" s="119"/>
      <c r="NS11" s="119"/>
      <c r="NT11" s="119"/>
      <c r="NU11" s="120"/>
      <c r="NV11" s="119"/>
      <c r="NW11" s="119"/>
      <c r="NX11" s="120"/>
      <c r="NY11" s="120"/>
      <c r="NZ11" s="119"/>
      <c r="OA11" s="119"/>
      <c r="OB11" s="119"/>
      <c r="OC11" s="119"/>
      <c r="OD11" s="119"/>
      <c r="OE11" s="119"/>
      <c r="OF11" s="119"/>
      <c r="OG11" s="119"/>
      <c r="OH11" s="119"/>
      <c r="OI11" s="119"/>
      <c r="OJ11" s="119"/>
      <c r="OK11" s="119"/>
      <c r="OL11" s="119"/>
      <c r="OM11" s="119"/>
      <c r="ON11" s="119"/>
      <c r="OO11" s="119"/>
      <c r="OP11" s="119"/>
      <c r="OQ11" s="119"/>
      <c r="OR11" s="119"/>
      <c r="OS11" s="119"/>
      <c r="OT11" s="119"/>
      <c r="OU11" s="119"/>
      <c r="OV11" s="119"/>
      <c r="OW11" s="119"/>
      <c r="OX11" s="119"/>
      <c r="OY11" s="119"/>
      <c r="OZ11" s="119"/>
      <c r="PA11" s="119"/>
      <c r="PB11" s="119"/>
      <c r="PC11" s="119"/>
      <c r="PD11" s="119"/>
      <c r="PE11" s="119"/>
      <c r="PF11" s="119"/>
      <c r="PG11" s="119"/>
      <c r="PH11" s="119"/>
      <c r="PI11" s="119"/>
      <c r="PJ11" s="119"/>
      <c r="PK11" s="119"/>
      <c r="PL11" s="119"/>
      <c r="PM11" s="119"/>
      <c r="PN11" s="119"/>
      <c r="PO11" s="119"/>
      <c r="PP11" s="119"/>
      <c r="PQ11" s="119"/>
      <c r="PR11" s="119"/>
      <c r="PS11" s="119"/>
      <c r="PT11" s="119"/>
      <c r="PU11" s="119"/>
      <c r="PV11" s="119"/>
      <c r="PW11" s="119"/>
      <c r="PX11" s="119"/>
      <c r="PY11" s="119"/>
      <c r="PZ11" s="120"/>
      <c r="QA11" s="120"/>
      <c r="QB11" s="120"/>
      <c r="QC11" s="120"/>
      <c r="QD11" s="120"/>
      <c r="QE11" s="120"/>
      <c r="QF11" s="120"/>
      <c r="QG11" s="120"/>
      <c r="QH11" s="120"/>
      <c r="QI11" s="120"/>
      <c r="QJ11" s="120"/>
      <c r="QK11" s="120"/>
      <c r="QL11" s="120"/>
      <c r="QM11" s="120"/>
      <c r="QN11" s="120"/>
      <c r="QO11" s="120"/>
      <c r="QP11" s="120"/>
      <c r="QQ11" s="120"/>
      <c r="QR11" s="120"/>
      <c r="QS11" s="120"/>
      <c r="QT11" s="120"/>
      <c r="QU11" s="120"/>
      <c r="QV11" s="120"/>
      <c r="QW11" s="120"/>
      <c r="QX11" s="120"/>
      <c r="QY11" s="120"/>
      <c r="QZ11" s="119"/>
      <c r="RA11" s="119"/>
      <c r="RB11" s="119"/>
      <c r="RC11" s="119"/>
      <c r="RD11" s="119"/>
      <c r="RE11" s="119"/>
      <c r="RF11" s="119"/>
      <c r="RG11" s="119"/>
      <c r="RH11" s="119"/>
      <c r="RI11" s="119"/>
      <c r="RJ11" s="119"/>
      <c r="RK11" s="119"/>
      <c r="RL11" s="119"/>
      <c r="RM11" s="119"/>
      <c r="RN11" s="119"/>
      <c r="RO11" s="119"/>
      <c r="RP11" s="119"/>
      <c r="RQ11" s="119"/>
      <c r="RR11" s="119"/>
      <c r="RS11" s="119"/>
      <c r="RT11" s="119"/>
      <c r="RU11" s="119"/>
      <c r="RV11" s="119"/>
      <c r="RW11" s="119"/>
      <c r="RX11" s="119"/>
      <c r="RY11" s="119"/>
    </row>
    <row r="12" spans="1:493" ht="30" hidden="1">
      <c r="A12" s="96"/>
      <c r="B12" s="96" t="s">
        <v>229</v>
      </c>
      <c r="C12" s="96" t="s">
        <v>1356</v>
      </c>
      <c r="D12" s="96" t="s">
        <v>1357</v>
      </c>
      <c r="E12" s="96" t="s">
        <v>1358</v>
      </c>
      <c r="F12" s="96" t="s">
        <v>1359</v>
      </c>
      <c r="G12" s="96" t="s">
        <v>1360</v>
      </c>
      <c r="H12" s="96" t="s">
        <v>1361</v>
      </c>
      <c r="I12" s="96" t="s">
        <v>1362</v>
      </c>
      <c r="J12" s="96" t="s">
        <v>1363</v>
      </c>
      <c r="K12" s="96" t="s">
        <v>1364</v>
      </c>
      <c r="L12" s="96" t="s">
        <v>1365</v>
      </c>
      <c r="M12" s="96" t="s">
        <v>1366</v>
      </c>
      <c r="N12" s="96" t="s">
        <v>1367</v>
      </c>
      <c r="O12" s="96" t="s">
        <v>1368</v>
      </c>
      <c r="P12" s="96" t="s">
        <v>1369</v>
      </c>
      <c r="Q12" s="96" t="s">
        <v>1370</v>
      </c>
      <c r="R12" s="96" t="s">
        <v>1371</v>
      </c>
      <c r="S12" s="96" t="s">
        <v>1372</v>
      </c>
      <c r="T12" s="96" t="s">
        <v>1373</v>
      </c>
      <c r="U12" s="96" t="s">
        <v>1374</v>
      </c>
      <c r="V12" s="96" t="s">
        <v>1375</v>
      </c>
      <c r="W12" s="96" t="s">
        <v>1376</v>
      </c>
      <c r="X12" s="96" t="s">
        <v>1377</v>
      </c>
      <c r="Y12" s="96" t="s">
        <v>1378</v>
      </c>
      <c r="Z12" s="96" t="s">
        <v>1379</v>
      </c>
      <c r="AA12" s="96" t="s">
        <v>1380</v>
      </c>
      <c r="AB12" s="96" t="s">
        <v>1413</v>
      </c>
      <c r="AC12" s="96" t="s">
        <v>1414</v>
      </c>
      <c r="AD12" s="96" t="s">
        <v>1415</v>
      </c>
      <c r="AE12" s="96" t="s">
        <v>1381</v>
      </c>
      <c r="AF12" s="96" t="s">
        <v>228</v>
      </c>
      <c r="AG12" s="121" t="s">
        <v>1382</v>
      </c>
      <c r="AH12" s="121" t="s">
        <v>1383</v>
      </c>
      <c r="AI12" s="96" t="s">
        <v>1384</v>
      </c>
      <c r="AJ12" s="96" t="s">
        <v>1385</v>
      </c>
      <c r="AK12" s="96" t="s">
        <v>1386</v>
      </c>
      <c r="AL12" s="96" t="s">
        <v>1387</v>
      </c>
      <c r="AM12" s="96" t="s">
        <v>1388</v>
      </c>
      <c r="AN12" s="96" t="s">
        <v>1389</v>
      </c>
      <c r="AO12" s="96" t="s">
        <v>1390</v>
      </c>
      <c r="AP12" s="96" t="s">
        <v>1391</v>
      </c>
      <c r="AQ12" s="96" t="s">
        <v>1392</v>
      </c>
      <c r="AR12" s="96" t="s">
        <v>1393</v>
      </c>
      <c r="AS12" s="96" t="s">
        <v>1394</v>
      </c>
      <c r="AT12" s="96" t="s">
        <v>1395</v>
      </c>
      <c r="AU12" s="96" t="s">
        <v>1396</v>
      </c>
      <c r="AV12" s="96" t="s">
        <v>1397</v>
      </c>
      <c r="AW12" s="96" t="s">
        <v>1398</v>
      </c>
      <c r="AX12" s="96" t="s">
        <v>1399</v>
      </c>
      <c r="AY12" s="96" t="s">
        <v>1400</v>
      </c>
      <c r="AZ12" s="96" t="s">
        <v>1401</v>
      </c>
      <c r="BA12" s="96" t="s">
        <v>1402</v>
      </c>
      <c r="BB12" s="96" t="s">
        <v>1403</v>
      </c>
      <c r="BC12" s="96" t="s">
        <v>1404</v>
      </c>
      <c r="BD12" s="96" t="s">
        <v>1405</v>
      </c>
      <c r="BE12" s="96" t="s">
        <v>1406</v>
      </c>
      <c r="BF12" s="96" t="s">
        <v>1407</v>
      </c>
      <c r="BG12" s="96" t="s">
        <v>1408</v>
      </c>
      <c r="BH12" s="96" t="s">
        <v>1409</v>
      </c>
      <c r="BI12" s="96" t="s">
        <v>5807</v>
      </c>
      <c r="BJ12" s="96" t="s">
        <v>5808</v>
      </c>
      <c r="BK12" s="96" t="s">
        <v>5809</v>
      </c>
      <c r="BL12" s="96" t="s">
        <v>1410</v>
      </c>
      <c r="BM12" s="96" t="s">
        <v>1411</v>
      </c>
      <c r="BN12" s="213" t="s">
        <v>1412</v>
      </c>
      <c r="BO12" s="116" t="s">
        <v>5804</v>
      </c>
      <c r="BP12" s="116" t="s">
        <v>5805</v>
      </c>
      <c r="BQ12" s="116" t="s">
        <v>5806</v>
      </c>
      <c r="BR12" s="116" t="s">
        <v>1416</v>
      </c>
      <c r="BS12" s="116" t="s">
        <v>1417</v>
      </c>
      <c r="BT12" s="116" t="s">
        <v>1418</v>
      </c>
      <c r="BU12" s="116" t="s">
        <v>1419</v>
      </c>
      <c r="BV12" s="116" t="s">
        <v>1420</v>
      </c>
      <c r="BW12" s="116" t="s">
        <v>1421</v>
      </c>
      <c r="BX12" s="116" t="s">
        <v>1422</v>
      </c>
      <c r="BY12" s="116" t="s">
        <v>1423</v>
      </c>
      <c r="BZ12" s="116" t="s">
        <v>1424</v>
      </c>
      <c r="CA12" s="116" t="s">
        <v>1425</v>
      </c>
      <c r="CB12" s="116" t="s">
        <v>1426</v>
      </c>
      <c r="CC12" s="116" t="s">
        <v>1427</v>
      </c>
      <c r="CD12" s="116" t="s">
        <v>1428</v>
      </c>
      <c r="CE12" s="116" t="s">
        <v>1429</v>
      </c>
      <c r="CF12" s="116" t="s">
        <v>1430</v>
      </c>
      <c r="CG12" s="116" t="s">
        <v>1431</v>
      </c>
      <c r="CH12" s="116" t="s">
        <v>1432</v>
      </c>
      <c r="CI12" s="116" t="s">
        <v>1433</v>
      </c>
      <c r="CJ12" s="116" t="s">
        <v>1434</v>
      </c>
      <c r="CK12" s="116" t="s">
        <v>1435</v>
      </c>
      <c r="CL12" s="116" t="s">
        <v>1436</v>
      </c>
      <c r="CM12" s="116" t="s">
        <v>1437</v>
      </c>
      <c r="CN12" s="116" t="s">
        <v>1438</v>
      </c>
      <c r="CO12" s="116" t="s">
        <v>1440</v>
      </c>
      <c r="CP12" s="116" t="s">
        <v>1441</v>
      </c>
      <c r="CQ12" s="116" t="s">
        <v>5810</v>
      </c>
      <c r="CR12" s="116" t="s">
        <v>1439</v>
      </c>
      <c r="CS12" s="116" t="s">
        <v>5811</v>
      </c>
      <c r="CT12" s="116" t="s">
        <v>5812</v>
      </c>
      <c r="CU12" s="96" t="s">
        <v>1442</v>
      </c>
      <c r="CV12" s="96" t="s">
        <v>1443</v>
      </c>
      <c r="CW12" s="96" t="s">
        <v>6706</v>
      </c>
      <c r="CX12" s="96" t="s">
        <v>1444</v>
      </c>
      <c r="CY12" s="96" t="s">
        <v>1445</v>
      </c>
      <c r="CZ12" s="96" t="s">
        <v>1446</v>
      </c>
      <c r="DA12" s="96" t="s">
        <v>1447</v>
      </c>
      <c r="DB12" s="96" t="s">
        <v>1448</v>
      </c>
      <c r="DC12" s="96" t="s">
        <v>1449</v>
      </c>
      <c r="DD12" s="96" t="s">
        <v>1450</v>
      </c>
      <c r="DE12" s="96" t="s">
        <v>1451</v>
      </c>
      <c r="DF12" s="96" t="s">
        <v>1452</v>
      </c>
      <c r="DG12" s="96" t="s">
        <v>1453</v>
      </c>
      <c r="DH12" s="96" t="s">
        <v>1454</v>
      </c>
      <c r="DI12" s="96" t="s">
        <v>1455</v>
      </c>
      <c r="DJ12" s="96" t="s">
        <v>1456</v>
      </c>
      <c r="DK12" s="96" t="s">
        <v>1457</v>
      </c>
      <c r="DL12" s="96" t="s">
        <v>1458</v>
      </c>
      <c r="DM12" s="96" t="s">
        <v>1459</v>
      </c>
      <c r="DN12" s="96" t="s">
        <v>1460</v>
      </c>
      <c r="DO12" s="96" t="s">
        <v>1461</v>
      </c>
      <c r="DP12" s="96" t="s">
        <v>1462</v>
      </c>
      <c r="DQ12" s="96" t="s">
        <v>1463</v>
      </c>
      <c r="DR12" s="96" t="s">
        <v>1464</v>
      </c>
      <c r="DS12" s="96" t="s">
        <v>1465</v>
      </c>
      <c r="DT12" s="96" t="s">
        <v>1466</v>
      </c>
      <c r="DU12" s="96" t="s">
        <v>1467</v>
      </c>
      <c r="DV12" s="96" t="s">
        <v>1468</v>
      </c>
      <c r="DW12" s="96" t="s">
        <v>1469</v>
      </c>
      <c r="DX12" s="96" t="s">
        <v>5813</v>
      </c>
      <c r="DY12" s="96" t="s">
        <v>5814</v>
      </c>
      <c r="DZ12" s="96" t="s">
        <v>5815</v>
      </c>
      <c r="EA12" s="96" t="s">
        <v>1470</v>
      </c>
      <c r="EB12" s="96" t="s">
        <v>1471</v>
      </c>
      <c r="EC12" s="96" t="s">
        <v>1472</v>
      </c>
      <c r="ED12" s="96" t="s">
        <v>1473</v>
      </c>
      <c r="EE12" s="113" t="s">
        <v>1474</v>
      </c>
    </row>
    <row r="13" spans="1:493" ht="29.1" customHeight="1">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IF(ISBLANK(AE$11),"",AE$11)</f>
        <v/>
      </c>
      <c r="AF13" s="87"/>
      <c r="AG13" s="88" t="str">
        <f t="shared" ref="AG13" si="0">IF(ISBLANK(AG$11),"",AG$11)</f>
        <v/>
      </c>
      <c r="AH13" s="88" t="str">
        <f t="shared" ref="AH13" si="1">IF(ISBLANK(AH$11),"",AH$11)</f>
        <v/>
      </c>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tr" cm="1">
        <f t="array" ref="BM13">MultiMatch(Entitlements[[#This Row],[Column9]],EntitlementNames,0)</f>
        <v/>
      </c>
      <c r="BN13" s="143" t="str">
        <f>IF(ISBLANK(Entitlements[[#This Row],[Column1]]),"",Entitlements[[#This Row],[Column1]])</f>
        <v/>
      </c>
      <c r="CQ13" s="237"/>
      <c r="CR13" s="214" t="str" cm="1">
        <f t="array" ref="CR13">MultiMatch(Entitlements[[#This Row],[Column1603]],Vocabularies[name],0)</f>
        <v/>
      </c>
      <c r="CS13" s="237"/>
      <c r="CT13" s="108" t="str" cm="1">
        <f t="array" ref="CT13">MultiMatch(Entitlements[[#This Row],[Column1614]],Vocabularies[name],0)</f>
        <v/>
      </c>
      <c r="CU13" s="90" t="str">
        <f t="shared" ref="CU13" si="2">IF(ISBLANK(CU$11),"",CU$11)</f>
        <v/>
      </c>
      <c r="CW13" s="308"/>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87"/>
      <c r="DZ13" s="87"/>
      <c r="EA13" s="87"/>
      <c r="EB13" s="79" t="str" cm="1">
        <f t="array" ref="EB13">MultiMatch(Entitlements[[#This Row],[Column23]],OrganisationNames,0)</f>
        <v/>
      </c>
      <c r="EC13" s="87"/>
      <c r="ED13" s="79" t="str" cm="1">
        <f t="array" ref="ED13">MultiMatch(Entitlements[[#This Row],[Column25]],Vocabularies[name],0)</f>
        <v/>
      </c>
      <c r="EE13" s="183"/>
    </row>
  </sheetData>
  <sheetProtection formatColumns="0"/>
  <mergeCells count="1">
    <mergeCell ref="BN1:EE1"/>
  </mergeCells>
  <phoneticPr fontId="12" type="noConversion"/>
  <dataValidations count="7">
    <dataValidation type="list" allowBlank="1" showInputMessage="1" showErrorMessage="1" sqref="BL13:BL15" xr:uid="{00000000-0002-0000-0800-000000000000}">
      <formula1>EntitlementNames</formula1>
    </dataValidation>
    <dataValidation type="list" allowBlank="1" showInputMessage="1" showErrorMessage="1" sqref="CQ13:CQ15" xr:uid="{00000000-0002-0000-0800-000001000000}">
      <formula1>entitlementTypeNames</formula1>
    </dataValidation>
    <dataValidation type="list" allowBlank="1" showInputMessage="1" showErrorMessage="1" sqref="CS13:CS15" xr:uid="{00000000-0002-0000-0800-000002000000}">
      <formula1>EntitlementStatusNames</formula1>
    </dataValidation>
    <dataValidation type="list" allowBlank="1" showInputMessage="1" showErrorMessage="1" sqref="EA13:EA15" xr:uid="{00000000-0002-0000-0800-000003000000}">
      <formula1>OrganisationNames</formula1>
    </dataValidation>
    <dataValidation type="list" allowBlank="1" showInputMessage="1" showErrorMessage="1" sqref="EC13:EC15" xr:uid="{00000000-0002-0000-0800-000004000000}">
      <formula1>CountryNames</formula1>
    </dataValidation>
    <dataValidation type="date" operator="greaterThan" allowBlank="1" showInputMessage="1" showErrorMessage="1" sqref="AG11 AG13:AG15" xr:uid="{00000000-0002-0000-0800-000005000000}">
      <formula1>1</formula1>
    </dataValidation>
    <dataValidation type="date" operator="greaterThanOrEqual" allowBlank="1" showInputMessage="1" showErrorMessage="1" sqref="AH11 AH13:AH15" xr:uid="{00000000-0002-0000-0800-000006000000}">
      <formula1>AG11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458"/>
  <sheetViews>
    <sheetView zoomScale="54" zoomScaleNormal="80" workbookViewId="0">
      <pane ySplit="12" topLeftCell="A928" activePane="bottomLeft" state="frozen"/>
      <selection activeCell="C1" sqref="C1"/>
      <selection pane="bottomLeft" activeCell="E549" sqref="E549:E942"/>
    </sheetView>
  </sheetViews>
  <sheetFormatPr defaultColWidth="9.140625" defaultRowHeight="15"/>
  <cols>
    <col min="1" max="1" width="30.85546875" customWidth="1"/>
    <col min="2" max="2" width="64.140625" customWidth="1"/>
    <col min="3" max="3" width="56.42578125" customWidth="1"/>
    <col min="4" max="4" width="34.42578125" customWidth="1"/>
    <col min="5" max="5" width="11" customWidth="1"/>
    <col min="6" max="6" width="42" customWidth="1"/>
    <col min="7" max="7" width="70.42578125" bestFit="1" customWidth="1"/>
    <col min="8" max="8" width="39.42578125" bestFit="1" customWidth="1"/>
  </cols>
  <sheetData>
    <row r="1" spans="1:7" ht="23.25">
      <c r="A1" s="2" t="s">
        <v>1475</v>
      </c>
    </row>
    <row r="2" spans="1:7">
      <c r="A2" s="1" t="s">
        <v>14</v>
      </c>
      <c r="B2" s="1" t="s">
        <v>34</v>
      </c>
      <c r="C2" s="1" t="s">
        <v>34</v>
      </c>
      <c r="D2" s="1" t="s">
        <v>34</v>
      </c>
      <c r="E2" s="1" t="s">
        <v>34</v>
      </c>
      <c r="F2" s="1" t="s">
        <v>34</v>
      </c>
      <c r="G2" s="1" t="s">
        <v>34</v>
      </c>
    </row>
    <row r="3" spans="1:7" ht="30">
      <c r="A3" s="1" t="s">
        <v>17</v>
      </c>
      <c r="B3" s="1" t="s">
        <v>1476</v>
      </c>
      <c r="C3" s="1" t="s">
        <v>1477</v>
      </c>
      <c r="D3" s="1" t="s">
        <v>1478</v>
      </c>
      <c r="E3" s="1" t="s">
        <v>1479</v>
      </c>
      <c r="F3" s="1" t="s">
        <v>1480</v>
      </c>
      <c r="G3" s="1" t="s">
        <v>1481</v>
      </c>
    </row>
    <row r="4" spans="1:7">
      <c r="A4" s="1" t="s">
        <v>27</v>
      </c>
      <c r="B4" s="1" t="s">
        <v>28</v>
      </c>
      <c r="C4" s="1" t="s">
        <v>28</v>
      </c>
      <c r="D4" s="1" t="s">
        <v>28</v>
      </c>
      <c r="E4" s="1" t="s">
        <v>28</v>
      </c>
      <c r="F4" s="1" t="s">
        <v>28</v>
      </c>
      <c r="G4" s="1" t="s">
        <v>28</v>
      </c>
    </row>
    <row r="5" spans="1:7">
      <c r="A5" s="1" t="s">
        <v>32</v>
      </c>
      <c r="B5" s="1"/>
      <c r="C5" s="1"/>
      <c r="D5" s="1"/>
      <c r="E5" s="1"/>
      <c r="F5" s="1"/>
      <c r="G5" s="1"/>
    </row>
    <row r="6" spans="1:7">
      <c r="A6" s="1" t="s">
        <v>39</v>
      </c>
      <c r="B6" s="1"/>
      <c r="C6" s="1"/>
      <c r="D6" s="1"/>
      <c r="E6" s="1"/>
      <c r="F6" s="1"/>
      <c r="G6" s="1"/>
    </row>
    <row r="7" spans="1:7">
      <c r="A7" s="1" t="s">
        <v>40</v>
      </c>
      <c r="B7" s="1" t="s">
        <v>9</v>
      </c>
      <c r="C7" s="1"/>
      <c r="D7" s="1" t="s">
        <v>9</v>
      </c>
      <c r="E7" s="1"/>
      <c r="F7" s="1"/>
      <c r="G7" s="1" t="s">
        <v>9</v>
      </c>
    </row>
    <row r="8" spans="1:7">
      <c r="A8" s="6" t="s">
        <v>66</v>
      </c>
      <c r="B8" s="6"/>
      <c r="C8" s="6"/>
      <c r="D8" s="6"/>
      <c r="E8" s="6"/>
      <c r="F8" s="6"/>
      <c r="G8" s="6"/>
    </row>
    <row r="9" spans="1:7">
      <c r="A9" s="6" t="s">
        <v>68</v>
      </c>
      <c r="B9" s="6"/>
      <c r="C9" s="6"/>
      <c r="D9" s="6"/>
      <c r="E9" s="6"/>
      <c r="F9" s="6"/>
      <c r="G9" s="6"/>
    </row>
    <row r="10" spans="1:7" ht="15.75" thickBot="1">
      <c r="A10" s="22" t="s">
        <v>40</v>
      </c>
      <c r="B10" s="22"/>
      <c r="C10" s="22"/>
      <c r="D10" s="22"/>
      <c r="E10" s="22"/>
      <c r="F10" s="22"/>
      <c r="G10" s="22"/>
    </row>
    <row r="11" spans="1:7">
      <c r="A11" s="10" t="s">
        <v>1482</v>
      </c>
      <c r="B11" s="10"/>
      <c r="C11" s="10"/>
      <c r="D11" s="10"/>
      <c r="E11" s="10"/>
      <c r="F11" s="10"/>
    </row>
    <row r="12" spans="1:7">
      <c r="A12" s="11" t="s">
        <v>1483</v>
      </c>
      <c r="B12" s="11" t="s">
        <v>1484</v>
      </c>
      <c r="C12" s="11" t="s">
        <v>1485</v>
      </c>
      <c r="D12" s="11" t="s">
        <v>734</v>
      </c>
      <c r="E12" s="11" t="s">
        <v>1486</v>
      </c>
      <c r="F12" s="11" t="s">
        <v>1487</v>
      </c>
      <c r="G12" s="11" t="s">
        <v>68</v>
      </c>
    </row>
    <row r="13" spans="1:7">
      <c r="A13" t="s">
        <v>78</v>
      </c>
      <c r="B13" t="s">
        <v>1488</v>
      </c>
      <c r="C13" t="s">
        <v>1489</v>
      </c>
      <c r="D13" t="s">
        <v>78</v>
      </c>
      <c r="E13" t="s">
        <v>41</v>
      </c>
      <c r="F13" s="3" t="s">
        <v>1490</v>
      </c>
    </row>
    <row r="14" spans="1:7">
      <c r="A14" t="s">
        <v>79</v>
      </c>
      <c r="B14" t="s">
        <v>1488</v>
      </c>
      <c r="C14" t="s">
        <v>1489</v>
      </c>
      <c r="D14" t="s">
        <v>79</v>
      </c>
      <c r="E14" t="s">
        <v>42</v>
      </c>
      <c r="F14" s="3" t="s">
        <v>1491</v>
      </c>
    </row>
    <row r="15" spans="1:7">
      <c r="A15" t="s">
        <v>80</v>
      </c>
      <c r="B15" t="s">
        <v>1488</v>
      </c>
      <c r="C15" t="s">
        <v>1489</v>
      </c>
      <c r="D15" t="s">
        <v>80</v>
      </c>
      <c r="E15" t="s">
        <v>43</v>
      </c>
      <c r="F15" t="s">
        <v>1492</v>
      </c>
    </row>
    <row r="16" spans="1:7">
      <c r="A16" t="s">
        <v>81</v>
      </c>
      <c r="B16" t="s">
        <v>1488</v>
      </c>
      <c r="C16" t="s">
        <v>1489</v>
      </c>
      <c r="D16" t="s">
        <v>81</v>
      </c>
      <c r="E16" t="s">
        <v>44</v>
      </c>
      <c r="F16" t="s">
        <v>1493</v>
      </c>
    </row>
    <row r="17" spans="1:6">
      <c r="A17" t="s">
        <v>82</v>
      </c>
      <c r="B17" t="s">
        <v>1488</v>
      </c>
      <c r="C17" t="s">
        <v>1489</v>
      </c>
      <c r="D17" t="s">
        <v>82</v>
      </c>
      <c r="E17" t="s">
        <v>45</v>
      </c>
      <c r="F17" t="s">
        <v>1494</v>
      </c>
    </row>
    <row r="18" spans="1:6">
      <c r="A18" t="s">
        <v>10</v>
      </c>
      <c r="B18" t="s">
        <v>1488</v>
      </c>
      <c r="C18" t="s">
        <v>1489</v>
      </c>
      <c r="D18" t="s">
        <v>10</v>
      </c>
      <c r="E18" t="s">
        <v>9</v>
      </c>
      <c r="F18" s="3" t="s">
        <v>1495</v>
      </c>
    </row>
    <row r="19" spans="1:6">
      <c r="A19" t="s">
        <v>83</v>
      </c>
      <c r="B19" t="s">
        <v>1488</v>
      </c>
      <c r="C19" t="s">
        <v>1489</v>
      </c>
      <c r="D19" t="s">
        <v>83</v>
      </c>
      <c r="E19" t="s">
        <v>46</v>
      </c>
      <c r="F19" s="3" t="s">
        <v>1496</v>
      </c>
    </row>
    <row r="20" spans="1:6">
      <c r="A20" t="s">
        <v>84</v>
      </c>
      <c r="B20" t="s">
        <v>1488</v>
      </c>
      <c r="C20" t="s">
        <v>1489</v>
      </c>
      <c r="D20" t="s">
        <v>84</v>
      </c>
      <c r="E20" t="s">
        <v>47</v>
      </c>
      <c r="F20" t="s">
        <v>1497</v>
      </c>
    </row>
    <row r="21" spans="1:6">
      <c r="A21" t="s">
        <v>85</v>
      </c>
      <c r="B21" t="s">
        <v>1488</v>
      </c>
      <c r="C21" t="s">
        <v>1489</v>
      </c>
      <c r="D21" t="s">
        <v>85</v>
      </c>
      <c r="E21" t="s">
        <v>48</v>
      </c>
      <c r="F21" t="s">
        <v>1498</v>
      </c>
    </row>
    <row r="22" spans="1:6">
      <c r="A22" t="s">
        <v>86</v>
      </c>
      <c r="B22" t="s">
        <v>1488</v>
      </c>
      <c r="C22" t="s">
        <v>1489</v>
      </c>
      <c r="D22" t="s">
        <v>86</v>
      </c>
      <c r="E22" t="s">
        <v>49</v>
      </c>
      <c r="F22" t="s">
        <v>1499</v>
      </c>
    </row>
    <row r="23" spans="1:6">
      <c r="A23" t="s">
        <v>87</v>
      </c>
      <c r="B23" t="s">
        <v>1488</v>
      </c>
      <c r="C23" t="s">
        <v>1489</v>
      </c>
      <c r="D23" t="s">
        <v>87</v>
      </c>
      <c r="E23" t="s">
        <v>50</v>
      </c>
      <c r="F23" t="s">
        <v>1500</v>
      </c>
    </row>
    <row r="24" spans="1:6">
      <c r="A24" t="s">
        <v>88</v>
      </c>
      <c r="B24" t="s">
        <v>1488</v>
      </c>
      <c r="C24" t="s">
        <v>1489</v>
      </c>
      <c r="D24" t="s">
        <v>88</v>
      </c>
      <c r="E24" t="s">
        <v>51</v>
      </c>
      <c r="F24" t="s">
        <v>1501</v>
      </c>
    </row>
    <row r="25" spans="1:6">
      <c r="A25" t="s">
        <v>89</v>
      </c>
      <c r="B25" t="s">
        <v>1488</v>
      </c>
      <c r="C25" t="s">
        <v>1489</v>
      </c>
      <c r="D25" t="s">
        <v>89</v>
      </c>
      <c r="E25" t="s">
        <v>52</v>
      </c>
      <c r="F25" t="s">
        <v>1502</v>
      </c>
    </row>
    <row r="26" spans="1:6">
      <c r="A26" t="s">
        <v>90</v>
      </c>
      <c r="B26" t="s">
        <v>1488</v>
      </c>
      <c r="C26" t="s">
        <v>1489</v>
      </c>
      <c r="D26" t="s">
        <v>90</v>
      </c>
      <c r="E26" t="s">
        <v>53</v>
      </c>
      <c r="F26" t="s">
        <v>1503</v>
      </c>
    </row>
    <row r="27" spans="1:6">
      <c r="A27" t="s">
        <v>91</v>
      </c>
      <c r="B27" t="s">
        <v>1488</v>
      </c>
      <c r="C27" t="s">
        <v>1489</v>
      </c>
      <c r="D27" t="s">
        <v>91</v>
      </c>
      <c r="E27" t="s">
        <v>54</v>
      </c>
      <c r="F27" t="s">
        <v>1504</v>
      </c>
    </row>
    <row r="28" spans="1:6">
      <c r="A28" t="s">
        <v>92</v>
      </c>
      <c r="B28" t="s">
        <v>1488</v>
      </c>
      <c r="C28" t="s">
        <v>1489</v>
      </c>
      <c r="D28" t="s">
        <v>92</v>
      </c>
      <c r="E28" t="s">
        <v>55</v>
      </c>
      <c r="F28" t="s">
        <v>1505</v>
      </c>
    </row>
    <row r="29" spans="1:6">
      <c r="A29" t="s">
        <v>93</v>
      </c>
      <c r="B29" t="s">
        <v>1488</v>
      </c>
      <c r="C29" t="s">
        <v>1489</v>
      </c>
      <c r="D29" t="s">
        <v>93</v>
      </c>
      <c r="E29" t="s">
        <v>56</v>
      </c>
      <c r="F29" t="s">
        <v>1506</v>
      </c>
    </row>
    <row r="30" spans="1:6">
      <c r="A30" t="s">
        <v>5675</v>
      </c>
      <c r="B30" t="s">
        <v>1488</v>
      </c>
      <c r="C30" t="s">
        <v>1489</v>
      </c>
      <c r="D30" t="s">
        <v>5675</v>
      </c>
      <c r="E30" t="s">
        <v>5676</v>
      </c>
      <c r="F30" t="s">
        <v>3158</v>
      </c>
    </row>
    <row r="31" spans="1:6">
      <c r="A31" t="s">
        <v>94</v>
      </c>
      <c r="B31" t="s">
        <v>1488</v>
      </c>
      <c r="C31" t="s">
        <v>1489</v>
      </c>
      <c r="D31" t="s">
        <v>94</v>
      </c>
      <c r="E31" t="s">
        <v>57</v>
      </c>
      <c r="F31" t="s">
        <v>1507</v>
      </c>
    </row>
    <row r="32" spans="1:6">
      <c r="A32" t="s">
        <v>12</v>
      </c>
      <c r="B32" t="s">
        <v>1488</v>
      </c>
      <c r="C32" t="s">
        <v>1489</v>
      </c>
      <c r="D32" t="s">
        <v>12</v>
      </c>
      <c r="E32" t="s">
        <v>58</v>
      </c>
      <c r="F32" t="s">
        <v>1508</v>
      </c>
    </row>
    <row r="33" spans="1:7">
      <c r="A33" t="s">
        <v>95</v>
      </c>
      <c r="B33" t="s">
        <v>1488</v>
      </c>
      <c r="C33" t="s">
        <v>1489</v>
      </c>
      <c r="D33" t="s">
        <v>95</v>
      </c>
      <c r="E33" t="s">
        <v>59</v>
      </c>
      <c r="F33" t="s">
        <v>1509</v>
      </c>
    </row>
    <row r="34" spans="1:7">
      <c r="A34" t="s">
        <v>96</v>
      </c>
      <c r="B34" t="s">
        <v>1488</v>
      </c>
      <c r="C34" t="s">
        <v>1489</v>
      </c>
      <c r="D34" t="s">
        <v>96</v>
      </c>
      <c r="E34" t="s">
        <v>60</v>
      </c>
      <c r="F34" t="s">
        <v>1510</v>
      </c>
    </row>
    <row r="35" spans="1:7">
      <c r="A35" t="s">
        <v>97</v>
      </c>
      <c r="B35" t="s">
        <v>1488</v>
      </c>
      <c r="C35" t="s">
        <v>1489</v>
      </c>
      <c r="D35" t="s">
        <v>97</v>
      </c>
      <c r="E35" t="s">
        <v>61</v>
      </c>
      <c r="F35" t="s">
        <v>1511</v>
      </c>
    </row>
    <row r="36" spans="1:7">
      <c r="A36" t="s">
        <v>98</v>
      </c>
      <c r="B36" t="s">
        <v>1488</v>
      </c>
      <c r="C36" t="s">
        <v>1489</v>
      </c>
      <c r="D36" t="s">
        <v>98</v>
      </c>
      <c r="E36" t="s">
        <v>62</v>
      </c>
      <c r="F36" t="s">
        <v>1512</v>
      </c>
    </row>
    <row r="37" spans="1:7">
      <c r="A37" t="s">
        <v>99</v>
      </c>
      <c r="B37" t="s">
        <v>1488</v>
      </c>
      <c r="C37" t="s">
        <v>1489</v>
      </c>
      <c r="D37" t="s">
        <v>99</v>
      </c>
      <c r="E37" t="s">
        <v>63</v>
      </c>
      <c r="F37" t="s">
        <v>1513</v>
      </c>
    </row>
    <row r="38" spans="1:7">
      <c r="A38" t="s">
        <v>100</v>
      </c>
      <c r="B38" t="s">
        <v>1488</v>
      </c>
      <c r="C38" t="s">
        <v>1489</v>
      </c>
      <c r="D38" t="s">
        <v>100</v>
      </c>
      <c r="E38" t="s">
        <v>64</v>
      </c>
      <c r="F38" t="s">
        <v>1514</v>
      </c>
    </row>
    <row r="39" spans="1:7">
      <c r="A39" t="s">
        <v>5678</v>
      </c>
      <c r="B39" t="s">
        <v>1488</v>
      </c>
      <c r="C39" t="s">
        <v>1489</v>
      </c>
      <c r="D39" t="s">
        <v>5678</v>
      </c>
      <c r="E39" t="s">
        <v>5677</v>
      </c>
      <c r="F39" t="s">
        <v>3221</v>
      </c>
    </row>
    <row r="40" spans="1:7">
      <c r="A40" t="s">
        <v>101</v>
      </c>
      <c r="B40" t="s">
        <v>1488</v>
      </c>
      <c r="C40" t="s">
        <v>1489</v>
      </c>
      <c r="D40" t="s">
        <v>101</v>
      </c>
      <c r="E40" t="s">
        <v>65</v>
      </c>
      <c r="F40" t="s">
        <v>1515</v>
      </c>
    </row>
    <row r="41" spans="1:7">
      <c r="A41" s="43" t="s">
        <v>5679</v>
      </c>
      <c r="B41" t="s">
        <v>1488</v>
      </c>
      <c r="C41" s="35" t="s">
        <v>1489</v>
      </c>
      <c r="D41" s="44" t="s">
        <v>5679</v>
      </c>
      <c r="E41" s="91" t="s">
        <v>5674</v>
      </c>
      <c r="F41" s="49" t="s">
        <v>3244</v>
      </c>
    </row>
    <row r="42" spans="1:7">
      <c r="A42" s="37" t="s">
        <v>1516</v>
      </c>
      <c r="B42" s="37" t="s">
        <v>1517</v>
      </c>
      <c r="C42" s="38" t="s">
        <v>1518</v>
      </c>
      <c r="D42" s="38" t="s">
        <v>4763</v>
      </c>
      <c r="E42" s="39"/>
      <c r="F42" s="223" t="s">
        <v>1519</v>
      </c>
      <c r="G42" t="s">
        <v>1520</v>
      </c>
    </row>
    <row r="43" spans="1:7">
      <c r="A43" s="40" t="s">
        <v>4767</v>
      </c>
      <c r="B43" s="40" t="s">
        <v>1517</v>
      </c>
      <c r="C43" s="41" t="s">
        <v>1518</v>
      </c>
      <c r="D43" s="41" t="s">
        <v>4762</v>
      </c>
      <c r="E43" s="41"/>
      <c r="F43" s="63" t="s">
        <v>1521</v>
      </c>
      <c r="G43" t="s">
        <v>1522</v>
      </c>
    </row>
    <row r="44" spans="1:7">
      <c r="A44" s="40" t="s">
        <v>1523</v>
      </c>
      <c r="B44" s="40" t="s">
        <v>1517</v>
      </c>
      <c r="C44" s="41" t="s">
        <v>1518</v>
      </c>
      <c r="D44" s="41" t="s">
        <v>4761</v>
      </c>
      <c r="E44" s="41"/>
      <c r="F44" s="63" t="s">
        <v>1524</v>
      </c>
      <c r="G44" t="s">
        <v>1525</v>
      </c>
    </row>
    <row r="45" spans="1:7" ht="30">
      <c r="A45" s="40" t="s">
        <v>1526</v>
      </c>
      <c r="B45" s="40" t="s">
        <v>1517</v>
      </c>
      <c r="C45" s="41" t="s">
        <v>1518</v>
      </c>
      <c r="D45" s="41" t="s">
        <v>4764</v>
      </c>
      <c r="E45" s="41"/>
      <c r="F45" s="63" t="s">
        <v>1527</v>
      </c>
      <c r="G45" s="224" t="s">
        <v>1528</v>
      </c>
    </row>
    <row r="46" spans="1:7">
      <c r="A46" s="32" t="s">
        <v>4766</v>
      </c>
      <c r="B46" s="32" t="s">
        <v>1517</v>
      </c>
      <c r="C46" s="28" t="s">
        <v>1518</v>
      </c>
      <c r="D46" s="28" t="s">
        <v>4765</v>
      </c>
      <c r="E46" s="28"/>
      <c r="F46" s="171" t="s">
        <v>1529</v>
      </c>
      <c r="G46" t="s">
        <v>1530</v>
      </c>
    </row>
    <row r="47" spans="1:7">
      <c r="A47" s="44" t="s">
        <v>1531</v>
      </c>
      <c r="B47" s="44" t="s">
        <v>1532</v>
      </c>
      <c r="C47" s="44" t="s">
        <v>1533</v>
      </c>
      <c r="D47" s="44" t="s">
        <v>1531</v>
      </c>
      <c r="E47" s="44" t="s">
        <v>1534</v>
      </c>
      <c r="F47" s="45" t="s">
        <v>1535</v>
      </c>
    </row>
    <row r="48" spans="1:7">
      <c r="A48" s="47" t="s">
        <v>1536</v>
      </c>
      <c r="B48" s="47" t="s">
        <v>1532</v>
      </c>
      <c r="C48" s="47" t="s">
        <v>1533</v>
      </c>
      <c r="D48" s="47" t="s">
        <v>1536</v>
      </c>
      <c r="E48" s="47" t="s">
        <v>1537</v>
      </c>
      <c r="F48" s="48" t="s">
        <v>1538</v>
      </c>
    </row>
    <row r="49" spans="1:6">
      <c r="A49" s="44" t="s">
        <v>1539</v>
      </c>
      <c r="B49" s="44" t="s">
        <v>1532</v>
      </c>
      <c r="C49" s="44" t="s">
        <v>1533</v>
      </c>
      <c r="D49" s="44" t="s">
        <v>1539</v>
      </c>
      <c r="E49" s="44" t="s">
        <v>1540</v>
      </c>
      <c r="F49" s="49" t="s">
        <v>1541</v>
      </c>
    </row>
    <row r="50" spans="1:6">
      <c r="A50" s="47" t="s">
        <v>1542</v>
      </c>
      <c r="B50" s="47" t="s">
        <v>1532</v>
      </c>
      <c r="C50" s="47" t="s">
        <v>1533</v>
      </c>
      <c r="D50" s="47" t="s">
        <v>1542</v>
      </c>
      <c r="E50" s="47" t="s">
        <v>1543</v>
      </c>
      <c r="F50" s="48" t="s">
        <v>1544</v>
      </c>
    </row>
    <row r="51" spans="1:6">
      <c r="A51" s="44" t="s">
        <v>1545</v>
      </c>
      <c r="B51" s="44" t="s">
        <v>1532</v>
      </c>
      <c r="C51" s="44" t="s">
        <v>1533</v>
      </c>
      <c r="D51" s="44" t="s">
        <v>1545</v>
      </c>
      <c r="E51" s="44" t="s">
        <v>1546</v>
      </c>
      <c r="F51" s="49" t="s">
        <v>1547</v>
      </c>
    </row>
    <row r="52" spans="1:6">
      <c r="A52" s="47" t="s">
        <v>1548</v>
      </c>
      <c r="B52" s="47" t="s">
        <v>1532</v>
      </c>
      <c r="C52" s="47" t="s">
        <v>1533</v>
      </c>
      <c r="D52" s="47" t="s">
        <v>1548</v>
      </c>
      <c r="E52" s="47" t="s">
        <v>1549</v>
      </c>
      <c r="F52" s="48" t="s">
        <v>1550</v>
      </c>
    </row>
    <row r="53" spans="1:6">
      <c r="A53" s="44" t="s">
        <v>1551</v>
      </c>
      <c r="B53" s="44" t="s">
        <v>1532</v>
      </c>
      <c r="C53" s="44" t="s">
        <v>1533</v>
      </c>
      <c r="D53" s="44" t="s">
        <v>1551</v>
      </c>
      <c r="E53" s="44" t="s">
        <v>1552</v>
      </c>
      <c r="F53" s="49" t="s">
        <v>1553</v>
      </c>
    </row>
    <row r="54" spans="1:6">
      <c r="A54" s="47" t="s">
        <v>1554</v>
      </c>
      <c r="B54" s="47" t="s">
        <v>1532</v>
      </c>
      <c r="C54" s="47" t="s">
        <v>1533</v>
      </c>
      <c r="D54" s="47" t="s">
        <v>1554</v>
      </c>
      <c r="E54" s="47" t="s">
        <v>1555</v>
      </c>
      <c r="F54" s="48" t="s">
        <v>1556</v>
      </c>
    </row>
    <row r="55" spans="1:6">
      <c r="A55" s="44" t="s">
        <v>1557</v>
      </c>
      <c r="B55" s="44" t="s">
        <v>1532</v>
      </c>
      <c r="C55" s="44" t="s">
        <v>1533</v>
      </c>
      <c r="D55" s="44" t="s">
        <v>1557</v>
      </c>
      <c r="E55" s="44" t="s">
        <v>1558</v>
      </c>
      <c r="F55" s="49" t="s">
        <v>1559</v>
      </c>
    </row>
    <row r="56" spans="1:6">
      <c r="A56" s="47" t="s">
        <v>1560</v>
      </c>
      <c r="B56" s="47" t="s">
        <v>1532</v>
      </c>
      <c r="C56" s="47" t="s">
        <v>1533</v>
      </c>
      <c r="D56" s="47" t="s">
        <v>1560</v>
      </c>
      <c r="E56" s="47" t="s">
        <v>1561</v>
      </c>
      <c r="F56" s="48" t="s">
        <v>1562</v>
      </c>
    </row>
    <row r="57" spans="1:6">
      <c r="A57" s="44" t="s">
        <v>1563</v>
      </c>
      <c r="B57" s="44" t="s">
        <v>1532</v>
      </c>
      <c r="C57" s="44" t="s">
        <v>1533</v>
      </c>
      <c r="D57" s="44" t="s">
        <v>1563</v>
      </c>
      <c r="E57" s="44" t="s">
        <v>1564</v>
      </c>
      <c r="F57" s="49" t="s">
        <v>1565</v>
      </c>
    </row>
    <row r="58" spans="1:6">
      <c r="A58" s="47" t="s">
        <v>1566</v>
      </c>
      <c r="B58" s="47" t="s">
        <v>1532</v>
      </c>
      <c r="C58" s="47" t="s">
        <v>1533</v>
      </c>
      <c r="D58" s="47" t="s">
        <v>1566</v>
      </c>
      <c r="E58" s="47" t="s">
        <v>1567</v>
      </c>
      <c r="F58" s="48" t="s">
        <v>1568</v>
      </c>
    </row>
    <row r="59" spans="1:6">
      <c r="A59" s="44" t="s">
        <v>1569</v>
      </c>
      <c r="B59" s="44" t="s">
        <v>1532</v>
      </c>
      <c r="C59" s="44" t="s">
        <v>1533</v>
      </c>
      <c r="D59" s="44" t="s">
        <v>1569</v>
      </c>
      <c r="E59" s="44" t="s">
        <v>1570</v>
      </c>
      <c r="F59" s="49" t="s">
        <v>1571</v>
      </c>
    </row>
    <row r="60" spans="1:6">
      <c r="A60" s="47" t="s">
        <v>1572</v>
      </c>
      <c r="B60" s="47" t="s">
        <v>1532</v>
      </c>
      <c r="C60" s="47" t="s">
        <v>1533</v>
      </c>
      <c r="D60" s="47" t="s">
        <v>1572</v>
      </c>
      <c r="E60" s="47" t="s">
        <v>1573</v>
      </c>
      <c r="F60" s="48" t="s">
        <v>1574</v>
      </c>
    </row>
    <row r="61" spans="1:6">
      <c r="A61" s="44" t="s">
        <v>1575</v>
      </c>
      <c r="B61" s="44" t="s">
        <v>1532</v>
      </c>
      <c r="C61" s="44" t="s">
        <v>1533</v>
      </c>
      <c r="D61" s="44" t="s">
        <v>1575</v>
      </c>
      <c r="E61" s="44" t="s">
        <v>1576</v>
      </c>
      <c r="F61" s="49" t="s">
        <v>1577</v>
      </c>
    </row>
    <row r="62" spans="1:6">
      <c r="A62" s="47" t="s">
        <v>1578</v>
      </c>
      <c r="B62" s="47" t="s">
        <v>1532</v>
      </c>
      <c r="C62" s="47" t="s">
        <v>1533</v>
      </c>
      <c r="D62" s="47" t="s">
        <v>1578</v>
      </c>
      <c r="E62" s="47" t="s">
        <v>1579</v>
      </c>
      <c r="F62" s="48" t="s">
        <v>1580</v>
      </c>
    </row>
    <row r="63" spans="1:6">
      <c r="A63" s="44" t="s">
        <v>1581</v>
      </c>
      <c r="B63" s="44" t="s">
        <v>1532</v>
      </c>
      <c r="C63" s="44" t="s">
        <v>1533</v>
      </c>
      <c r="D63" s="44" t="s">
        <v>1581</v>
      </c>
      <c r="E63" s="44" t="s">
        <v>1582</v>
      </c>
      <c r="F63" s="49" t="s">
        <v>1583</v>
      </c>
    </row>
    <row r="64" spans="1:6">
      <c r="A64" s="47" t="s">
        <v>1584</v>
      </c>
      <c r="B64" s="47" t="s">
        <v>1532</v>
      </c>
      <c r="C64" s="47" t="s">
        <v>1533</v>
      </c>
      <c r="D64" s="47" t="s">
        <v>1584</v>
      </c>
      <c r="E64" s="47" t="s">
        <v>1585</v>
      </c>
      <c r="F64" s="48" t="s">
        <v>1586</v>
      </c>
    </row>
    <row r="65" spans="1:6">
      <c r="A65" s="44" t="s">
        <v>1587</v>
      </c>
      <c r="B65" s="44" t="s">
        <v>1532</v>
      </c>
      <c r="C65" s="44" t="s">
        <v>1533</v>
      </c>
      <c r="D65" s="44" t="s">
        <v>1587</v>
      </c>
      <c r="E65" s="44" t="s">
        <v>1588</v>
      </c>
      <c r="F65" s="49" t="s">
        <v>1589</v>
      </c>
    </row>
    <row r="66" spans="1:6">
      <c r="A66" s="47" t="s">
        <v>1590</v>
      </c>
      <c r="B66" s="47" t="s">
        <v>1532</v>
      </c>
      <c r="C66" s="47" t="s">
        <v>1533</v>
      </c>
      <c r="D66" s="47" t="s">
        <v>1590</v>
      </c>
      <c r="E66" s="47" t="s">
        <v>1591</v>
      </c>
      <c r="F66" s="48" t="s">
        <v>1592</v>
      </c>
    </row>
    <row r="67" spans="1:6">
      <c r="A67" s="44" t="s">
        <v>1593</v>
      </c>
      <c r="B67" s="44" t="s">
        <v>1532</v>
      </c>
      <c r="C67" s="44" t="s">
        <v>1533</v>
      </c>
      <c r="D67" s="44" t="s">
        <v>1593</v>
      </c>
      <c r="E67" s="44" t="s">
        <v>1594</v>
      </c>
      <c r="F67" s="49" t="s">
        <v>1595</v>
      </c>
    </row>
    <row r="68" spans="1:6">
      <c r="A68" s="47" t="s">
        <v>1593</v>
      </c>
      <c r="B68" s="47" t="s">
        <v>1532</v>
      </c>
      <c r="C68" s="47" t="s">
        <v>1533</v>
      </c>
      <c r="D68" s="47" t="s">
        <v>1593</v>
      </c>
      <c r="E68" s="47" t="s">
        <v>1596</v>
      </c>
      <c r="F68" s="48" t="s">
        <v>1597</v>
      </c>
    </row>
    <row r="69" spans="1:6">
      <c r="A69" s="44" t="s">
        <v>1598</v>
      </c>
      <c r="B69" s="44" t="s">
        <v>1532</v>
      </c>
      <c r="C69" s="44" t="s">
        <v>1533</v>
      </c>
      <c r="D69" s="44" t="s">
        <v>1598</v>
      </c>
      <c r="E69" s="44" t="s">
        <v>1599</v>
      </c>
      <c r="F69" s="49" t="s">
        <v>1600</v>
      </c>
    </row>
    <row r="70" spans="1:6">
      <c r="A70" s="47" t="s">
        <v>1601</v>
      </c>
      <c r="B70" s="47" t="s">
        <v>1532</v>
      </c>
      <c r="C70" s="47" t="s">
        <v>1533</v>
      </c>
      <c r="D70" s="47" t="s">
        <v>1601</v>
      </c>
      <c r="E70" s="47" t="s">
        <v>1602</v>
      </c>
      <c r="F70" s="48" t="s">
        <v>1603</v>
      </c>
    </row>
    <row r="71" spans="1:6">
      <c r="A71" s="44" t="s">
        <v>1604</v>
      </c>
      <c r="B71" s="44" t="s">
        <v>1532</v>
      </c>
      <c r="C71" s="44" t="s">
        <v>1533</v>
      </c>
      <c r="D71" s="44" t="s">
        <v>1604</v>
      </c>
      <c r="E71" s="44" t="s">
        <v>1605</v>
      </c>
      <c r="F71" s="49" t="s">
        <v>1606</v>
      </c>
    </row>
    <row r="72" spans="1:6">
      <c r="A72" s="47" t="s">
        <v>1607</v>
      </c>
      <c r="B72" s="47" t="s">
        <v>1532</v>
      </c>
      <c r="C72" s="47" t="s">
        <v>1533</v>
      </c>
      <c r="D72" s="47" t="s">
        <v>1607</v>
      </c>
      <c r="E72" s="47" t="s">
        <v>1608</v>
      </c>
      <c r="F72" s="48" t="s">
        <v>1609</v>
      </c>
    </row>
    <row r="73" spans="1:6">
      <c r="A73" s="44" t="s">
        <v>1610</v>
      </c>
      <c r="B73" s="44" t="s">
        <v>1532</v>
      </c>
      <c r="C73" s="44" t="s">
        <v>1533</v>
      </c>
      <c r="D73" s="44" t="s">
        <v>1610</v>
      </c>
      <c r="E73" s="44" t="s">
        <v>1611</v>
      </c>
      <c r="F73" s="49" t="s">
        <v>1612</v>
      </c>
    </row>
    <row r="74" spans="1:6">
      <c r="A74" s="47" t="s">
        <v>1613</v>
      </c>
      <c r="B74" s="47" t="s">
        <v>1532</v>
      </c>
      <c r="C74" s="47" t="s">
        <v>1533</v>
      </c>
      <c r="D74" s="47" t="s">
        <v>1613</v>
      </c>
      <c r="E74" s="47" t="s">
        <v>1614</v>
      </c>
      <c r="F74" s="48" t="s">
        <v>1615</v>
      </c>
    </row>
    <row r="75" spans="1:6">
      <c r="A75" s="44" t="s">
        <v>1616</v>
      </c>
      <c r="B75" s="44" t="s">
        <v>1532</v>
      </c>
      <c r="C75" s="44" t="s">
        <v>1533</v>
      </c>
      <c r="D75" s="44" t="s">
        <v>1616</v>
      </c>
      <c r="E75" s="44" t="s">
        <v>1617</v>
      </c>
      <c r="F75" s="49" t="s">
        <v>1618</v>
      </c>
    </row>
    <row r="76" spans="1:6">
      <c r="A76" s="47" t="s">
        <v>1619</v>
      </c>
      <c r="B76" s="47" t="s">
        <v>1532</v>
      </c>
      <c r="C76" s="47" t="s">
        <v>1533</v>
      </c>
      <c r="D76" s="47" t="s">
        <v>1619</v>
      </c>
      <c r="E76" s="47" t="s">
        <v>1620</v>
      </c>
      <c r="F76" s="48" t="s">
        <v>1621</v>
      </c>
    </row>
    <row r="77" spans="1:6">
      <c r="A77" s="44" t="s">
        <v>1622</v>
      </c>
      <c r="B77" s="44" t="s">
        <v>1532</v>
      </c>
      <c r="C77" s="44" t="s">
        <v>1533</v>
      </c>
      <c r="D77" s="44" t="s">
        <v>1622</v>
      </c>
      <c r="E77" s="44" t="s">
        <v>1623</v>
      </c>
      <c r="F77" s="49" t="s">
        <v>1624</v>
      </c>
    </row>
    <row r="78" spans="1:6">
      <c r="A78" s="47" t="s">
        <v>1625</v>
      </c>
      <c r="B78" s="47" t="s">
        <v>1532</v>
      </c>
      <c r="C78" s="47" t="s">
        <v>1533</v>
      </c>
      <c r="D78" s="47" t="s">
        <v>1625</v>
      </c>
      <c r="E78" s="47" t="s">
        <v>1626</v>
      </c>
      <c r="F78" s="48" t="s">
        <v>1627</v>
      </c>
    </row>
    <row r="79" spans="1:6">
      <c r="A79" s="44" t="s">
        <v>1628</v>
      </c>
      <c r="B79" s="44" t="s">
        <v>1532</v>
      </c>
      <c r="C79" s="44" t="s">
        <v>1533</v>
      </c>
      <c r="D79" s="44" t="s">
        <v>1628</v>
      </c>
      <c r="E79" s="44" t="s">
        <v>1629</v>
      </c>
      <c r="F79" s="49" t="s">
        <v>1630</v>
      </c>
    </row>
    <row r="80" spans="1:6">
      <c r="A80" s="47" t="s">
        <v>1631</v>
      </c>
      <c r="B80" s="47" t="s">
        <v>1532</v>
      </c>
      <c r="C80" s="47" t="s">
        <v>1533</v>
      </c>
      <c r="D80" s="47" t="s">
        <v>1631</v>
      </c>
      <c r="E80" s="47" t="s">
        <v>1632</v>
      </c>
      <c r="F80" s="48" t="s">
        <v>1633</v>
      </c>
    </row>
    <row r="81" spans="1:6">
      <c r="A81" s="44" t="s">
        <v>1634</v>
      </c>
      <c r="B81" s="44" t="s">
        <v>1532</v>
      </c>
      <c r="C81" s="44" t="s">
        <v>1533</v>
      </c>
      <c r="D81" s="44" t="s">
        <v>1634</v>
      </c>
      <c r="E81" s="44" t="s">
        <v>1635</v>
      </c>
      <c r="F81" s="49" t="s">
        <v>1636</v>
      </c>
    </row>
    <row r="82" spans="1:6">
      <c r="A82" s="47" t="s">
        <v>1637</v>
      </c>
      <c r="B82" s="47" t="s">
        <v>1532</v>
      </c>
      <c r="C82" s="47" t="s">
        <v>1533</v>
      </c>
      <c r="D82" s="47" t="s">
        <v>1637</v>
      </c>
      <c r="E82" s="47" t="s">
        <v>1638</v>
      </c>
      <c r="F82" s="48" t="s">
        <v>1639</v>
      </c>
    </row>
    <row r="83" spans="1:6">
      <c r="A83" s="44" t="s">
        <v>1640</v>
      </c>
      <c r="B83" s="44" t="s">
        <v>1532</v>
      </c>
      <c r="C83" s="44" t="s">
        <v>1533</v>
      </c>
      <c r="D83" s="44" t="s">
        <v>1640</v>
      </c>
      <c r="E83" s="44" t="s">
        <v>1641</v>
      </c>
      <c r="F83" s="49" t="s">
        <v>1642</v>
      </c>
    </row>
    <row r="84" spans="1:6">
      <c r="A84" s="47" t="s">
        <v>1643</v>
      </c>
      <c r="B84" s="47" t="s">
        <v>1532</v>
      </c>
      <c r="C84" s="47" t="s">
        <v>1533</v>
      </c>
      <c r="D84" s="47" t="s">
        <v>1643</v>
      </c>
      <c r="E84" s="47" t="s">
        <v>1644</v>
      </c>
      <c r="F84" s="48" t="s">
        <v>1645</v>
      </c>
    </row>
    <row r="85" spans="1:6">
      <c r="A85" s="44" t="s">
        <v>1646</v>
      </c>
      <c r="B85" s="44" t="s">
        <v>1532</v>
      </c>
      <c r="C85" s="44" t="s">
        <v>1533</v>
      </c>
      <c r="D85" s="44" t="s">
        <v>1646</v>
      </c>
      <c r="E85" s="44" t="s">
        <v>1647</v>
      </c>
      <c r="F85" s="49" t="s">
        <v>1648</v>
      </c>
    </row>
    <row r="86" spans="1:6">
      <c r="A86" s="47" t="s">
        <v>1649</v>
      </c>
      <c r="B86" s="47" t="s">
        <v>1532</v>
      </c>
      <c r="C86" s="47" t="s">
        <v>1533</v>
      </c>
      <c r="D86" s="47" t="s">
        <v>1649</v>
      </c>
      <c r="E86" s="47" t="s">
        <v>1650</v>
      </c>
      <c r="F86" s="48" t="s">
        <v>1651</v>
      </c>
    </row>
    <row r="87" spans="1:6">
      <c r="A87" s="44" t="s">
        <v>1652</v>
      </c>
      <c r="B87" s="44" t="s">
        <v>1532</v>
      </c>
      <c r="C87" s="44" t="s">
        <v>1533</v>
      </c>
      <c r="D87" s="44" t="s">
        <v>1652</v>
      </c>
      <c r="E87" s="44" t="s">
        <v>1653</v>
      </c>
      <c r="F87" s="49" t="s">
        <v>1654</v>
      </c>
    </row>
    <row r="88" spans="1:6">
      <c r="A88" s="47" t="s">
        <v>1655</v>
      </c>
      <c r="B88" s="47" t="s">
        <v>1532</v>
      </c>
      <c r="C88" s="47" t="s">
        <v>1533</v>
      </c>
      <c r="D88" s="47" t="s">
        <v>1655</v>
      </c>
      <c r="E88" s="47" t="s">
        <v>1656</v>
      </c>
      <c r="F88" s="48" t="s">
        <v>1657</v>
      </c>
    </row>
    <row r="89" spans="1:6">
      <c r="A89" s="44" t="s">
        <v>1658</v>
      </c>
      <c r="B89" s="44" t="s">
        <v>1532</v>
      </c>
      <c r="C89" s="44" t="s">
        <v>1533</v>
      </c>
      <c r="D89" s="44" t="s">
        <v>1658</v>
      </c>
      <c r="E89" s="44" t="s">
        <v>1659</v>
      </c>
      <c r="F89" s="49" t="s">
        <v>1660</v>
      </c>
    </row>
    <row r="90" spans="1:6">
      <c r="A90" s="47" t="s">
        <v>1661</v>
      </c>
      <c r="B90" s="47" t="s">
        <v>1532</v>
      </c>
      <c r="C90" s="47" t="s">
        <v>1533</v>
      </c>
      <c r="D90" s="47" t="s">
        <v>1661</v>
      </c>
      <c r="E90" s="47" t="s">
        <v>1662</v>
      </c>
      <c r="F90" s="48" t="s">
        <v>1663</v>
      </c>
    </row>
    <row r="91" spans="1:6">
      <c r="A91" s="44" t="s">
        <v>1664</v>
      </c>
      <c r="B91" s="44" t="s">
        <v>1532</v>
      </c>
      <c r="C91" s="44" t="s">
        <v>1533</v>
      </c>
      <c r="D91" s="44" t="s">
        <v>1664</v>
      </c>
      <c r="E91" s="44" t="s">
        <v>1665</v>
      </c>
      <c r="F91" s="49" t="s">
        <v>1666</v>
      </c>
    </row>
    <row r="92" spans="1:6">
      <c r="A92" s="47" t="s">
        <v>1667</v>
      </c>
      <c r="B92" s="47" t="s">
        <v>1532</v>
      </c>
      <c r="C92" s="47" t="s">
        <v>1533</v>
      </c>
      <c r="D92" s="47" t="s">
        <v>1667</v>
      </c>
      <c r="E92" s="47" t="s">
        <v>1668</v>
      </c>
      <c r="F92" s="48" t="s">
        <v>1669</v>
      </c>
    </row>
    <row r="93" spans="1:6">
      <c r="A93" s="44" t="s">
        <v>1670</v>
      </c>
      <c r="B93" s="44" t="s">
        <v>1532</v>
      </c>
      <c r="C93" s="44" t="s">
        <v>1533</v>
      </c>
      <c r="D93" s="44" t="s">
        <v>1670</v>
      </c>
      <c r="E93" s="44" t="s">
        <v>1671</v>
      </c>
      <c r="F93" s="49" t="s">
        <v>1672</v>
      </c>
    </row>
    <row r="94" spans="1:6">
      <c r="A94" s="47" t="s">
        <v>1673</v>
      </c>
      <c r="B94" s="47" t="s">
        <v>1532</v>
      </c>
      <c r="C94" s="47" t="s">
        <v>1533</v>
      </c>
      <c r="D94" s="47" t="s">
        <v>1673</v>
      </c>
      <c r="E94" s="47" t="s">
        <v>1674</v>
      </c>
      <c r="F94" s="48" t="s">
        <v>1675</v>
      </c>
    </row>
    <row r="95" spans="1:6">
      <c r="A95" s="44" t="s">
        <v>1676</v>
      </c>
      <c r="B95" s="44" t="s">
        <v>1532</v>
      </c>
      <c r="C95" s="44" t="s">
        <v>1533</v>
      </c>
      <c r="D95" s="44" t="s">
        <v>1676</v>
      </c>
      <c r="E95" s="44" t="s">
        <v>1677</v>
      </c>
      <c r="F95" s="49" t="s">
        <v>1678</v>
      </c>
    </row>
    <row r="96" spans="1:6">
      <c r="A96" s="47" t="s">
        <v>1679</v>
      </c>
      <c r="B96" s="47" t="s">
        <v>1532</v>
      </c>
      <c r="C96" s="47" t="s">
        <v>1533</v>
      </c>
      <c r="D96" s="47" t="s">
        <v>1679</v>
      </c>
      <c r="E96" s="47" t="s">
        <v>1680</v>
      </c>
      <c r="F96" s="48" t="s">
        <v>1681</v>
      </c>
    </row>
    <row r="97" spans="1:6">
      <c r="A97" s="44" t="s">
        <v>1682</v>
      </c>
      <c r="B97" s="44" t="s">
        <v>1532</v>
      </c>
      <c r="C97" s="44" t="s">
        <v>1533</v>
      </c>
      <c r="D97" s="44" t="s">
        <v>1682</v>
      </c>
      <c r="E97" s="44" t="s">
        <v>1683</v>
      </c>
      <c r="F97" s="49" t="s">
        <v>1684</v>
      </c>
    </row>
    <row r="98" spans="1:6">
      <c r="A98" s="47" t="s">
        <v>1685</v>
      </c>
      <c r="B98" s="47" t="s">
        <v>1532</v>
      </c>
      <c r="C98" s="47" t="s">
        <v>1533</v>
      </c>
      <c r="D98" s="47" t="s">
        <v>1685</v>
      </c>
      <c r="E98" s="47" t="s">
        <v>1686</v>
      </c>
      <c r="F98" s="48" t="s">
        <v>1687</v>
      </c>
    </row>
    <row r="99" spans="1:6">
      <c r="A99" s="44" t="s">
        <v>1688</v>
      </c>
      <c r="B99" s="44" t="s">
        <v>1532</v>
      </c>
      <c r="C99" s="44" t="s">
        <v>1533</v>
      </c>
      <c r="D99" s="44" t="s">
        <v>1688</v>
      </c>
      <c r="E99" s="44" t="s">
        <v>1689</v>
      </c>
      <c r="F99" s="49" t="s">
        <v>1690</v>
      </c>
    </row>
    <row r="100" spans="1:6">
      <c r="A100" s="47" t="s">
        <v>1691</v>
      </c>
      <c r="B100" s="47" t="s">
        <v>1532</v>
      </c>
      <c r="C100" s="47" t="s">
        <v>1533</v>
      </c>
      <c r="D100" s="47" t="s">
        <v>1691</v>
      </c>
      <c r="E100" s="47" t="s">
        <v>1692</v>
      </c>
      <c r="F100" s="48" t="s">
        <v>1693</v>
      </c>
    </row>
    <row r="101" spans="1:6">
      <c r="A101" s="44" t="s">
        <v>1694</v>
      </c>
      <c r="B101" s="44" t="s">
        <v>1532</v>
      </c>
      <c r="C101" s="44" t="s">
        <v>1533</v>
      </c>
      <c r="D101" s="44" t="s">
        <v>1694</v>
      </c>
      <c r="E101" s="44" t="s">
        <v>1695</v>
      </c>
      <c r="F101" s="49" t="s">
        <v>1696</v>
      </c>
    </row>
    <row r="102" spans="1:6">
      <c r="A102" s="47" t="s">
        <v>1697</v>
      </c>
      <c r="B102" s="47" t="s">
        <v>1532</v>
      </c>
      <c r="C102" s="47" t="s">
        <v>1533</v>
      </c>
      <c r="D102" s="47" t="s">
        <v>1697</v>
      </c>
      <c r="E102" s="47" t="s">
        <v>1698</v>
      </c>
      <c r="F102" s="48" t="s">
        <v>1699</v>
      </c>
    </row>
    <row r="103" spans="1:6">
      <c r="A103" s="44" t="s">
        <v>1700</v>
      </c>
      <c r="B103" s="44" t="s">
        <v>1532</v>
      </c>
      <c r="C103" s="44" t="s">
        <v>1533</v>
      </c>
      <c r="D103" s="44" t="s">
        <v>1700</v>
      </c>
      <c r="E103" s="44" t="s">
        <v>1701</v>
      </c>
      <c r="F103" s="49" t="s">
        <v>1702</v>
      </c>
    </row>
    <row r="104" spans="1:6">
      <c r="A104" s="47" t="s">
        <v>1703</v>
      </c>
      <c r="B104" s="47" t="s">
        <v>1532</v>
      </c>
      <c r="C104" s="47" t="s">
        <v>1533</v>
      </c>
      <c r="D104" s="47" t="s">
        <v>1703</v>
      </c>
      <c r="E104" s="47" t="s">
        <v>1704</v>
      </c>
      <c r="F104" s="48" t="s">
        <v>1705</v>
      </c>
    </row>
    <row r="105" spans="1:6">
      <c r="A105" s="44" t="s">
        <v>1706</v>
      </c>
      <c r="B105" s="44" t="s">
        <v>1532</v>
      </c>
      <c r="C105" s="44" t="s">
        <v>1533</v>
      </c>
      <c r="D105" s="44" t="s">
        <v>1706</v>
      </c>
      <c r="E105" s="44" t="s">
        <v>1707</v>
      </c>
      <c r="F105" s="49" t="s">
        <v>1708</v>
      </c>
    </row>
    <row r="106" spans="1:6">
      <c r="A106" s="47" t="s">
        <v>1709</v>
      </c>
      <c r="B106" s="47" t="s">
        <v>1532</v>
      </c>
      <c r="C106" s="47" t="s">
        <v>1533</v>
      </c>
      <c r="D106" s="47" t="s">
        <v>1709</v>
      </c>
      <c r="E106" s="47" t="s">
        <v>1710</v>
      </c>
      <c r="F106" s="48" t="s">
        <v>1711</v>
      </c>
    </row>
    <row r="107" spans="1:6">
      <c r="A107" s="44" t="s">
        <v>1712</v>
      </c>
      <c r="B107" s="44" t="s">
        <v>1532</v>
      </c>
      <c r="C107" s="44" t="s">
        <v>1533</v>
      </c>
      <c r="D107" s="44" t="s">
        <v>1712</v>
      </c>
      <c r="E107" s="44" t="s">
        <v>1713</v>
      </c>
      <c r="F107" s="49" t="s">
        <v>1714</v>
      </c>
    </row>
    <row r="108" spans="1:6">
      <c r="A108" s="47" t="s">
        <v>1715</v>
      </c>
      <c r="B108" s="47" t="s">
        <v>1532</v>
      </c>
      <c r="C108" s="47" t="s">
        <v>1533</v>
      </c>
      <c r="D108" s="47" t="s">
        <v>1715</v>
      </c>
      <c r="E108" s="47" t="s">
        <v>1716</v>
      </c>
      <c r="F108" s="48" t="s">
        <v>1717</v>
      </c>
    </row>
    <row r="109" spans="1:6">
      <c r="A109" s="44" t="s">
        <v>1718</v>
      </c>
      <c r="B109" s="44" t="s">
        <v>1532</v>
      </c>
      <c r="C109" s="44" t="s">
        <v>1533</v>
      </c>
      <c r="D109" s="44" t="s">
        <v>1718</v>
      </c>
      <c r="E109" s="44" t="s">
        <v>1719</v>
      </c>
      <c r="F109" s="49" t="s">
        <v>1720</v>
      </c>
    </row>
    <row r="110" spans="1:6">
      <c r="A110" s="47" t="s">
        <v>1721</v>
      </c>
      <c r="B110" s="47" t="s">
        <v>1532</v>
      </c>
      <c r="C110" s="47" t="s">
        <v>1533</v>
      </c>
      <c r="D110" s="47" t="s">
        <v>1721</v>
      </c>
      <c r="E110" s="47" t="s">
        <v>1722</v>
      </c>
      <c r="F110" s="48" t="s">
        <v>1723</v>
      </c>
    </row>
    <row r="111" spans="1:6">
      <c r="A111" s="44" t="s">
        <v>1724</v>
      </c>
      <c r="B111" s="44" t="s">
        <v>1532</v>
      </c>
      <c r="C111" s="44" t="s">
        <v>1533</v>
      </c>
      <c r="D111" s="44" t="s">
        <v>1724</v>
      </c>
      <c r="E111" s="44" t="s">
        <v>1725</v>
      </c>
      <c r="F111" s="49" t="s">
        <v>1726</v>
      </c>
    </row>
    <row r="112" spans="1:6">
      <c r="A112" s="47" t="s">
        <v>1727</v>
      </c>
      <c r="B112" s="47" t="s">
        <v>1532</v>
      </c>
      <c r="C112" s="47" t="s">
        <v>1533</v>
      </c>
      <c r="D112" s="47" t="s">
        <v>1727</v>
      </c>
      <c r="E112" s="47" t="s">
        <v>1728</v>
      </c>
      <c r="F112" s="48" t="s">
        <v>1729</v>
      </c>
    </row>
    <row r="113" spans="1:6">
      <c r="A113" s="44" t="s">
        <v>1730</v>
      </c>
      <c r="B113" s="44" t="s">
        <v>1532</v>
      </c>
      <c r="C113" s="44" t="s">
        <v>1533</v>
      </c>
      <c r="D113" s="44" t="s">
        <v>1730</v>
      </c>
      <c r="E113" s="44" t="s">
        <v>1731</v>
      </c>
      <c r="F113" s="49" t="s">
        <v>1732</v>
      </c>
    </row>
    <row r="114" spans="1:6">
      <c r="A114" s="47" t="s">
        <v>1733</v>
      </c>
      <c r="B114" s="47" t="s">
        <v>1532</v>
      </c>
      <c r="C114" s="47" t="s">
        <v>1533</v>
      </c>
      <c r="D114" s="47" t="s">
        <v>1733</v>
      </c>
      <c r="E114" s="47" t="s">
        <v>1734</v>
      </c>
      <c r="F114" s="48" t="s">
        <v>1735</v>
      </c>
    </row>
    <row r="115" spans="1:6">
      <c r="A115" s="44" t="s">
        <v>1736</v>
      </c>
      <c r="B115" s="44" t="s">
        <v>1532</v>
      </c>
      <c r="C115" s="44" t="s">
        <v>1533</v>
      </c>
      <c r="D115" s="44" t="s">
        <v>1736</v>
      </c>
      <c r="E115" s="44" t="s">
        <v>1737</v>
      </c>
      <c r="F115" s="49" t="s">
        <v>1738</v>
      </c>
    </row>
    <row r="116" spans="1:6">
      <c r="A116" s="47" t="s">
        <v>1739</v>
      </c>
      <c r="B116" s="47" t="s">
        <v>1532</v>
      </c>
      <c r="C116" s="47" t="s">
        <v>1533</v>
      </c>
      <c r="D116" s="47" t="s">
        <v>1739</v>
      </c>
      <c r="E116" s="47" t="s">
        <v>1740</v>
      </c>
      <c r="F116" s="48" t="s">
        <v>1741</v>
      </c>
    </row>
    <row r="117" spans="1:6">
      <c r="A117" s="44" t="s">
        <v>1742</v>
      </c>
      <c r="B117" s="44" t="s">
        <v>1532</v>
      </c>
      <c r="C117" s="44" t="s">
        <v>1533</v>
      </c>
      <c r="D117" s="44" t="s">
        <v>1742</v>
      </c>
      <c r="E117" s="44" t="s">
        <v>1743</v>
      </c>
      <c r="F117" s="49" t="s">
        <v>1744</v>
      </c>
    </row>
    <row r="118" spans="1:6">
      <c r="A118" s="47" t="s">
        <v>1745</v>
      </c>
      <c r="B118" s="47" t="s">
        <v>1532</v>
      </c>
      <c r="C118" s="47" t="s">
        <v>1533</v>
      </c>
      <c r="D118" s="47" t="s">
        <v>1745</v>
      </c>
      <c r="E118" s="47" t="s">
        <v>1746</v>
      </c>
      <c r="F118" s="48" t="s">
        <v>1747</v>
      </c>
    </row>
    <row r="119" spans="1:6">
      <c r="A119" s="44" t="s">
        <v>1748</v>
      </c>
      <c r="B119" s="44" t="s">
        <v>1532</v>
      </c>
      <c r="C119" s="44" t="s">
        <v>1533</v>
      </c>
      <c r="D119" s="44" t="s">
        <v>1748</v>
      </c>
      <c r="E119" s="44" t="s">
        <v>1749</v>
      </c>
      <c r="F119" s="49" t="s">
        <v>1750</v>
      </c>
    </row>
    <row r="120" spans="1:6">
      <c r="A120" s="47" t="s">
        <v>1751</v>
      </c>
      <c r="B120" s="47" t="s">
        <v>1532</v>
      </c>
      <c r="C120" s="47" t="s">
        <v>1533</v>
      </c>
      <c r="D120" s="47" t="s">
        <v>1751</v>
      </c>
      <c r="E120" s="47" t="s">
        <v>1752</v>
      </c>
      <c r="F120" s="48" t="s">
        <v>1753</v>
      </c>
    </row>
    <row r="121" spans="1:6">
      <c r="A121" s="44" t="s">
        <v>1754</v>
      </c>
      <c r="B121" s="44" t="s">
        <v>1532</v>
      </c>
      <c r="C121" s="44" t="s">
        <v>1533</v>
      </c>
      <c r="D121" s="44" t="s">
        <v>1754</v>
      </c>
      <c r="E121" s="44" t="s">
        <v>1755</v>
      </c>
      <c r="F121" s="49" t="s">
        <v>1756</v>
      </c>
    </row>
    <row r="122" spans="1:6">
      <c r="A122" s="47" t="s">
        <v>1757</v>
      </c>
      <c r="B122" s="47" t="s">
        <v>1532</v>
      </c>
      <c r="C122" s="47" t="s">
        <v>1533</v>
      </c>
      <c r="D122" s="47" t="s">
        <v>1757</v>
      </c>
      <c r="E122" s="47" t="s">
        <v>1758</v>
      </c>
      <c r="F122" s="48" t="s">
        <v>1759</v>
      </c>
    </row>
    <row r="123" spans="1:6">
      <c r="A123" s="44" t="s">
        <v>1760</v>
      </c>
      <c r="B123" s="44" t="s">
        <v>1532</v>
      </c>
      <c r="C123" s="44" t="s">
        <v>1533</v>
      </c>
      <c r="D123" s="44" t="s">
        <v>1760</v>
      </c>
      <c r="E123" s="44" t="s">
        <v>1761</v>
      </c>
      <c r="F123" s="49" t="s">
        <v>1762</v>
      </c>
    </row>
    <row r="124" spans="1:6">
      <c r="A124" s="47" t="s">
        <v>1763</v>
      </c>
      <c r="B124" s="47" t="s">
        <v>1532</v>
      </c>
      <c r="C124" s="47" t="s">
        <v>1533</v>
      </c>
      <c r="D124" s="47" t="s">
        <v>1763</v>
      </c>
      <c r="E124" s="47" t="s">
        <v>1764</v>
      </c>
      <c r="F124" s="48" t="s">
        <v>1765</v>
      </c>
    </row>
    <row r="125" spans="1:6">
      <c r="A125" s="44" t="s">
        <v>1766</v>
      </c>
      <c r="B125" s="44" t="s">
        <v>1532</v>
      </c>
      <c r="C125" s="44" t="s">
        <v>1533</v>
      </c>
      <c r="D125" s="44" t="s">
        <v>1766</v>
      </c>
      <c r="E125" s="44" t="s">
        <v>1767</v>
      </c>
      <c r="F125" s="49" t="s">
        <v>1768</v>
      </c>
    </row>
    <row r="126" spans="1:6">
      <c r="A126" s="47" t="s">
        <v>1769</v>
      </c>
      <c r="B126" s="47" t="s">
        <v>1532</v>
      </c>
      <c r="C126" s="47" t="s">
        <v>1533</v>
      </c>
      <c r="D126" s="47" t="s">
        <v>1769</v>
      </c>
      <c r="E126" s="47" t="s">
        <v>1770</v>
      </c>
      <c r="F126" s="48" t="s">
        <v>1771</v>
      </c>
    </row>
    <row r="127" spans="1:6">
      <c r="A127" s="44" t="s">
        <v>1772</v>
      </c>
      <c r="B127" s="44" t="s">
        <v>1532</v>
      </c>
      <c r="C127" s="44" t="s">
        <v>1533</v>
      </c>
      <c r="D127" s="44" t="s">
        <v>1772</v>
      </c>
      <c r="E127" s="44" t="s">
        <v>1773</v>
      </c>
      <c r="F127" s="49" t="s">
        <v>1774</v>
      </c>
    </row>
    <row r="128" spans="1:6">
      <c r="A128" s="47" t="s">
        <v>1775</v>
      </c>
      <c r="B128" s="47" t="s">
        <v>1532</v>
      </c>
      <c r="C128" s="47" t="s">
        <v>1533</v>
      </c>
      <c r="D128" s="47" t="s">
        <v>1775</v>
      </c>
      <c r="E128" s="47" t="s">
        <v>1776</v>
      </c>
      <c r="F128" s="48" t="s">
        <v>1777</v>
      </c>
    </row>
    <row r="129" spans="1:6">
      <c r="A129" s="44" t="s">
        <v>1778</v>
      </c>
      <c r="B129" s="44" t="s">
        <v>1532</v>
      </c>
      <c r="C129" s="44" t="s">
        <v>1533</v>
      </c>
      <c r="D129" s="44" t="s">
        <v>1778</v>
      </c>
      <c r="E129" s="44" t="s">
        <v>1779</v>
      </c>
      <c r="F129" s="49" t="s">
        <v>1780</v>
      </c>
    </row>
    <row r="130" spans="1:6">
      <c r="A130" s="47" t="s">
        <v>1781</v>
      </c>
      <c r="B130" s="47" t="s">
        <v>1532</v>
      </c>
      <c r="C130" s="47" t="s">
        <v>1533</v>
      </c>
      <c r="D130" s="47" t="s">
        <v>1781</v>
      </c>
      <c r="E130" s="47" t="s">
        <v>1782</v>
      </c>
      <c r="F130" s="48" t="s">
        <v>1783</v>
      </c>
    </row>
    <row r="131" spans="1:6">
      <c r="A131" s="44" t="s">
        <v>1784</v>
      </c>
      <c r="B131" s="44" t="s">
        <v>1532</v>
      </c>
      <c r="C131" s="44" t="s">
        <v>1533</v>
      </c>
      <c r="D131" s="44" t="s">
        <v>1784</v>
      </c>
      <c r="E131" s="44" t="s">
        <v>1785</v>
      </c>
      <c r="F131" s="49" t="s">
        <v>1786</v>
      </c>
    </row>
    <row r="132" spans="1:6">
      <c r="A132" s="47" t="s">
        <v>1787</v>
      </c>
      <c r="B132" s="47" t="s">
        <v>1532</v>
      </c>
      <c r="C132" s="47" t="s">
        <v>1533</v>
      </c>
      <c r="D132" s="47" t="s">
        <v>1787</v>
      </c>
      <c r="E132" s="47" t="s">
        <v>1788</v>
      </c>
      <c r="F132" s="48" t="s">
        <v>1789</v>
      </c>
    </row>
    <row r="133" spans="1:6">
      <c r="A133" s="44" t="s">
        <v>1790</v>
      </c>
      <c r="B133" s="44" t="s">
        <v>1532</v>
      </c>
      <c r="C133" s="44" t="s">
        <v>1533</v>
      </c>
      <c r="D133" s="44" t="s">
        <v>1790</v>
      </c>
      <c r="E133" s="44" t="s">
        <v>1791</v>
      </c>
      <c r="F133" s="49" t="s">
        <v>1792</v>
      </c>
    </row>
    <row r="134" spans="1:6">
      <c r="A134" s="47" t="s">
        <v>1793</v>
      </c>
      <c r="B134" s="47" t="s">
        <v>1532</v>
      </c>
      <c r="C134" s="47" t="s">
        <v>1533</v>
      </c>
      <c r="D134" s="47" t="s">
        <v>1793</v>
      </c>
      <c r="E134" s="47" t="s">
        <v>1794</v>
      </c>
      <c r="F134" s="48" t="s">
        <v>1795</v>
      </c>
    </row>
    <row r="135" spans="1:6">
      <c r="A135" s="44" t="s">
        <v>1796</v>
      </c>
      <c r="B135" s="44" t="s">
        <v>1532</v>
      </c>
      <c r="C135" s="44" t="s">
        <v>1533</v>
      </c>
      <c r="D135" s="44" t="s">
        <v>1796</v>
      </c>
      <c r="E135" s="44" t="s">
        <v>1797</v>
      </c>
      <c r="F135" s="49" t="s">
        <v>1798</v>
      </c>
    </row>
    <row r="136" spans="1:6">
      <c r="A136" s="47" t="s">
        <v>1799</v>
      </c>
      <c r="B136" s="47" t="s">
        <v>1532</v>
      </c>
      <c r="C136" s="47" t="s">
        <v>1533</v>
      </c>
      <c r="D136" s="47" t="s">
        <v>1799</v>
      </c>
      <c r="E136" s="47" t="s">
        <v>1800</v>
      </c>
      <c r="F136" s="48" t="s">
        <v>1801</v>
      </c>
    </row>
    <row r="137" spans="1:6">
      <c r="A137" s="44" t="s">
        <v>1802</v>
      </c>
      <c r="B137" s="44" t="s">
        <v>1532</v>
      </c>
      <c r="C137" s="44" t="s">
        <v>1533</v>
      </c>
      <c r="D137" s="44" t="s">
        <v>1802</v>
      </c>
      <c r="E137" s="44" t="s">
        <v>1803</v>
      </c>
      <c r="F137" s="49" t="s">
        <v>1804</v>
      </c>
    </row>
    <row r="138" spans="1:6">
      <c r="A138" s="47" t="s">
        <v>1805</v>
      </c>
      <c r="B138" s="47" t="s">
        <v>1532</v>
      </c>
      <c r="C138" s="47" t="s">
        <v>1533</v>
      </c>
      <c r="D138" s="47" t="s">
        <v>1805</v>
      </c>
      <c r="E138" s="47" t="s">
        <v>1806</v>
      </c>
      <c r="F138" s="48" t="s">
        <v>1807</v>
      </c>
    </row>
    <row r="139" spans="1:6">
      <c r="A139" s="44" t="s">
        <v>1808</v>
      </c>
      <c r="B139" s="44" t="s">
        <v>1532</v>
      </c>
      <c r="C139" s="44" t="s">
        <v>1533</v>
      </c>
      <c r="D139" s="44" t="s">
        <v>1808</v>
      </c>
      <c r="E139" s="44" t="s">
        <v>1809</v>
      </c>
      <c r="F139" s="49" t="s">
        <v>1810</v>
      </c>
    </row>
    <row r="140" spans="1:6">
      <c r="A140" s="47" t="s">
        <v>1811</v>
      </c>
      <c r="B140" s="47" t="s">
        <v>1532</v>
      </c>
      <c r="C140" s="47" t="s">
        <v>1533</v>
      </c>
      <c r="D140" s="47" t="s">
        <v>1811</v>
      </c>
      <c r="E140" s="47" t="s">
        <v>1812</v>
      </c>
      <c r="F140" s="48" t="s">
        <v>1813</v>
      </c>
    </row>
    <row r="141" spans="1:6">
      <c r="A141" s="44" t="s">
        <v>1814</v>
      </c>
      <c r="B141" s="44" t="s">
        <v>1532</v>
      </c>
      <c r="C141" s="44" t="s">
        <v>1533</v>
      </c>
      <c r="D141" s="44" t="s">
        <v>1814</v>
      </c>
      <c r="E141" s="44" t="s">
        <v>1815</v>
      </c>
      <c r="F141" s="49" t="s">
        <v>1816</v>
      </c>
    </row>
    <row r="142" spans="1:6">
      <c r="A142" s="47" t="s">
        <v>1817</v>
      </c>
      <c r="B142" s="47" t="s">
        <v>1532</v>
      </c>
      <c r="C142" s="47" t="s">
        <v>1533</v>
      </c>
      <c r="D142" s="47" t="s">
        <v>1817</v>
      </c>
      <c r="E142" s="47" t="s">
        <v>1818</v>
      </c>
      <c r="F142" s="48" t="s">
        <v>1819</v>
      </c>
    </row>
    <row r="143" spans="1:6">
      <c r="A143" s="44" t="s">
        <v>1820</v>
      </c>
      <c r="B143" s="44" t="s">
        <v>1532</v>
      </c>
      <c r="C143" s="44" t="s">
        <v>1533</v>
      </c>
      <c r="D143" s="44" t="s">
        <v>1820</v>
      </c>
      <c r="E143" s="44" t="s">
        <v>1821</v>
      </c>
      <c r="F143" s="49" t="s">
        <v>1822</v>
      </c>
    </row>
    <row r="144" spans="1:6">
      <c r="A144" s="47" t="s">
        <v>1823</v>
      </c>
      <c r="B144" s="47" t="s">
        <v>1532</v>
      </c>
      <c r="C144" s="47" t="s">
        <v>1533</v>
      </c>
      <c r="D144" s="47" t="s">
        <v>1823</v>
      </c>
      <c r="E144" s="47" t="s">
        <v>1824</v>
      </c>
      <c r="F144" s="48" t="s">
        <v>1825</v>
      </c>
    </row>
    <row r="145" spans="1:6">
      <c r="A145" s="44" t="s">
        <v>1826</v>
      </c>
      <c r="B145" s="44" t="s">
        <v>1532</v>
      </c>
      <c r="C145" s="44" t="s">
        <v>1533</v>
      </c>
      <c r="D145" s="44" t="s">
        <v>1826</v>
      </c>
      <c r="E145" s="44" t="s">
        <v>1827</v>
      </c>
      <c r="F145" s="49" t="s">
        <v>1828</v>
      </c>
    </row>
    <row r="146" spans="1:6">
      <c r="A146" s="47" t="s">
        <v>1829</v>
      </c>
      <c r="B146" s="47" t="s">
        <v>1532</v>
      </c>
      <c r="C146" s="47" t="s">
        <v>1533</v>
      </c>
      <c r="D146" s="47" t="s">
        <v>1829</v>
      </c>
      <c r="E146" s="47" t="s">
        <v>1830</v>
      </c>
      <c r="F146" s="48" t="s">
        <v>1831</v>
      </c>
    </row>
    <row r="147" spans="1:6">
      <c r="A147" s="44" t="s">
        <v>1832</v>
      </c>
      <c r="B147" s="44" t="s">
        <v>1532</v>
      </c>
      <c r="C147" s="44" t="s">
        <v>1533</v>
      </c>
      <c r="D147" s="44" t="s">
        <v>1832</v>
      </c>
      <c r="E147" s="44" t="s">
        <v>1833</v>
      </c>
      <c r="F147" s="49" t="s">
        <v>1834</v>
      </c>
    </row>
    <row r="148" spans="1:6">
      <c r="A148" s="47" t="s">
        <v>1835</v>
      </c>
      <c r="B148" s="47" t="s">
        <v>1532</v>
      </c>
      <c r="C148" s="47" t="s">
        <v>1533</v>
      </c>
      <c r="D148" s="47" t="s">
        <v>1835</v>
      </c>
      <c r="E148" s="47" t="s">
        <v>1836</v>
      </c>
      <c r="F148" s="48" t="s">
        <v>1837</v>
      </c>
    </row>
    <row r="149" spans="1:6">
      <c r="A149" s="44" t="s">
        <v>1838</v>
      </c>
      <c r="B149" s="44" t="s">
        <v>1532</v>
      </c>
      <c r="C149" s="44" t="s">
        <v>1533</v>
      </c>
      <c r="D149" s="44" t="s">
        <v>1838</v>
      </c>
      <c r="E149" s="44" t="s">
        <v>1839</v>
      </c>
      <c r="F149" s="49" t="s">
        <v>1840</v>
      </c>
    </row>
    <row r="150" spans="1:6">
      <c r="A150" s="47" t="s">
        <v>1841</v>
      </c>
      <c r="B150" s="47" t="s">
        <v>1532</v>
      </c>
      <c r="C150" s="47" t="s">
        <v>1533</v>
      </c>
      <c r="D150" s="47" t="s">
        <v>1841</v>
      </c>
      <c r="E150" s="47" t="s">
        <v>1842</v>
      </c>
      <c r="F150" s="48" t="s">
        <v>1843</v>
      </c>
    </row>
    <row r="151" spans="1:6">
      <c r="A151" s="44" t="s">
        <v>1844</v>
      </c>
      <c r="B151" s="44" t="s">
        <v>1532</v>
      </c>
      <c r="C151" s="44" t="s">
        <v>1533</v>
      </c>
      <c r="D151" s="44" t="s">
        <v>1844</v>
      </c>
      <c r="E151" s="44" t="s">
        <v>1845</v>
      </c>
      <c r="F151" s="49" t="s">
        <v>1846</v>
      </c>
    </row>
    <row r="152" spans="1:6">
      <c r="A152" s="47" t="s">
        <v>1847</v>
      </c>
      <c r="B152" s="47" t="s">
        <v>1532</v>
      </c>
      <c r="C152" s="47" t="s">
        <v>1533</v>
      </c>
      <c r="D152" s="47" t="s">
        <v>1847</v>
      </c>
      <c r="E152" s="47" t="s">
        <v>1848</v>
      </c>
      <c r="F152" s="48" t="s">
        <v>1849</v>
      </c>
    </row>
    <row r="153" spans="1:6">
      <c r="A153" s="44" t="s">
        <v>1850</v>
      </c>
      <c r="B153" s="44" t="s">
        <v>1532</v>
      </c>
      <c r="C153" s="44" t="s">
        <v>1533</v>
      </c>
      <c r="D153" s="44" t="s">
        <v>1850</v>
      </c>
      <c r="E153" s="44" t="s">
        <v>1851</v>
      </c>
      <c r="F153" s="49" t="s">
        <v>1852</v>
      </c>
    </row>
    <row r="154" spans="1:6">
      <c r="A154" s="47" t="s">
        <v>1853</v>
      </c>
      <c r="B154" s="47" t="s">
        <v>1532</v>
      </c>
      <c r="C154" s="47" t="s">
        <v>1533</v>
      </c>
      <c r="D154" s="47" t="s">
        <v>1853</v>
      </c>
      <c r="E154" s="47" t="s">
        <v>1854</v>
      </c>
      <c r="F154" s="48" t="s">
        <v>1855</v>
      </c>
    </row>
    <row r="155" spans="1:6">
      <c r="A155" s="44" t="s">
        <v>1856</v>
      </c>
      <c r="B155" s="44" t="s">
        <v>1532</v>
      </c>
      <c r="C155" s="44" t="s">
        <v>1533</v>
      </c>
      <c r="D155" s="44" t="s">
        <v>1856</v>
      </c>
      <c r="E155" s="44" t="s">
        <v>1857</v>
      </c>
      <c r="F155" s="49" t="s">
        <v>1858</v>
      </c>
    </row>
    <row r="156" spans="1:6">
      <c r="A156" s="47" t="s">
        <v>1859</v>
      </c>
      <c r="B156" s="47" t="s">
        <v>1532</v>
      </c>
      <c r="C156" s="47" t="s">
        <v>1533</v>
      </c>
      <c r="D156" s="47" t="s">
        <v>1859</v>
      </c>
      <c r="E156" s="47" t="s">
        <v>1860</v>
      </c>
      <c r="F156" s="48" t="s">
        <v>1861</v>
      </c>
    </row>
    <row r="157" spans="1:6">
      <c r="A157" s="44" t="s">
        <v>1862</v>
      </c>
      <c r="B157" s="44" t="s">
        <v>1532</v>
      </c>
      <c r="C157" s="44" t="s">
        <v>1533</v>
      </c>
      <c r="D157" s="44" t="s">
        <v>1862</v>
      </c>
      <c r="E157" s="44" t="s">
        <v>1863</v>
      </c>
      <c r="F157" s="49" t="s">
        <v>1864</v>
      </c>
    </row>
    <row r="158" spans="1:6">
      <c r="A158" s="47" t="s">
        <v>1865</v>
      </c>
      <c r="B158" s="47" t="s">
        <v>1532</v>
      </c>
      <c r="C158" s="47" t="s">
        <v>1533</v>
      </c>
      <c r="D158" s="47" t="s">
        <v>1865</v>
      </c>
      <c r="E158" s="47" t="s">
        <v>1866</v>
      </c>
      <c r="F158" s="48" t="s">
        <v>1867</v>
      </c>
    </row>
    <row r="159" spans="1:6">
      <c r="A159" s="44" t="s">
        <v>1868</v>
      </c>
      <c r="B159" s="44" t="s">
        <v>1532</v>
      </c>
      <c r="C159" s="44" t="s">
        <v>1533</v>
      </c>
      <c r="D159" s="44" t="s">
        <v>1868</v>
      </c>
      <c r="E159" s="44" t="s">
        <v>1869</v>
      </c>
      <c r="F159" s="49" t="s">
        <v>1870</v>
      </c>
    </row>
    <row r="160" spans="1:6">
      <c r="A160" s="47" t="s">
        <v>1871</v>
      </c>
      <c r="B160" s="47" t="s">
        <v>1532</v>
      </c>
      <c r="C160" s="47" t="s">
        <v>1533</v>
      </c>
      <c r="D160" s="47" t="s">
        <v>1871</v>
      </c>
      <c r="E160" s="47" t="s">
        <v>1872</v>
      </c>
      <c r="F160" s="48" t="s">
        <v>1873</v>
      </c>
    </row>
    <row r="161" spans="1:6">
      <c r="A161" s="44" t="s">
        <v>1874</v>
      </c>
      <c r="B161" s="44" t="s">
        <v>1532</v>
      </c>
      <c r="C161" s="44" t="s">
        <v>1533</v>
      </c>
      <c r="D161" s="44" t="s">
        <v>1874</v>
      </c>
      <c r="E161" s="44" t="s">
        <v>1875</v>
      </c>
      <c r="F161" s="49" t="s">
        <v>1876</v>
      </c>
    </row>
    <row r="162" spans="1:6">
      <c r="A162" s="47" t="s">
        <v>1877</v>
      </c>
      <c r="B162" s="47" t="s">
        <v>1532</v>
      </c>
      <c r="C162" s="47" t="s">
        <v>1533</v>
      </c>
      <c r="D162" s="47" t="s">
        <v>1877</v>
      </c>
      <c r="E162" s="47" t="s">
        <v>1878</v>
      </c>
      <c r="F162" s="48" t="s">
        <v>1879</v>
      </c>
    </row>
    <row r="163" spans="1:6">
      <c r="A163" s="44" t="s">
        <v>1880</v>
      </c>
      <c r="B163" s="44" t="s">
        <v>1532</v>
      </c>
      <c r="C163" s="44" t="s">
        <v>1533</v>
      </c>
      <c r="D163" s="44" t="s">
        <v>1880</v>
      </c>
      <c r="E163" s="44" t="s">
        <v>1881</v>
      </c>
      <c r="F163" s="49" t="s">
        <v>1882</v>
      </c>
    </row>
    <row r="164" spans="1:6">
      <c r="A164" s="47" t="s">
        <v>1883</v>
      </c>
      <c r="B164" s="47" t="s">
        <v>1532</v>
      </c>
      <c r="C164" s="47" t="s">
        <v>1533</v>
      </c>
      <c r="D164" s="47" t="s">
        <v>1883</v>
      </c>
      <c r="E164" s="47" t="s">
        <v>1884</v>
      </c>
      <c r="F164" s="48" t="s">
        <v>1885</v>
      </c>
    </row>
    <row r="165" spans="1:6">
      <c r="A165" s="44" t="s">
        <v>1886</v>
      </c>
      <c r="B165" s="44" t="s">
        <v>1532</v>
      </c>
      <c r="C165" s="44" t="s">
        <v>1533</v>
      </c>
      <c r="D165" s="44" t="s">
        <v>1886</v>
      </c>
      <c r="E165" s="44" t="s">
        <v>1887</v>
      </c>
      <c r="F165" s="49" t="s">
        <v>1888</v>
      </c>
    </row>
    <row r="166" spans="1:6">
      <c r="A166" s="47" t="s">
        <v>1889</v>
      </c>
      <c r="B166" s="47" t="s">
        <v>1532</v>
      </c>
      <c r="C166" s="47" t="s">
        <v>1533</v>
      </c>
      <c r="D166" s="47" t="s">
        <v>1889</v>
      </c>
      <c r="E166" s="47" t="s">
        <v>1890</v>
      </c>
      <c r="F166" s="48" t="s">
        <v>1891</v>
      </c>
    </row>
    <row r="167" spans="1:6">
      <c r="A167" s="44" t="s">
        <v>1892</v>
      </c>
      <c r="B167" s="44" t="s">
        <v>1532</v>
      </c>
      <c r="C167" s="44" t="s">
        <v>1533</v>
      </c>
      <c r="D167" s="44" t="s">
        <v>1892</v>
      </c>
      <c r="E167" s="44" t="s">
        <v>1893</v>
      </c>
      <c r="F167" s="49" t="s">
        <v>1894</v>
      </c>
    </row>
    <row r="168" spans="1:6">
      <c r="A168" s="47" t="s">
        <v>1895</v>
      </c>
      <c r="B168" s="47" t="s">
        <v>1532</v>
      </c>
      <c r="C168" s="47" t="s">
        <v>1533</v>
      </c>
      <c r="D168" s="47" t="s">
        <v>1895</v>
      </c>
      <c r="E168" s="47" t="s">
        <v>1896</v>
      </c>
      <c r="F168" s="48" t="s">
        <v>1897</v>
      </c>
    </row>
    <row r="169" spans="1:6">
      <c r="A169" s="44" t="s">
        <v>1898</v>
      </c>
      <c r="B169" s="44" t="s">
        <v>1532</v>
      </c>
      <c r="C169" s="44" t="s">
        <v>1533</v>
      </c>
      <c r="D169" s="44" t="s">
        <v>1898</v>
      </c>
      <c r="E169" s="44" t="s">
        <v>1899</v>
      </c>
      <c r="F169" s="49" t="s">
        <v>1900</v>
      </c>
    </row>
    <row r="170" spans="1:6">
      <c r="A170" s="47" t="s">
        <v>1901</v>
      </c>
      <c r="B170" s="47" t="s">
        <v>1532</v>
      </c>
      <c r="C170" s="47" t="s">
        <v>1533</v>
      </c>
      <c r="D170" s="47" t="s">
        <v>1901</v>
      </c>
      <c r="E170" s="47" t="s">
        <v>1902</v>
      </c>
      <c r="F170" s="48" t="s">
        <v>1903</v>
      </c>
    </row>
    <row r="171" spans="1:6">
      <c r="A171" s="44" t="s">
        <v>1904</v>
      </c>
      <c r="B171" s="44" t="s">
        <v>1532</v>
      </c>
      <c r="C171" s="44" t="s">
        <v>1533</v>
      </c>
      <c r="D171" s="44" t="s">
        <v>1904</v>
      </c>
      <c r="E171" s="44" t="s">
        <v>1905</v>
      </c>
      <c r="F171" s="49" t="s">
        <v>1906</v>
      </c>
    </row>
    <row r="172" spans="1:6">
      <c r="A172" s="47" t="s">
        <v>1907</v>
      </c>
      <c r="B172" s="47" t="s">
        <v>1532</v>
      </c>
      <c r="C172" s="47" t="s">
        <v>1533</v>
      </c>
      <c r="D172" s="47" t="s">
        <v>1907</v>
      </c>
      <c r="E172" s="47" t="s">
        <v>1908</v>
      </c>
      <c r="F172" s="48" t="s">
        <v>1909</v>
      </c>
    </row>
    <row r="173" spans="1:6">
      <c r="A173" s="44" t="s">
        <v>1910</v>
      </c>
      <c r="B173" s="44" t="s">
        <v>1532</v>
      </c>
      <c r="C173" s="44" t="s">
        <v>1533</v>
      </c>
      <c r="D173" s="44" t="s">
        <v>1910</v>
      </c>
      <c r="E173" s="44" t="s">
        <v>1911</v>
      </c>
      <c r="F173" s="49" t="s">
        <v>1912</v>
      </c>
    </row>
    <row r="174" spans="1:6">
      <c r="A174" s="47" t="s">
        <v>1913</v>
      </c>
      <c r="B174" s="47" t="s">
        <v>1532</v>
      </c>
      <c r="C174" s="47" t="s">
        <v>1533</v>
      </c>
      <c r="D174" s="47" t="s">
        <v>1913</v>
      </c>
      <c r="E174" s="47" t="s">
        <v>1914</v>
      </c>
      <c r="F174" s="48" t="s">
        <v>1915</v>
      </c>
    </row>
    <row r="175" spans="1:6">
      <c r="A175" s="44" t="s">
        <v>1916</v>
      </c>
      <c r="B175" s="44" t="s">
        <v>1532</v>
      </c>
      <c r="C175" s="44" t="s">
        <v>1533</v>
      </c>
      <c r="D175" s="44" t="s">
        <v>1916</v>
      </c>
      <c r="E175" s="44" t="s">
        <v>1917</v>
      </c>
      <c r="F175" s="49" t="s">
        <v>1918</v>
      </c>
    </row>
    <row r="176" spans="1:6">
      <c r="A176" s="47" t="s">
        <v>1919</v>
      </c>
      <c r="B176" s="47" t="s">
        <v>1532</v>
      </c>
      <c r="C176" s="47" t="s">
        <v>1533</v>
      </c>
      <c r="D176" s="47" t="s">
        <v>1919</v>
      </c>
      <c r="E176" s="47" t="s">
        <v>1920</v>
      </c>
      <c r="F176" s="48" t="s">
        <v>1921</v>
      </c>
    </row>
    <row r="177" spans="1:6">
      <c r="A177" s="44" t="s">
        <v>1922</v>
      </c>
      <c r="B177" s="44" t="s">
        <v>1532</v>
      </c>
      <c r="C177" s="44" t="s">
        <v>1533</v>
      </c>
      <c r="D177" s="44" t="s">
        <v>1922</v>
      </c>
      <c r="E177" s="44" t="s">
        <v>1923</v>
      </c>
      <c r="F177" s="49" t="s">
        <v>1924</v>
      </c>
    </row>
    <row r="178" spans="1:6">
      <c r="A178" s="47" t="s">
        <v>1925</v>
      </c>
      <c r="B178" s="47" t="s">
        <v>1532</v>
      </c>
      <c r="C178" s="47" t="s">
        <v>1533</v>
      </c>
      <c r="D178" s="47" t="s">
        <v>1925</v>
      </c>
      <c r="E178" s="47" t="s">
        <v>1926</v>
      </c>
      <c r="F178" s="48" t="s">
        <v>1927</v>
      </c>
    </row>
    <row r="179" spans="1:6">
      <c r="A179" s="44" t="s">
        <v>1928</v>
      </c>
      <c r="B179" s="44" t="s">
        <v>1532</v>
      </c>
      <c r="C179" s="44" t="s">
        <v>1533</v>
      </c>
      <c r="D179" s="44" t="s">
        <v>1928</v>
      </c>
      <c r="E179" s="44" t="s">
        <v>1929</v>
      </c>
      <c r="F179" s="49" t="s">
        <v>1930</v>
      </c>
    </row>
    <row r="180" spans="1:6">
      <c r="A180" s="47" t="s">
        <v>1931</v>
      </c>
      <c r="B180" s="47" t="s">
        <v>1532</v>
      </c>
      <c r="C180" s="47" t="s">
        <v>1533</v>
      </c>
      <c r="D180" s="47" t="s">
        <v>1931</v>
      </c>
      <c r="E180" s="47" t="s">
        <v>1932</v>
      </c>
      <c r="F180" s="48" t="s">
        <v>1933</v>
      </c>
    </row>
    <row r="181" spans="1:6">
      <c r="A181" s="44" t="s">
        <v>1934</v>
      </c>
      <c r="B181" s="44" t="s">
        <v>1532</v>
      </c>
      <c r="C181" s="44" t="s">
        <v>1533</v>
      </c>
      <c r="D181" s="44" t="s">
        <v>1934</v>
      </c>
      <c r="E181" s="44" t="s">
        <v>1935</v>
      </c>
      <c r="F181" s="49" t="s">
        <v>1936</v>
      </c>
    </row>
    <row r="182" spans="1:6">
      <c r="A182" s="47" t="s">
        <v>1937</v>
      </c>
      <c r="B182" s="47" t="s">
        <v>1532</v>
      </c>
      <c r="C182" s="47" t="s">
        <v>1533</v>
      </c>
      <c r="D182" s="47" t="s">
        <v>1937</v>
      </c>
      <c r="E182" s="47" t="s">
        <v>1938</v>
      </c>
      <c r="F182" s="48" t="s">
        <v>1939</v>
      </c>
    </row>
    <row r="183" spans="1:6">
      <c r="A183" s="44" t="s">
        <v>1940</v>
      </c>
      <c r="B183" s="44" t="s">
        <v>1532</v>
      </c>
      <c r="C183" s="44" t="s">
        <v>1533</v>
      </c>
      <c r="D183" s="44" t="s">
        <v>1940</v>
      </c>
      <c r="E183" s="44" t="s">
        <v>1941</v>
      </c>
      <c r="F183" s="49" t="s">
        <v>1942</v>
      </c>
    </row>
    <row r="184" spans="1:6">
      <c r="A184" s="47" t="s">
        <v>1943</v>
      </c>
      <c r="B184" s="47" t="s">
        <v>1532</v>
      </c>
      <c r="C184" s="47" t="s">
        <v>1533</v>
      </c>
      <c r="D184" s="47" t="s">
        <v>1943</v>
      </c>
      <c r="E184" s="47" t="s">
        <v>1944</v>
      </c>
      <c r="F184" s="48" t="s">
        <v>1945</v>
      </c>
    </row>
    <row r="185" spans="1:6">
      <c r="A185" s="44" t="s">
        <v>1946</v>
      </c>
      <c r="B185" s="44" t="s">
        <v>1532</v>
      </c>
      <c r="C185" s="44" t="s">
        <v>1533</v>
      </c>
      <c r="D185" s="44" t="s">
        <v>1946</v>
      </c>
      <c r="E185" s="44" t="s">
        <v>1947</v>
      </c>
      <c r="F185" s="49" t="s">
        <v>1948</v>
      </c>
    </row>
    <row r="186" spans="1:6">
      <c r="A186" s="47" t="s">
        <v>1949</v>
      </c>
      <c r="B186" s="47" t="s">
        <v>1532</v>
      </c>
      <c r="C186" s="47" t="s">
        <v>1533</v>
      </c>
      <c r="D186" s="47" t="s">
        <v>1949</v>
      </c>
      <c r="E186" s="47" t="s">
        <v>1950</v>
      </c>
      <c r="F186" s="48" t="s">
        <v>1951</v>
      </c>
    </row>
    <row r="187" spans="1:6">
      <c r="A187" s="44" t="s">
        <v>1952</v>
      </c>
      <c r="B187" s="44" t="s">
        <v>1532</v>
      </c>
      <c r="C187" s="44" t="s">
        <v>1533</v>
      </c>
      <c r="D187" s="44" t="s">
        <v>1952</v>
      </c>
      <c r="E187" s="44" t="s">
        <v>1953</v>
      </c>
      <c r="F187" s="49" t="s">
        <v>1954</v>
      </c>
    </row>
    <row r="188" spans="1:6">
      <c r="A188" s="47" t="s">
        <v>1955</v>
      </c>
      <c r="B188" s="47" t="s">
        <v>1532</v>
      </c>
      <c r="C188" s="47" t="s">
        <v>1533</v>
      </c>
      <c r="D188" s="47" t="s">
        <v>1955</v>
      </c>
      <c r="E188" s="47" t="s">
        <v>1956</v>
      </c>
      <c r="F188" s="48" t="s">
        <v>1957</v>
      </c>
    </row>
    <row r="189" spans="1:6">
      <c r="A189" s="44" t="s">
        <v>1958</v>
      </c>
      <c r="B189" s="44" t="s">
        <v>1532</v>
      </c>
      <c r="C189" s="44" t="s">
        <v>1533</v>
      </c>
      <c r="D189" s="44" t="s">
        <v>1958</v>
      </c>
      <c r="E189" s="44" t="s">
        <v>1959</v>
      </c>
      <c r="F189" s="49" t="s">
        <v>1960</v>
      </c>
    </row>
    <row r="190" spans="1:6">
      <c r="A190" s="47" t="s">
        <v>1961</v>
      </c>
      <c r="B190" s="47" t="s">
        <v>1532</v>
      </c>
      <c r="C190" s="47" t="s">
        <v>1533</v>
      </c>
      <c r="D190" s="47" t="s">
        <v>1961</v>
      </c>
      <c r="E190" s="47" t="s">
        <v>1962</v>
      </c>
      <c r="F190" s="48" t="s">
        <v>1963</v>
      </c>
    </row>
    <row r="191" spans="1:6">
      <c r="A191" s="44" t="s">
        <v>1964</v>
      </c>
      <c r="B191" s="44" t="s">
        <v>1532</v>
      </c>
      <c r="C191" s="44" t="s">
        <v>1533</v>
      </c>
      <c r="D191" s="44" t="s">
        <v>1964</v>
      </c>
      <c r="E191" s="44" t="s">
        <v>1965</v>
      </c>
      <c r="F191" s="49" t="s">
        <v>1966</v>
      </c>
    </row>
    <row r="192" spans="1:6">
      <c r="A192" s="47" t="s">
        <v>1967</v>
      </c>
      <c r="B192" s="47" t="s">
        <v>1532</v>
      </c>
      <c r="C192" s="47" t="s">
        <v>1533</v>
      </c>
      <c r="D192" s="47" t="s">
        <v>1967</v>
      </c>
      <c r="E192" s="47" t="s">
        <v>1968</v>
      </c>
      <c r="F192" s="48" t="s">
        <v>1969</v>
      </c>
    </row>
    <row r="193" spans="1:6">
      <c r="A193" s="44" t="s">
        <v>1970</v>
      </c>
      <c r="B193" s="44" t="s">
        <v>1532</v>
      </c>
      <c r="C193" s="44" t="s">
        <v>1533</v>
      </c>
      <c r="D193" s="44" t="s">
        <v>1970</v>
      </c>
      <c r="E193" s="44" t="s">
        <v>1971</v>
      </c>
      <c r="F193" s="49" t="s">
        <v>1972</v>
      </c>
    </row>
    <row r="194" spans="1:6">
      <c r="A194" s="47" t="s">
        <v>1973</v>
      </c>
      <c r="B194" s="47" t="s">
        <v>1532</v>
      </c>
      <c r="C194" s="47" t="s">
        <v>1533</v>
      </c>
      <c r="D194" s="47" t="s">
        <v>1973</v>
      </c>
      <c r="E194" s="47" t="s">
        <v>1974</v>
      </c>
      <c r="F194" s="48" t="s">
        <v>1975</v>
      </c>
    </row>
    <row r="195" spans="1:6">
      <c r="A195" s="44" t="s">
        <v>1976</v>
      </c>
      <c r="B195" s="44" t="s">
        <v>1532</v>
      </c>
      <c r="C195" s="44" t="s">
        <v>1533</v>
      </c>
      <c r="D195" s="44" t="s">
        <v>1976</v>
      </c>
      <c r="E195" s="44" t="s">
        <v>1977</v>
      </c>
      <c r="F195" s="49" t="s">
        <v>1978</v>
      </c>
    </row>
    <row r="196" spans="1:6">
      <c r="A196" s="47" t="s">
        <v>1979</v>
      </c>
      <c r="B196" s="47" t="s">
        <v>1532</v>
      </c>
      <c r="C196" s="47" t="s">
        <v>1533</v>
      </c>
      <c r="D196" s="47" t="s">
        <v>1979</v>
      </c>
      <c r="E196" s="47" t="s">
        <v>1980</v>
      </c>
      <c r="F196" s="48" t="s">
        <v>1981</v>
      </c>
    </row>
    <row r="197" spans="1:6">
      <c r="A197" s="44" t="s">
        <v>1982</v>
      </c>
      <c r="B197" s="44" t="s">
        <v>1532</v>
      </c>
      <c r="C197" s="44" t="s">
        <v>1533</v>
      </c>
      <c r="D197" s="44" t="s">
        <v>1982</v>
      </c>
      <c r="E197" s="44" t="s">
        <v>1983</v>
      </c>
      <c r="F197" s="49" t="s">
        <v>1984</v>
      </c>
    </row>
    <row r="198" spans="1:6">
      <c r="A198" s="47" t="s">
        <v>1985</v>
      </c>
      <c r="B198" s="47" t="s">
        <v>1532</v>
      </c>
      <c r="C198" s="47" t="s">
        <v>1533</v>
      </c>
      <c r="D198" s="47" t="s">
        <v>1985</v>
      </c>
      <c r="E198" s="47" t="s">
        <v>1986</v>
      </c>
      <c r="F198" s="48" t="s">
        <v>1987</v>
      </c>
    </row>
    <row r="199" spans="1:6">
      <c r="A199" s="44" t="s">
        <v>1988</v>
      </c>
      <c r="B199" s="44" t="s">
        <v>1532</v>
      </c>
      <c r="C199" s="44" t="s">
        <v>1533</v>
      </c>
      <c r="D199" s="44" t="s">
        <v>1988</v>
      </c>
      <c r="E199" s="44" t="s">
        <v>1989</v>
      </c>
      <c r="F199" s="49" t="s">
        <v>1990</v>
      </c>
    </row>
    <row r="200" spans="1:6">
      <c r="A200" s="47" t="s">
        <v>1991</v>
      </c>
      <c r="B200" s="47" t="s">
        <v>1532</v>
      </c>
      <c r="C200" s="47" t="s">
        <v>1533</v>
      </c>
      <c r="D200" s="47" t="s">
        <v>1991</v>
      </c>
      <c r="E200" s="47" t="s">
        <v>1992</v>
      </c>
      <c r="F200" s="48" t="s">
        <v>1993</v>
      </c>
    </row>
    <row r="201" spans="1:6">
      <c r="A201" s="44" t="s">
        <v>1994</v>
      </c>
      <c r="B201" s="44" t="s">
        <v>1532</v>
      </c>
      <c r="C201" s="44" t="s">
        <v>1533</v>
      </c>
      <c r="D201" s="44" t="s">
        <v>1994</v>
      </c>
      <c r="E201" s="44" t="s">
        <v>1995</v>
      </c>
      <c r="F201" s="49" t="s">
        <v>1996</v>
      </c>
    </row>
    <row r="202" spans="1:6">
      <c r="A202" s="47" t="s">
        <v>1997</v>
      </c>
      <c r="B202" s="47" t="s">
        <v>1532</v>
      </c>
      <c r="C202" s="47" t="s">
        <v>1533</v>
      </c>
      <c r="D202" s="47" t="s">
        <v>1997</v>
      </c>
      <c r="E202" s="47" t="s">
        <v>1998</v>
      </c>
      <c r="F202" s="48" t="s">
        <v>1999</v>
      </c>
    </row>
    <row r="203" spans="1:6">
      <c r="A203" s="44" t="s">
        <v>2000</v>
      </c>
      <c r="B203" s="44" t="s">
        <v>1532</v>
      </c>
      <c r="C203" s="44" t="s">
        <v>1533</v>
      </c>
      <c r="D203" s="44" t="s">
        <v>2000</v>
      </c>
      <c r="E203" s="44" t="s">
        <v>2001</v>
      </c>
      <c r="F203" s="49" t="s">
        <v>2002</v>
      </c>
    </row>
    <row r="204" spans="1:6">
      <c r="A204" s="47" t="s">
        <v>2003</v>
      </c>
      <c r="B204" s="47" t="s">
        <v>1532</v>
      </c>
      <c r="C204" s="47" t="s">
        <v>1533</v>
      </c>
      <c r="D204" s="47" t="s">
        <v>2003</v>
      </c>
      <c r="E204" s="47" t="s">
        <v>2004</v>
      </c>
      <c r="F204" s="48" t="s">
        <v>2005</v>
      </c>
    </row>
    <row r="205" spans="1:6">
      <c r="A205" s="44" t="s">
        <v>2006</v>
      </c>
      <c r="B205" s="44" t="s">
        <v>1532</v>
      </c>
      <c r="C205" s="44" t="s">
        <v>1533</v>
      </c>
      <c r="D205" s="44" t="s">
        <v>2006</v>
      </c>
      <c r="E205" s="44" t="s">
        <v>2007</v>
      </c>
      <c r="F205" s="49" t="s">
        <v>2008</v>
      </c>
    </row>
    <row r="206" spans="1:6">
      <c r="A206" s="47" t="s">
        <v>2009</v>
      </c>
      <c r="B206" s="47" t="s">
        <v>1532</v>
      </c>
      <c r="C206" s="47" t="s">
        <v>1533</v>
      </c>
      <c r="D206" s="47" t="s">
        <v>2009</v>
      </c>
      <c r="E206" s="47" t="s">
        <v>2010</v>
      </c>
      <c r="F206" s="48" t="s">
        <v>2011</v>
      </c>
    </row>
    <row r="207" spans="1:6">
      <c r="A207" s="44" t="s">
        <v>2012</v>
      </c>
      <c r="B207" s="44" t="s">
        <v>1532</v>
      </c>
      <c r="C207" s="44" t="s">
        <v>1533</v>
      </c>
      <c r="D207" s="44" t="s">
        <v>2012</v>
      </c>
      <c r="E207" s="44" t="s">
        <v>2013</v>
      </c>
      <c r="F207" s="49" t="s">
        <v>2014</v>
      </c>
    </row>
    <row r="208" spans="1:6">
      <c r="A208" s="47" t="s">
        <v>2015</v>
      </c>
      <c r="B208" s="47" t="s">
        <v>1532</v>
      </c>
      <c r="C208" s="47" t="s">
        <v>1533</v>
      </c>
      <c r="D208" s="47" t="s">
        <v>2015</v>
      </c>
      <c r="E208" s="47" t="s">
        <v>2016</v>
      </c>
      <c r="F208" s="48" t="s">
        <v>2017</v>
      </c>
    </row>
    <row r="209" spans="1:6">
      <c r="A209" s="44" t="s">
        <v>2018</v>
      </c>
      <c r="B209" s="44" t="s">
        <v>1532</v>
      </c>
      <c r="C209" s="44" t="s">
        <v>1533</v>
      </c>
      <c r="D209" s="44" t="s">
        <v>2018</v>
      </c>
      <c r="E209" s="44" t="s">
        <v>2019</v>
      </c>
      <c r="F209" s="49" t="s">
        <v>2020</v>
      </c>
    </row>
    <row r="210" spans="1:6">
      <c r="A210" s="47" t="s">
        <v>2021</v>
      </c>
      <c r="B210" s="47" t="s">
        <v>1532</v>
      </c>
      <c r="C210" s="47" t="s">
        <v>1533</v>
      </c>
      <c r="D210" s="47" t="s">
        <v>2021</v>
      </c>
      <c r="E210" s="47" t="s">
        <v>2022</v>
      </c>
      <c r="F210" s="48" t="s">
        <v>2023</v>
      </c>
    </row>
    <row r="211" spans="1:6">
      <c r="A211" s="44" t="s">
        <v>2024</v>
      </c>
      <c r="B211" s="44" t="s">
        <v>1532</v>
      </c>
      <c r="C211" s="44" t="s">
        <v>1533</v>
      </c>
      <c r="D211" s="44" t="s">
        <v>2024</v>
      </c>
      <c r="E211" s="44" t="s">
        <v>2025</v>
      </c>
      <c r="F211" s="49" t="s">
        <v>2026</v>
      </c>
    </row>
    <row r="212" spans="1:6">
      <c r="A212" s="47" t="s">
        <v>2027</v>
      </c>
      <c r="B212" s="47" t="s">
        <v>1532</v>
      </c>
      <c r="C212" s="47" t="s">
        <v>1533</v>
      </c>
      <c r="D212" s="47" t="s">
        <v>2027</v>
      </c>
      <c r="E212" s="47" t="s">
        <v>2028</v>
      </c>
      <c r="F212" s="48" t="s">
        <v>2029</v>
      </c>
    </row>
    <row r="213" spans="1:6">
      <c r="A213" s="44" t="s">
        <v>2030</v>
      </c>
      <c r="B213" s="44" t="s">
        <v>1532</v>
      </c>
      <c r="C213" s="44" t="s">
        <v>1533</v>
      </c>
      <c r="D213" s="44" t="s">
        <v>2030</v>
      </c>
      <c r="E213" s="44" t="s">
        <v>2031</v>
      </c>
      <c r="F213" s="49" t="s">
        <v>2032</v>
      </c>
    </row>
    <row r="214" spans="1:6">
      <c r="A214" s="47" t="s">
        <v>2033</v>
      </c>
      <c r="B214" s="47" t="s">
        <v>1532</v>
      </c>
      <c r="C214" s="47" t="s">
        <v>1533</v>
      </c>
      <c r="D214" s="47" t="s">
        <v>2033</v>
      </c>
      <c r="E214" s="47" t="s">
        <v>2034</v>
      </c>
      <c r="F214" s="48" t="s">
        <v>2035</v>
      </c>
    </row>
    <row r="215" spans="1:6">
      <c r="A215" s="44" t="s">
        <v>2036</v>
      </c>
      <c r="B215" s="44" t="s">
        <v>1532</v>
      </c>
      <c r="C215" s="44" t="s">
        <v>1533</v>
      </c>
      <c r="D215" s="44" t="s">
        <v>2036</v>
      </c>
      <c r="E215" s="44" t="s">
        <v>2037</v>
      </c>
      <c r="F215" s="49" t="s">
        <v>2038</v>
      </c>
    </row>
    <row r="216" spans="1:6">
      <c r="A216" s="47" t="s">
        <v>2039</v>
      </c>
      <c r="B216" s="47" t="s">
        <v>1532</v>
      </c>
      <c r="C216" s="47" t="s">
        <v>1533</v>
      </c>
      <c r="D216" s="47" t="s">
        <v>2039</v>
      </c>
      <c r="E216" s="47" t="s">
        <v>2040</v>
      </c>
      <c r="F216" s="48" t="s">
        <v>2041</v>
      </c>
    </row>
    <row r="217" spans="1:6">
      <c r="A217" s="44" t="s">
        <v>2042</v>
      </c>
      <c r="B217" s="44" t="s">
        <v>1532</v>
      </c>
      <c r="C217" s="44" t="s">
        <v>1533</v>
      </c>
      <c r="D217" s="44" t="s">
        <v>2042</v>
      </c>
      <c r="E217" s="44" t="s">
        <v>2043</v>
      </c>
      <c r="F217" s="49" t="s">
        <v>2044</v>
      </c>
    </row>
    <row r="218" spans="1:6">
      <c r="A218" s="47" t="s">
        <v>2045</v>
      </c>
      <c r="B218" s="47" t="s">
        <v>1532</v>
      </c>
      <c r="C218" s="47" t="s">
        <v>1533</v>
      </c>
      <c r="D218" s="47" t="s">
        <v>2045</v>
      </c>
      <c r="E218" s="47" t="s">
        <v>2046</v>
      </c>
      <c r="F218" s="48" t="s">
        <v>2047</v>
      </c>
    </row>
    <row r="219" spans="1:6">
      <c r="A219" s="44" t="s">
        <v>2048</v>
      </c>
      <c r="B219" s="44" t="s">
        <v>1532</v>
      </c>
      <c r="C219" s="44" t="s">
        <v>1533</v>
      </c>
      <c r="D219" s="44" t="s">
        <v>2048</v>
      </c>
      <c r="E219" s="44" t="s">
        <v>2049</v>
      </c>
      <c r="F219" s="49" t="s">
        <v>2050</v>
      </c>
    </row>
    <row r="220" spans="1:6">
      <c r="A220" s="47" t="s">
        <v>2051</v>
      </c>
      <c r="B220" s="47" t="s">
        <v>1532</v>
      </c>
      <c r="C220" s="47" t="s">
        <v>1533</v>
      </c>
      <c r="D220" s="47" t="s">
        <v>2051</v>
      </c>
      <c r="E220" s="47" t="s">
        <v>2052</v>
      </c>
      <c r="F220" s="48" t="s">
        <v>2053</v>
      </c>
    </row>
    <row r="221" spans="1:6">
      <c r="A221" s="44" t="s">
        <v>2054</v>
      </c>
      <c r="B221" s="44" t="s">
        <v>1532</v>
      </c>
      <c r="C221" s="44" t="s">
        <v>1533</v>
      </c>
      <c r="D221" s="44" t="s">
        <v>2054</v>
      </c>
      <c r="E221" s="44" t="s">
        <v>2055</v>
      </c>
      <c r="F221" s="49" t="s">
        <v>2056</v>
      </c>
    </row>
    <row r="222" spans="1:6">
      <c r="A222" s="47" t="s">
        <v>2057</v>
      </c>
      <c r="B222" s="47" t="s">
        <v>1532</v>
      </c>
      <c r="C222" s="47" t="s">
        <v>1533</v>
      </c>
      <c r="D222" s="47" t="s">
        <v>2057</v>
      </c>
      <c r="E222" s="47" t="s">
        <v>2058</v>
      </c>
      <c r="F222" s="48" t="s">
        <v>2059</v>
      </c>
    </row>
    <row r="223" spans="1:6">
      <c r="A223" s="44" t="s">
        <v>2060</v>
      </c>
      <c r="B223" s="44" t="s">
        <v>1532</v>
      </c>
      <c r="C223" s="44" t="s">
        <v>1533</v>
      </c>
      <c r="D223" s="44" t="s">
        <v>2060</v>
      </c>
      <c r="E223" s="44" t="s">
        <v>2061</v>
      </c>
      <c r="F223" s="49" t="s">
        <v>2062</v>
      </c>
    </row>
    <row r="224" spans="1:6">
      <c r="A224" s="47" t="s">
        <v>2063</v>
      </c>
      <c r="B224" s="47" t="s">
        <v>1532</v>
      </c>
      <c r="C224" s="47" t="s">
        <v>1533</v>
      </c>
      <c r="D224" s="47" t="s">
        <v>2063</v>
      </c>
      <c r="E224" s="47" t="s">
        <v>2064</v>
      </c>
      <c r="F224" s="48" t="s">
        <v>2065</v>
      </c>
    </row>
    <row r="225" spans="1:6">
      <c r="A225" s="44" t="s">
        <v>2066</v>
      </c>
      <c r="B225" s="44" t="s">
        <v>1532</v>
      </c>
      <c r="C225" s="44" t="s">
        <v>1533</v>
      </c>
      <c r="D225" s="44" t="s">
        <v>2066</v>
      </c>
      <c r="E225" s="44" t="s">
        <v>2067</v>
      </c>
      <c r="F225" s="49" t="s">
        <v>2068</v>
      </c>
    </row>
    <row r="226" spans="1:6">
      <c r="A226" s="47" t="s">
        <v>2069</v>
      </c>
      <c r="B226" s="47" t="s">
        <v>1532</v>
      </c>
      <c r="C226" s="47" t="s">
        <v>1533</v>
      </c>
      <c r="D226" s="47" t="s">
        <v>2069</v>
      </c>
      <c r="E226" s="47" t="s">
        <v>2070</v>
      </c>
      <c r="F226" s="48" t="s">
        <v>2071</v>
      </c>
    </row>
    <row r="227" spans="1:6">
      <c r="A227" s="44" t="s">
        <v>2072</v>
      </c>
      <c r="B227" s="44" t="s">
        <v>1532</v>
      </c>
      <c r="C227" s="44" t="s">
        <v>1533</v>
      </c>
      <c r="D227" s="44" t="s">
        <v>2072</v>
      </c>
      <c r="E227" s="44" t="s">
        <v>2073</v>
      </c>
      <c r="F227" s="49" t="s">
        <v>2074</v>
      </c>
    </row>
    <row r="228" spans="1:6">
      <c r="A228" s="47" t="s">
        <v>2075</v>
      </c>
      <c r="B228" s="47" t="s">
        <v>1532</v>
      </c>
      <c r="C228" s="47" t="s">
        <v>1533</v>
      </c>
      <c r="D228" s="47" t="s">
        <v>2075</v>
      </c>
      <c r="E228" s="47" t="s">
        <v>2076</v>
      </c>
      <c r="F228" s="48" t="s">
        <v>2077</v>
      </c>
    </row>
    <row r="229" spans="1:6">
      <c r="A229" s="44" t="s">
        <v>2078</v>
      </c>
      <c r="B229" s="44" t="s">
        <v>1532</v>
      </c>
      <c r="C229" s="44" t="s">
        <v>1533</v>
      </c>
      <c r="D229" s="44" t="s">
        <v>2078</v>
      </c>
      <c r="E229" s="44" t="s">
        <v>2079</v>
      </c>
      <c r="F229" s="49" t="s">
        <v>2080</v>
      </c>
    </row>
    <row r="230" spans="1:6">
      <c r="A230" s="47" t="s">
        <v>2081</v>
      </c>
      <c r="B230" s="47" t="s">
        <v>1532</v>
      </c>
      <c r="C230" s="47" t="s">
        <v>1533</v>
      </c>
      <c r="D230" s="47" t="s">
        <v>2081</v>
      </c>
      <c r="E230" s="47" t="s">
        <v>2082</v>
      </c>
      <c r="F230" s="48" t="s">
        <v>2083</v>
      </c>
    </row>
    <row r="231" spans="1:6">
      <c r="A231" s="44" t="s">
        <v>2084</v>
      </c>
      <c r="B231" s="44" t="s">
        <v>1532</v>
      </c>
      <c r="C231" s="44" t="s">
        <v>1533</v>
      </c>
      <c r="D231" s="44" t="s">
        <v>2084</v>
      </c>
      <c r="E231" s="44" t="s">
        <v>2085</v>
      </c>
      <c r="F231" s="49" t="s">
        <v>2086</v>
      </c>
    </row>
    <row r="232" spans="1:6">
      <c r="A232" s="47" t="s">
        <v>2087</v>
      </c>
      <c r="B232" s="47" t="s">
        <v>1532</v>
      </c>
      <c r="C232" s="47" t="s">
        <v>1533</v>
      </c>
      <c r="D232" s="47" t="s">
        <v>2087</v>
      </c>
      <c r="E232" s="47" t="s">
        <v>2088</v>
      </c>
      <c r="F232" s="48" t="s">
        <v>2089</v>
      </c>
    </row>
    <row r="233" spans="1:6">
      <c r="A233" s="44" t="s">
        <v>2090</v>
      </c>
      <c r="B233" s="44" t="s">
        <v>1532</v>
      </c>
      <c r="C233" s="44" t="s">
        <v>1533</v>
      </c>
      <c r="D233" s="44" t="s">
        <v>2090</v>
      </c>
      <c r="E233" s="44" t="s">
        <v>2091</v>
      </c>
      <c r="F233" s="49" t="s">
        <v>2092</v>
      </c>
    </row>
    <row r="234" spans="1:6">
      <c r="A234" s="47" t="s">
        <v>2093</v>
      </c>
      <c r="B234" s="47" t="s">
        <v>1532</v>
      </c>
      <c r="C234" s="47" t="s">
        <v>1533</v>
      </c>
      <c r="D234" s="47" t="s">
        <v>2093</v>
      </c>
      <c r="E234" s="47" t="s">
        <v>2094</v>
      </c>
      <c r="F234" s="48" t="s">
        <v>2095</v>
      </c>
    </row>
    <row r="235" spans="1:6">
      <c r="A235" s="44" t="s">
        <v>2096</v>
      </c>
      <c r="B235" s="44" t="s">
        <v>1532</v>
      </c>
      <c r="C235" s="44" t="s">
        <v>1533</v>
      </c>
      <c r="D235" s="44" t="s">
        <v>2096</v>
      </c>
      <c r="E235" s="44" t="s">
        <v>2097</v>
      </c>
      <c r="F235" s="49" t="s">
        <v>2098</v>
      </c>
    </row>
    <row r="236" spans="1:6">
      <c r="A236" s="47" t="s">
        <v>2099</v>
      </c>
      <c r="B236" s="47" t="s">
        <v>1532</v>
      </c>
      <c r="C236" s="47" t="s">
        <v>1533</v>
      </c>
      <c r="D236" s="47" t="s">
        <v>2099</v>
      </c>
      <c r="E236" s="47" t="s">
        <v>2100</v>
      </c>
      <c r="F236" s="48" t="s">
        <v>2101</v>
      </c>
    </row>
    <row r="237" spans="1:6">
      <c r="A237" s="44" t="s">
        <v>2102</v>
      </c>
      <c r="B237" s="44" t="s">
        <v>1532</v>
      </c>
      <c r="C237" s="44" t="s">
        <v>1533</v>
      </c>
      <c r="D237" s="44" t="s">
        <v>2102</v>
      </c>
      <c r="E237" s="44" t="s">
        <v>2103</v>
      </c>
      <c r="F237" s="49" t="s">
        <v>2104</v>
      </c>
    </row>
    <row r="238" spans="1:6">
      <c r="A238" s="47" t="s">
        <v>2105</v>
      </c>
      <c r="B238" s="47" t="s">
        <v>1532</v>
      </c>
      <c r="C238" s="47" t="s">
        <v>1533</v>
      </c>
      <c r="D238" s="47" t="s">
        <v>2105</v>
      </c>
      <c r="E238" s="47" t="s">
        <v>2106</v>
      </c>
      <c r="F238" s="48" t="s">
        <v>2107</v>
      </c>
    </row>
    <row r="239" spans="1:6">
      <c r="A239" s="44" t="s">
        <v>2108</v>
      </c>
      <c r="B239" s="44" t="s">
        <v>1532</v>
      </c>
      <c r="C239" s="44" t="s">
        <v>1533</v>
      </c>
      <c r="D239" s="44" t="s">
        <v>2108</v>
      </c>
      <c r="E239" s="44" t="s">
        <v>2109</v>
      </c>
      <c r="F239" s="49" t="s">
        <v>2110</v>
      </c>
    </row>
    <row r="240" spans="1:6">
      <c r="A240" s="47" t="s">
        <v>2111</v>
      </c>
      <c r="B240" s="47" t="s">
        <v>1532</v>
      </c>
      <c r="C240" s="47" t="s">
        <v>1533</v>
      </c>
      <c r="D240" s="47" t="s">
        <v>2111</v>
      </c>
      <c r="E240" s="47" t="s">
        <v>2112</v>
      </c>
      <c r="F240" s="48" t="s">
        <v>2113</v>
      </c>
    </row>
    <row r="241" spans="1:6">
      <c r="A241" s="44" t="s">
        <v>2114</v>
      </c>
      <c r="B241" s="44" t="s">
        <v>1532</v>
      </c>
      <c r="C241" s="44" t="s">
        <v>1533</v>
      </c>
      <c r="D241" s="44" t="s">
        <v>2114</v>
      </c>
      <c r="E241" s="44" t="s">
        <v>2115</v>
      </c>
      <c r="F241" s="49" t="s">
        <v>2116</v>
      </c>
    </row>
    <row r="242" spans="1:6">
      <c r="A242" s="47" t="s">
        <v>2117</v>
      </c>
      <c r="B242" s="47" t="s">
        <v>1532</v>
      </c>
      <c r="C242" s="47" t="s">
        <v>1533</v>
      </c>
      <c r="D242" s="47" t="s">
        <v>2117</v>
      </c>
      <c r="E242" s="47" t="s">
        <v>2118</v>
      </c>
      <c r="F242" s="48" t="s">
        <v>2119</v>
      </c>
    </row>
    <row r="243" spans="1:6">
      <c r="A243" s="44" t="s">
        <v>2120</v>
      </c>
      <c r="B243" s="44" t="s">
        <v>1532</v>
      </c>
      <c r="C243" s="44" t="s">
        <v>1533</v>
      </c>
      <c r="D243" s="44" t="s">
        <v>2120</v>
      </c>
      <c r="E243" s="44" t="s">
        <v>2121</v>
      </c>
      <c r="F243" s="49" t="s">
        <v>2122</v>
      </c>
    </row>
    <row r="244" spans="1:6">
      <c r="A244" s="47" t="s">
        <v>2123</v>
      </c>
      <c r="B244" s="47" t="s">
        <v>1532</v>
      </c>
      <c r="C244" s="47" t="s">
        <v>1533</v>
      </c>
      <c r="D244" s="47" t="s">
        <v>2123</v>
      </c>
      <c r="E244" s="47" t="s">
        <v>2124</v>
      </c>
      <c r="F244" s="48" t="s">
        <v>2125</v>
      </c>
    </row>
    <row r="245" spans="1:6">
      <c r="A245" s="44" t="s">
        <v>2126</v>
      </c>
      <c r="B245" s="44" t="s">
        <v>1532</v>
      </c>
      <c r="C245" s="44" t="s">
        <v>1533</v>
      </c>
      <c r="D245" s="44" t="s">
        <v>2126</v>
      </c>
      <c r="E245" s="44" t="s">
        <v>2127</v>
      </c>
      <c r="F245" s="49" t="s">
        <v>2128</v>
      </c>
    </row>
    <row r="246" spans="1:6">
      <c r="A246" s="47" t="s">
        <v>2129</v>
      </c>
      <c r="B246" s="47" t="s">
        <v>1532</v>
      </c>
      <c r="C246" s="47" t="s">
        <v>1533</v>
      </c>
      <c r="D246" s="47" t="s">
        <v>2129</v>
      </c>
      <c r="E246" s="47" t="s">
        <v>2130</v>
      </c>
      <c r="F246" s="48" t="s">
        <v>2131</v>
      </c>
    </row>
    <row r="247" spans="1:6">
      <c r="A247" s="44" t="s">
        <v>2132</v>
      </c>
      <c r="B247" s="44" t="s">
        <v>1532</v>
      </c>
      <c r="C247" s="44" t="s">
        <v>1533</v>
      </c>
      <c r="D247" s="44" t="s">
        <v>2132</v>
      </c>
      <c r="E247" s="44" t="s">
        <v>2133</v>
      </c>
      <c r="F247" s="49" t="s">
        <v>2134</v>
      </c>
    </row>
    <row r="248" spans="1:6">
      <c r="A248" s="47" t="s">
        <v>2135</v>
      </c>
      <c r="B248" s="47" t="s">
        <v>1532</v>
      </c>
      <c r="C248" s="47" t="s">
        <v>1533</v>
      </c>
      <c r="D248" s="47" t="s">
        <v>2135</v>
      </c>
      <c r="E248" s="47" t="s">
        <v>2136</v>
      </c>
      <c r="F248" s="48" t="s">
        <v>2137</v>
      </c>
    </row>
    <row r="249" spans="1:6">
      <c r="A249" s="44" t="s">
        <v>2138</v>
      </c>
      <c r="B249" s="44" t="s">
        <v>1532</v>
      </c>
      <c r="C249" s="44" t="s">
        <v>1533</v>
      </c>
      <c r="D249" s="44" t="s">
        <v>2138</v>
      </c>
      <c r="E249" s="44" t="s">
        <v>2139</v>
      </c>
      <c r="F249" s="49" t="s">
        <v>2140</v>
      </c>
    </row>
    <row r="250" spans="1:6">
      <c r="A250" s="47" t="s">
        <v>2141</v>
      </c>
      <c r="B250" s="47" t="s">
        <v>1532</v>
      </c>
      <c r="C250" s="47" t="s">
        <v>1533</v>
      </c>
      <c r="D250" s="47" t="s">
        <v>2141</v>
      </c>
      <c r="E250" s="47" t="s">
        <v>2142</v>
      </c>
      <c r="F250" s="48" t="s">
        <v>2143</v>
      </c>
    </row>
    <row r="251" spans="1:6">
      <c r="A251" s="44" t="s">
        <v>2144</v>
      </c>
      <c r="B251" s="44" t="s">
        <v>1532</v>
      </c>
      <c r="C251" s="44" t="s">
        <v>1533</v>
      </c>
      <c r="D251" s="44" t="s">
        <v>2144</v>
      </c>
      <c r="E251" s="44" t="s">
        <v>2145</v>
      </c>
      <c r="F251" s="49" t="s">
        <v>2146</v>
      </c>
    </row>
    <row r="252" spans="1:6">
      <c r="A252" s="47" t="s">
        <v>2147</v>
      </c>
      <c r="B252" s="47" t="s">
        <v>1532</v>
      </c>
      <c r="C252" s="47" t="s">
        <v>1533</v>
      </c>
      <c r="D252" s="47" t="s">
        <v>2147</v>
      </c>
      <c r="E252" s="47" t="s">
        <v>2148</v>
      </c>
      <c r="F252" s="48" t="s">
        <v>2149</v>
      </c>
    </row>
    <row r="253" spans="1:6">
      <c r="A253" s="44" t="s">
        <v>2150</v>
      </c>
      <c r="B253" s="44" t="s">
        <v>1532</v>
      </c>
      <c r="C253" s="44" t="s">
        <v>1533</v>
      </c>
      <c r="D253" s="44" t="s">
        <v>2150</v>
      </c>
      <c r="E253" s="44" t="s">
        <v>2151</v>
      </c>
      <c r="F253" s="49" t="s">
        <v>2152</v>
      </c>
    </row>
    <row r="254" spans="1:6">
      <c r="A254" s="47" t="s">
        <v>2153</v>
      </c>
      <c r="B254" s="47" t="s">
        <v>1532</v>
      </c>
      <c r="C254" s="47" t="s">
        <v>1533</v>
      </c>
      <c r="D254" s="47" t="s">
        <v>2153</v>
      </c>
      <c r="E254" s="47" t="s">
        <v>2154</v>
      </c>
      <c r="F254" s="48" t="s">
        <v>2155</v>
      </c>
    </row>
    <row r="255" spans="1:6">
      <c r="A255" s="44" t="s">
        <v>2156</v>
      </c>
      <c r="B255" s="44" t="s">
        <v>1532</v>
      </c>
      <c r="C255" s="44" t="s">
        <v>1533</v>
      </c>
      <c r="D255" s="44" t="s">
        <v>2156</v>
      </c>
      <c r="E255" s="44" t="s">
        <v>2157</v>
      </c>
      <c r="F255" s="49" t="s">
        <v>2158</v>
      </c>
    </row>
    <row r="256" spans="1:6">
      <c r="A256" s="47" t="s">
        <v>2159</v>
      </c>
      <c r="B256" s="47" t="s">
        <v>1532</v>
      </c>
      <c r="C256" s="47" t="s">
        <v>1533</v>
      </c>
      <c r="D256" s="47" t="s">
        <v>2159</v>
      </c>
      <c r="E256" s="47" t="s">
        <v>2160</v>
      </c>
      <c r="F256" s="48" t="s">
        <v>2161</v>
      </c>
    </row>
    <row r="257" spans="1:6">
      <c r="A257" s="44" t="s">
        <v>2162</v>
      </c>
      <c r="B257" s="44" t="s">
        <v>1532</v>
      </c>
      <c r="C257" s="44" t="s">
        <v>1533</v>
      </c>
      <c r="D257" s="44" t="s">
        <v>2162</v>
      </c>
      <c r="E257" s="44" t="s">
        <v>2163</v>
      </c>
      <c r="F257" s="49" t="s">
        <v>2164</v>
      </c>
    </row>
    <row r="258" spans="1:6">
      <c r="A258" s="47" t="s">
        <v>2165</v>
      </c>
      <c r="B258" s="47" t="s">
        <v>1532</v>
      </c>
      <c r="C258" s="47" t="s">
        <v>1533</v>
      </c>
      <c r="D258" s="47" t="s">
        <v>2165</v>
      </c>
      <c r="E258" s="47" t="s">
        <v>2166</v>
      </c>
      <c r="F258" s="48" t="s">
        <v>2167</v>
      </c>
    </row>
    <row r="259" spans="1:6">
      <c r="A259" s="44" t="s">
        <v>2168</v>
      </c>
      <c r="B259" s="44" t="s">
        <v>1532</v>
      </c>
      <c r="C259" s="44" t="s">
        <v>1533</v>
      </c>
      <c r="D259" s="44" t="s">
        <v>2168</v>
      </c>
      <c r="E259" s="44" t="s">
        <v>2169</v>
      </c>
      <c r="F259" s="49" t="s">
        <v>2170</v>
      </c>
    </row>
    <row r="260" spans="1:6">
      <c r="A260" s="47" t="s">
        <v>2171</v>
      </c>
      <c r="B260" s="47" t="s">
        <v>1532</v>
      </c>
      <c r="C260" s="47" t="s">
        <v>1533</v>
      </c>
      <c r="D260" s="47" t="s">
        <v>2171</v>
      </c>
      <c r="E260" s="47" t="s">
        <v>2172</v>
      </c>
      <c r="F260" s="48" t="s">
        <v>2173</v>
      </c>
    </row>
    <row r="261" spans="1:6">
      <c r="A261" s="44" t="s">
        <v>2174</v>
      </c>
      <c r="B261" s="44" t="s">
        <v>1532</v>
      </c>
      <c r="C261" s="44" t="s">
        <v>1533</v>
      </c>
      <c r="D261" s="44" t="s">
        <v>2174</v>
      </c>
      <c r="E261" s="44" t="s">
        <v>2175</v>
      </c>
      <c r="F261" s="49" t="s">
        <v>2176</v>
      </c>
    </row>
    <row r="262" spans="1:6">
      <c r="A262" s="47" t="s">
        <v>2177</v>
      </c>
      <c r="B262" s="47" t="s">
        <v>1532</v>
      </c>
      <c r="C262" s="47" t="s">
        <v>1533</v>
      </c>
      <c r="D262" s="47" t="s">
        <v>2177</v>
      </c>
      <c r="E262" s="47" t="s">
        <v>2178</v>
      </c>
      <c r="F262" s="48" t="s">
        <v>2179</v>
      </c>
    </row>
    <row r="263" spans="1:6">
      <c r="A263" s="44" t="s">
        <v>2180</v>
      </c>
      <c r="B263" s="44" t="s">
        <v>1532</v>
      </c>
      <c r="C263" s="44" t="s">
        <v>1533</v>
      </c>
      <c r="D263" s="44" t="s">
        <v>2180</v>
      </c>
      <c r="E263" s="44" t="s">
        <v>2181</v>
      </c>
      <c r="F263" s="49" t="s">
        <v>2182</v>
      </c>
    </row>
    <row r="264" spans="1:6">
      <c r="A264" s="47" t="s">
        <v>2183</v>
      </c>
      <c r="B264" s="47" t="s">
        <v>1532</v>
      </c>
      <c r="C264" s="47" t="s">
        <v>1533</v>
      </c>
      <c r="D264" s="47" t="s">
        <v>2183</v>
      </c>
      <c r="E264" s="47" t="s">
        <v>2184</v>
      </c>
      <c r="F264" s="48" t="s">
        <v>2185</v>
      </c>
    </row>
    <row r="265" spans="1:6">
      <c r="A265" s="44" t="s">
        <v>2186</v>
      </c>
      <c r="B265" s="44" t="s">
        <v>1532</v>
      </c>
      <c r="C265" s="44" t="s">
        <v>1533</v>
      </c>
      <c r="D265" s="44" t="s">
        <v>2186</v>
      </c>
      <c r="E265" s="44" t="s">
        <v>2187</v>
      </c>
      <c r="F265" s="49" t="s">
        <v>2188</v>
      </c>
    </row>
    <row r="266" spans="1:6">
      <c r="A266" s="47" t="s">
        <v>2189</v>
      </c>
      <c r="B266" s="47" t="s">
        <v>1532</v>
      </c>
      <c r="C266" s="47" t="s">
        <v>1533</v>
      </c>
      <c r="D266" s="47" t="s">
        <v>2189</v>
      </c>
      <c r="E266" s="47" t="s">
        <v>2190</v>
      </c>
      <c r="F266" s="48" t="s">
        <v>2191</v>
      </c>
    </row>
    <row r="267" spans="1:6">
      <c r="A267" s="44" t="s">
        <v>2192</v>
      </c>
      <c r="B267" s="44" t="s">
        <v>1532</v>
      </c>
      <c r="C267" s="44" t="s">
        <v>1533</v>
      </c>
      <c r="D267" s="44" t="s">
        <v>2192</v>
      </c>
      <c r="E267" s="44" t="s">
        <v>2193</v>
      </c>
      <c r="F267" s="49" t="s">
        <v>2194</v>
      </c>
    </row>
    <row r="268" spans="1:6">
      <c r="A268" s="47" t="s">
        <v>2195</v>
      </c>
      <c r="B268" s="47" t="s">
        <v>1532</v>
      </c>
      <c r="C268" s="47" t="s">
        <v>1533</v>
      </c>
      <c r="D268" s="47" t="s">
        <v>2195</v>
      </c>
      <c r="E268" s="47" t="s">
        <v>2196</v>
      </c>
      <c r="F268" s="48" t="s">
        <v>2197</v>
      </c>
    </row>
    <row r="269" spans="1:6">
      <c r="A269" s="44" t="s">
        <v>2198</v>
      </c>
      <c r="B269" s="44" t="s">
        <v>1532</v>
      </c>
      <c r="C269" s="44" t="s">
        <v>1533</v>
      </c>
      <c r="D269" s="44" t="s">
        <v>2198</v>
      </c>
      <c r="E269" s="44" t="s">
        <v>2199</v>
      </c>
      <c r="F269" s="49" t="s">
        <v>2200</v>
      </c>
    </row>
    <row r="270" spans="1:6">
      <c r="A270" s="47" t="s">
        <v>2201</v>
      </c>
      <c r="B270" s="47" t="s">
        <v>1532</v>
      </c>
      <c r="C270" s="47" t="s">
        <v>1533</v>
      </c>
      <c r="D270" s="47" t="s">
        <v>2201</v>
      </c>
      <c r="E270" s="47" t="s">
        <v>2202</v>
      </c>
      <c r="F270" s="48" t="s">
        <v>2203</v>
      </c>
    </row>
    <row r="271" spans="1:6">
      <c r="A271" s="44" t="s">
        <v>2204</v>
      </c>
      <c r="B271" s="44" t="s">
        <v>1532</v>
      </c>
      <c r="C271" s="44" t="s">
        <v>1533</v>
      </c>
      <c r="D271" s="44" t="s">
        <v>2204</v>
      </c>
      <c r="E271" s="44" t="s">
        <v>2205</v>
      </c>
      <c r="F271" s="49" t="s">
        <v>2206</v>
      </c>
    </row>
    <row r="272" spans="1:6">
      <c r="A272" s="47" t="s">
        <v>2207</v>
      </c>
      <c r="B272" s="47" t="s">
        <v>1532</v>
      </c>
      <c r="C272" s="47" t="s">
        <v>1533</v>
      </c>
      <c r="D272" s="47" t="s">
        <v>2207</v>
      </c>
      <c r="E272" s="47" t="s">
        <v>2208</v>
      </c>
      <c r="F272" s="48" t="s">
        <v>2209</v>
      </c>
    </row>
    <row r="273" spans="1:6">
      <c r="A273" s="44" t="s">
        <v>2210</v>
      </c>
      <c r="B273" s="44" t="s">
        <v>1532</v>
      </c>
      <c r="C273" s="44" t="s">
        <v>1533</v>
      </c>
      <c r="D273" s="44" t="s">
        <v>2210</v>
      </c>
      <c r="E273" s="44" t="s">
        <v>2211</v>
      </c>
      <c r="F273" s="49" t="s">
        <v>2212</v>
      </c>
    </row>
    <row r="274" spans="1:6">
      <c r="A274" s="47" t="s">
        <v>2213</v>
      </c>
      <c r="B274" s="47" t="s">
        <v>1532</v>
      </c>
      <c r="C274" s="47" t="s">
        <v>1533</v>
      </c>
      <c r="D274" s="47" t="s">
        <v>2213</v>
      </c>
      <c r="E274" s="47" t="s">
        <v>2214</v>
      </c>
      <c r="F274" s="48" t="s">
        <v>2215</v>
      </c>
    </row>
    <row r="275" spans="1:6">
      <c r="A275" s="44" t="s">
        <v>2216</v>
      </c>
      <c r="B275" s="44" t="s">
        <v>1532</v>
      </c>
      <c r="C275" s="44" t="s">
        <v>1533</v>
      </c>
      <c r="D275" s="44" t="s">
        <v>2216</v>
      </c>
      <c r="E275" s="44" t="s">
        <v>2217</v>
      </c>
      <c r="F275" s="49" t="s">
        <v>2218</v>
      </c>
    </row>
    <row r="276" spans="1:6">
      <c r="A276" s="47" t="s">
        <v>2219</v>
      </c>
      <c r="B276" s="47" t="s">
        <v>1532</v>
      </c>
      <c r="C276" s="47" t="s">
        <v>1533</v>
      </c>
      <c r="D276" s="47" t="s">
        <v>2219</v>
      </c>
      <c r="E276" s="47" t="s">
        <v>2220</v>
      </c>
      <c r="F276" s="48" t="s">
        <v>2221</v>
      </c>
    </row>
    <row r="277" spans="1:6">
      <c r="A277" s="44" t="s">
        <v>2222</v>
      </c>
      <c r="B277" s="44" t="s">
        <v>1532</v>
      </c>
      <c r="C277" s="44" t="s">
        <v>1533</v>
      </c>
      <c r="D277" s="44" t="s">
        <v>2222</v>
      </c>
      <c r="E277" s="44" t="s">
        <v>2223</v>
      </c>
      <c r="F277" s="49" t="s">
        <v>2224</v>
      </c>
    </row>
    <row r="278" spans="1:6">
      <c r="A278" s="47" t="s">
        <v>2225</v>
      </c>
      <c r="B278" s="47" t="s">
        <v>1532</v>
      </c>
      <c r="C278" s="47" t="s">
        <v>1533</v>
      </c>
      <c r="D278" s="47" t="s">
        <v>2225</v>
      </c>
      <c r="E278" s="47" t="s">
        <v>2226</v>
      </c>
      <c r="F278" s="48" t="s">
        <v>2227</v>
      </c>
    </row>
    <row r="279" spans="1:6">
      <c r="A279" s="44" t="s">
        <v>2228</v>
      </c>
      <c r="B279" s="44" t="s">
        <v>1532</v>
      </c>
      <c r="C279" s="44" t="s">
        <v>1533</v>
      </c>
      <c r="D279" s="44" t="s">
        <v>2228</v>
      </c>
      <c r="E279" s="44" t="s">
        <v>2229</v>
      </c>
      <c r="F279" s="49" t="s">
        <v>2230</v>
      </c>
    </row>
    <row r="280" spans="1:6">
      <c r="A280" s="47" t="s">
        <v>2231</v>
      </c>
      <c r="B280" s="47" t="s">
        <v>1532</v>
      </c>
      <c r="C280" s="47" t="s">
        <v>1533</v>
      </c>
      <c r="D280" s="47" t="s">
        <v>2231</v>
      </c>
      <c r="E280" s="47" t="s">
        <v>2232</v>
      </c>
      <c r="F280" s="48" t="s">
        <v>2233</v>
      </c>
    </row>
    <row r="281" spans="1:6">
      <c r="A281" s="44" t="s">
        <v>2234</v>
      </c>
      <c r="B281" s="44" t="s">
        <v>1532</v>
      </c>
      <c r="C281" s="44" t="s">
        <v>1533</v>
      </c>
      <c r="D281" s="44" t="s">
        <v>2234</v>
      </c>
      <c r="E281" s="44" t="s">
        <v>2235</v>
      </c>
      <c r="F281" s="49" t="s">
        <v>2236</v>
      </c>
    </row>
    <row r="282" spans="1:6">
      <c r="A282" s="47" t="s">
        <v>2237</v>
      </c>
      <c r="B282" s="47" t="s">
        <v>1532</v>
      </c>
      <c r="C282" s="47" t="s">
        <v>1533</v>
      </c>
      <c r="D282" s="47" t="s">
        <v>2237</v>
      </c>
      <c r="E282" s="47" t="s">
        <v>2238</v>
      </c>
      <c r="F282" s="48" t="s">
        <v>2239</v>
      </c>
    </row>
    <row r="283" spans="1:6">
      <c r="A283" s="44" t="s">
        <v>2240</v>
      </c>
      <c r="B283" s="44" t="s">
        <v>1532</v>
      </c>
      <c r="C283" s="44" t="s">
        <v>1533</v>
      </c>
      <c r="D283" s="44" t="s">
        <v>2240</v>
      </c>
      <c r="E283" s="44" t="s">
        <v>2241</v>
      </c>
      <c r="F283" s="49" t="s">
        <v>2242</v>
      </c>
    </row>
    <row r="284" spans="1:6">
      <c r="A284" s="47" t="s">
        <v>2243</v>
      </c>
      <c r="B284" s="47" t="s">
        <v>1532</v>
      </c>
      <c r="C284" s="47" t="s">
        <v>1533</v>
      </c>
      <c r="D284" s="47" t="s">
        <v>2243</v>
      </c>
      <c r="E284" s="47" t="s">
        <v>2244</v>
      </c>
      <c r="F284" s="48" t="s">
        <v>2245</v>
      </c>
    </row>
    <row r="285" spans="1:6">
      <c r="A285" s="44" t="s">
        <v>2246</v>
      </c>
      <c r="B285" s="44" t="s">
        <v>1532</v>
      </c>
      <c r="C285" s="44" t="s">
        <v>1533</v>
      </c>
      <c r="D285" s="44" t="s">
        <v>2246</v>
      </c>
      <c r="E285" s="44" t="s">
        <v>2247</v>
      </c>
      <c r="F285" s="49" t="s">
        <v>2248</v>
      </c>
    </row>
    <row r="286" spans="1:6">
      <c r="A286" s="47" t="s">
        <v>2249</v>
      </c>
      <c r="B286" s="47" t="s">
        <v>1532</v>
      </c>
      <c r="C286" s="47" t="s">
        <v>1533</v>
      </c>
      <c r="D286" s="47" t="s">
        <v>2249</v>
      </c>
      <c r="E286" s="47" t="s">
        <v>2250</v>
      </c>
      <c r="F286" s="48" t="s">
        <v>2251</v>
      </c>
    </row>
    <row r="287" spans="1:6">
      <c r="A287" s="44" t="s">
        <v>2252</v>
      </c>
      <c r="B287" s="44" t="s">
        <v>1532</v>
      </c>
      <c r="C287" s="44" t="s">
        <v>1533</v>
      </c>
      <c r="D287" s="44" t="s">
        <v>2252</v>
      </c>
      <c r="E287" s="44" t="s">
        <v>2253</v>
      </c>
      <c r="F287" s="49" t="s">
        <v>2254</v>
      </c>
    </row>
    <row r="288" spans="1:6">
      <c r="A288" s="47" t="s">
        <v>2255</v>
      </c>
      <c r="B288" s="47" t="s">
        <v>1532</v>
      </c>
      <c r="C288" s="47" t="s">
        <v>1533</v>
      </c>
      <c r="D288" s="47" t="s">
        <v>2255</v>
      </c>
      <c r="E288" s="47" t="s">
        <v>2256</v>
      </c>
      <c r="F288" s="48" t="s">
        <v>2257</v>
      </c>
    </row>
    <row r="289" spans="1:6">
      <c r="A289" s="44" t="s">
        <v>2258</v>
      </c>
      <c r="B289" s="44" t="s">
        <v>1532</v>
      </c>
      <c r="C289" s="44" t="s">
        <v>1533</v>
      </c>
      <c r="D289" s="44" t="s">
        <v>2258</v>
      </c>
      <c r="E289" s="44" t="s">
        <v>2259</v>
      </c>
      <c r="F289" s="49" t="s">
        <v>2260</v>
      </c>
    </row>
    <row r="290" spans="1:6">
      <c r="A290" s="47" t="s">
        <v>2261</v>
      </c>
      <c r="B290" s="47" t="s">
        <v>1532</v>
      </c>
      <c r="C290" s="47" t="s">
        <v>1533</v>
      </c>
      <c r="D290" s="47" t="s">
        <v>2261</v>
      </c>
      <c r="E290" s="47" t="s">
        <v>2262</v>
      </c>
      <c r="F290" s="48" t="s">
        <v>2263</v>
      </c>
    </row>
    <row r="291" spans="1:6">
      <c r="A291" s="44" t="s">
        <v>2264</v>
      </c>
      <c r="B291" s="44" t="s">
        <v>1532</v>
      </c>
      <c r="C291" s="44" t="s">
        <v>1533</v>
      </c>
      <c r="D291" s="44" t="s">
        <v>2264</v>
      </c>
      <c r="E291" s="44" t="s">
        <v>2265</v>
      </c>
      <c r="F291" s="49" t="s">
        <v>2266</v>
      </c>
    </row>
    <row r="292" spans="1:6">
      <c r="A292" s="47" t="s">
        <v>2267</v>
      </c>
      <c r="B292" s="47" t="s">
        <v>1532</v>
      </c>
      <c r="C292" s="47" t="s">
        <v>1533</v>
      </c>
      <c r="D292" s="47" t="s">
        <v>2267</v>
      </c>
      <c r="E292" s="47" t="s">
        <v>2268</v>
      </c>
      <c r="F292" s="48" t="s">
        <v>2269</v>
      </c>
    </row>
    <row r="293" spans="1:6">
      <c r="A293" s="44" t="s">
        <v>2270</v>
      </c>
      <c r="B293" s="44" t="s">
        <v>1532</v>
      </c>
      <c r="C293" s="44" t="s">
        <v>1533</v>
      </c>
      <c r="D293" s="44" t="s">
        <v>2270</v>
      </c>
      <c r="E293" s="44" t="s">
        <v>2271</v>
      </c>
      <c r="F293" s="49" t="s">
        <v>2272</v>
      </c>
    </row>
    <row r="294" spans="1:6">
      <c r="A294" s="47" t="s">
        <v>2273</v>
      </c>
      <c r="B294" s="47" t="s">
        <v>1532</v>
      </c>
      <c r="C294" s="47" t="s">
        <v>1533</v>
      </c>
      <c r="D294" s="47" t="s">
        <v>2273</v>
      </c>
      <c r="E294" s="47" t="s">
        <v>2274</v>
      </c>
      <c r="F294" s="48" t="s">
        <v>2275</v>
      </c>
    </row>
    <row r="295" spans="1:6">
      <c r="A295" s="44" t="s">
        <v>2276</v>
      </c>
      <c r="B295" s="44" t="s">
        <v>1532</v>
      </c>
      <c r="C295" s="44" t="s">
        <v>1533</v>
      </c>
      <c r="D295" s="44" t="s">
        <v>2276</v>
      </c>
      <c r="E295" s="44" t="s">
        <v>2277</v>
      </c>
      <c r="F295" s="49" t="s">
        <v>2278</v>
      </c>
    </row>
    <row r="296" spans="1:6">
      <c r="A296" s="47" t="s">
        <v>2279</v>
      </c>
      <c r="B296" s="47" t="s">
        <v>1532</v>
      </c>
      <c r="C296" s="47" t="s">
        <v>1533</v>
      </c>
      <c r="D296" s="47" t="s">
        <v>2279</v>
      </c>
      <c r="E296" s="47" t="s">
        <v>2280</v>
      </c>
      <c r="F296" s="48" t="s">
        <v>2281</v>
      </c>
    </row>
    <row r="297" spans="1:6">
      <c r="A297" s="44" t="s">
        <v>2282</v>
      </c>
      <c r="B297" s="44" t="s">
        <v>1532</v>
      </c>
      <c r="C297" s="44" t="s">
        <v>1533</v>
      </c>
      <c r="D297" s="44" t="s">
        <v>2282</v>
      </c>
      <c r="E297" s="44" t="s">
        <v>2283</v>
      </c>
      <c r="F297" s="49" t="s">
        <v>2284</v>
      </c>
    </row>
    <row r="298" spans="1:6">
      <c r="A298" s="47" t="s">
        <v>2285</v>
      </c>
      <c r="B298" s="47" t="s">
        <v>1532</v>
      </c>
      <c r="C298" s="47" t="s">
        <v>1533</v>
      </c>
      <c r="D298" s="47" t="s">
        <v>2285</v>
      </c>
      <c r="E298" s="47" t="s">
        <v>2286</v>
      </c>
      <c r="F298" s="48" t="s">
        <v>2287</v>
      </c>
    </row>
    <row r="299" spans="1:6">
      <c r="A299" s="44" t="s">
        <v>2288</v>
      </c>
      <c r="B299" s="44" t="s">
        <v>1532</v>
      </c>
      <c r="C299" s="44" t="s">
        <v>1533</v>
      </c>
      <c r="D299" s="44" t="s">
        <v>2288</v>
      </c>
      <c r="E299" s="44" t="s">
        <v>2289</v>
      </c>
      <c r="F299" s="49" t="s">
        <v>2290</v>
      </c>
    </row>
    <row r="300" spans="1:6">
      <c r="A300" s="47" t="s">
        <v>2291</v>
      </c>
      <c r="B300" s="47" t="s">
        <v>1532</v>
      </c>
      <c r="C300" s="47" t="s">
        <v>1533</v>
      </c>
      <c r="D300" s="47" t="s">
        <v>2291</v>
      </c>
      <c r="E300" s="47" t="s">
        <v>2292</v>
      </c>
      <c r="F300" s="48" t="s">
        <v>2293</v>
      </c>
    </row>
    <row r="301" spans="1:6">
      <c r="A301" s="44" t="s">
        <v>2294</v>
      </c>
      <c r="B301" s="44" t="s">
        <v>1532</v>
      </c>
      <c r="C301" s="44" t="s">
        <v>1533</v>
      </c>
      <c r="D301" s="44" t="s">
        <v>2294</v>
      </c>
      <c r="E301" s="44" t="s">
        <v>2295</v>
      </c>
      <c r="F301" s="49" t="s">
        <v>2296</v>
      </c>
    </row>
    <row r="302" spans="1:6">
      <c r="A302" s="47" t="s">
        <v>2297</v>
      </c>
      <c r="B302" s="47" t="s">
        <v>1532</v>
      </c>
      <c r="C302" s="47" t="s">
        <v>1533</v>
      </c>
      <c r="D302" s="47" t="s">
        <v>2297</v>
      </c>
      <c r="E302" s="47" t="s">
        <v>2298</v>
      </c>
      <c r="F302" s="48" t="s">
        <v>2299</v>
      </c>
    </row>
    <row r="303" spans="1:6">
      <c r="A303" s="44" t="s">
        <v>2300</v>
      </c>
      <c r="B303" s="44" t="s">
        <v>1532</v>
      </c>
      <c r="C303" s="44" t="s">
        <v>1533</v>
      </c>
      <c r="D303" s="44" t="s">
        <v>2300</v>
      </c>
      <c r="E303" s="44" t="s">
        <v>2301</v>
      </c>
      <c r="F303" s="49" t="s">
        <v>2302</v>
      </c>
    </row>
    <row r="304" spans="1:6">
      <c r="A304" s="47" t="s">
        <v>2303</v>
      </c>
      <c r="B304" s="47" t="s">
        <v>1532</v>
      </c>
      <c r="C304" s="47" t="s">
        <v>1533</v>
      </c>
      <c r="D304" s="47" t="s">
        <v>2303</v>
      </c>
      <c r="E304" s="47" t="s">
        <v>2304</v>
      </c>
      <c r="F304" s="48" t="s">
        <v>2305</v>
      </c>
    </row>
    <row r="305" spans="1:6">
      <c r="A305" s="44" t="s">
        <v>2306</v>
      </c>
      <c r="B305" s="44" t="s">
        <v>1532</v>
      </c>
      <c r="C305" s="44" t="s">
        <v>1533</v>
      </c>
      <c r="D305" s="44" t="s">
        <v>2306</v>
      </c>
      <c r="E305" s="44" t="s">
        <v>2307</v>
      </c>
      <c r="F305" s="49" t="s">
        <v>2308</v>
      </c>
    </row>
    <row r="306" spans="1:6">
      <c r="A306" s="47" t="s">
        <v>2309</v>
      </c>
      <c r="B306" s="47" t="s">
        <v>1532</v>
      </c>
      <c r="C306" s="47" t="s">
        <v>1533</v>
      </c>
      <c r="D306" s="47" t="s">
        <v>2309</v>
      </c>
      <c r="E306" s="47" t="s">
        <v>2310</v>
      </c>
      <c r="F306" s="48" t="s">
        <v>2311</v>
      </c>
    </row>
    <row r="307" spans="1:6">
      <c r="A307" s="44" t="s">
        <v>2312</v>
      </c>
      <c r="B307" s="44" t="s">
        <v>1532</v>
      </c>
      <c r="C307" s="44" t="s">
        <v>1533</v>
      </c>
      <c r="D307" s="44" t="s">
        <v>2312</v>
      </c>
      <c r="E307" s="44" t="s">
        <v>2313</v>
      </c>
      <c r="F307" s="49" t="s">
        <v>2314</v>
      </c>
    </row>
    <row r="308" spans="1:6">
      <c r="A308" s="47" t="s">
        <v>2315</v>
      </c>
      <c r="B308" s="47" t="s">
        <v>1532</v>
      </c>
      <c r="C308" s="47" t="s">
        <v>1533</v>
      </c>
      <c r="D308" s="47" t="s">
        <v>2315</v>
      </c>
      <c r="E308" s="47" t="s">
        <v>2316</v>
      </c>
      <c r="F308" s="48" t="s">
        <v>2317</v>
      </c>
    </row>
    <row r="309" spans="1:6">
      <c r="A309" s="44" t="s">
        <v>2318</v>
      </c>
      <c r="B309" s="44" t="s">
        <v>1532</v>
      </c>
      <c r="C309" s="44" t="s">
        <v>1533</v>
      </c>
      <c r="D309" s="44" t="s">
        <v>2318</v>
      </c>
      <c r="E309" s="44" t="s">
        <v>2319</v>
      </c>
      <c r="F309" s="49" t="s">
        <v>2320</v>
      </c>
    </row>
    <row r="310" spans="1:6">
      <c r="A310" s="47" t="s">
        <v>2321</v>
      </c>
      <c r="B310" s="47" t="s">
        <v>1532</v>
      </c>
      <c r="C310" s="47" t="s">
        <v>1533</v>
      </c>
      <c r="D310" s="47" t="s">
        <v>2321</v>
      </c>
      <c r="E310" s="47" t="s">
        <v>2322</v>
      </c>
      <c r="F310" s="48" t="s">
        <v>2323</v>
      </c>
    </row>
    <row r="311" spans="1:6">
      <c r="A311" s="44" t="s">
        <v>2324</v>
      </c>
      <c r="B311" s="44" t="s">
        <v>1532</v>
      </c>
      <c r="C311" s="44" t="s">
        <v>1533</v>
      </c>
      <c r="D311" s="44" t="s">
        <v>2324</v>
      </c>
      <c r="E311" s="44" t="s">
        <v>2325</v>
      </c>
      <c r="F311" s="49" t="s">
        <v>2326</v>
      </c>
    </row>
    <row r="312" spans="1:6">
      <c r="A312" s="47" t="s">
        <v>2327</v>
      </c>
      <c r="B312" s="47" t="s">
        <v>1532</v>
      </c>
      <c r="C312" s="47" t="s">
        <v>1533</v>
      </c>
      <c r="D312" s="47" t="s">
        <v>2327</v>
      </c>
      <c r="E312" s="47" t="s">
        <v>2328</v>
      </c>
      <c r="F312" s="48" t="s">
        <v>2329</v>
      </c>
    </row>
    <row r="313" spans="1:6">
      <c r="A313" s="44" t="s">
        <v>2330</v>
      </c>
      <c r="B313" s="44" t="s">
        <v>1532</v>
      </c>
      <c r="C313" s="44" t="s">
        <v>1533</v>
      </c>
      <c r="D313" s="44" t="s">
        <v>2330</v>
      </c>
      <c r="E313" s="44" t="s">
        <v>2331</v>
      </c>
      <c r="F313" s="49" t="s">
        <v>2332</v>
      </c>
    </row>
    <row r="314" spans="1:6">
      <c r="A314" s="47" t="s">
        <v>2333</v>
      </c>
      <c r="B314" s="47" t="s">
        <v>1532</v>
      </c>
      <c r="C314" s="47" t="s">
        <v>1533</v>
      </c>
      <c r="D314" s="47" t="s">
        <v>2333</v>
      </c>
      <c r="E314" s="47" t="s">
        <v>2334</v>
      </c>
      <c r="F314" s="48" t="s">
        <v>2335</v>
      </c>
    </row>
    <row r="315" spans="1:6">
      <c r="A315" s="44" t="s">
        <v>2336</v>
      </c>
      <c r="B315" s="44" t="s">
        <v>1532</v>
      </c>
      <c r="C315" s="44" t="s">
        <v>1533</v>
      </c>
      <c r="D315" s="44" t="s">
        <v>2336</v>
      </c>
      <c r="E315" s="44" t="s">
        <v>2337</v>
      </c>
      <c r="F315" s="49" t="s">
        <v>2338</v>
      </c>
    </row>
    <row r="316" spans="1:6">
      <c r="A316" s="47" t="s">
        <v>2339</v>
      </c>
      <c r="B316" s="47" t="s">
        <v>1532</v>
      </c>
      <c r="C316" s="47" t="s">
        <v>1533</v>
      </c>
      <c r="D316" s="47" t="s">
        <v>2339</v>
      </c>
      <c r="E316" s="47" t="s">
        <v>2340</v>
      </c>
      <c r="F316" s="48" t="s">
        <v>2341</v>
      </c>
    </row>
    <row r="317" spans="1:6">
      <c r="A317" s="44" t="s">
        <v>2342</v>
      </c>
      <c r="B317" s="44" t="s">
        <v>1532</v>
      </c>
      <c r="C317" s="44" t="s">
        <v>1533</v>
      </c>
      <c r="D317" s="44" t="s">
        <v>2342</v>
      </c>
      <c r="E317" s="44" t="s">
        <v>2343</v>
      </c>
      <c r="F317" s="49" t="s">
        <v>2344</v>
      </c>
    </row>
    <row r="318" spans="1:6">
      <c r="A318" s="47" t="s">
        <v>2345</v>
      </c>
      <c r="B318" s="47" t="s">
        <v>1532</v>
      </c>
      <c r="C318" s="47" t="s">
        <v>1533</v>
      </c>
      <c r="D318" s="47" t="s">
        <v>2345</v>
      </c>
      <c r="E318" s="47" t="s">
        <v>2346</v>
      </c>
      <c r="F318" s="48" t="s">
        <v>2347</v>
      </c>
    </row>
    <row r="319" spans="1:6">
      <c r="A319" s="44" t="s">
        <v>2348</v>
      </c>
      <c r="B319" s="44" t="s">
        <v>1532</v>
      </c>
      <c r="C319" s="44" t="s">
        <v>1533</v>
      </c>
      <c r="D319" s="44" t="s">
        <v>2348</v>
      </c>
      <c r="E319" s="44" t="s">
        <v>2349</v>
      </c>
      <c r="F319" s="49" t="s">
        <v>2350</v>
      </c>
    </row>
    <row r="320" spans="1:6">
      <c r="A320" s="47" t="s">
        <v>2351</v>
      </c>
      <c r="B320" s="47" t="s">
        <v>1532</v>
      </c>
      <c r="C320" s="47" t="s">
        <v>1533</v>
      </c>
      <c r="D320" s="47" t="s">
        <v>2351</v>
      </c>
      <c r="E320" s="47" t="s">
        <v>2352</v>
      </c>
      <c r="F320" s="48" t="s">
        <v>2353</v>
      </c>
    </row>
    <row r="321" spans="1:7">
      <c r="A321" s="44" t="s">
        <v>2354</v>
      </c>
      <c r="B321" s="44" t="s">
        <v>1532</v>
      </c>
      <c r="C321" s="44" t="s">
        <v>1533</v>
      </c>
      <c r="D321" s="44" t="s">
        <v>2354</v>
      </c>
      <c r="E321" s="44" t="s">
        <v>2355</v>
      </c>
      <c r="F321" s="49" t="s">
        <v>2356</v>
      </c>
    </row>
    <row r="322" spans="1:7">
      <c r="A322" s="47" t="s">
        <v>2357</v>
      </c>
      <c r="B322" s="47" t="s">
        <v>1532</v>
      </c>
      <c r="C322" s="47" t="s">
        <v>1533</v>
      </c>
      <c r="D322" s="47" t="s">
        <v>2357</v>
      </c>
      <c r="E322" s="47" t="s">
        <v>2358</v>
      </c>
      <c r="F322" s="48" t="s">
        <v>2359</v>
      </c>
    </row>
    <row r="323" spans="1:7">
      <c r="A323" s="44" t="s">
        <v>2360</v>
      </c>
      <c r="B323" s="44" t="s">
        <v>1532</v>
      </c>
      <c r="C323" s="44" t="s">
        <v>1533</v>
      </c>
      <c r="D323" s="44" t="s">
        <v>2360</v>
      </c>
      <c r="E323" s="44" t="s">
        <v>2361</v>
      </c>
      <c r="F323" s="49" t="s">
        <v>2362</v>
      </c>
    </row>
    <row r="324" spans="1:7">
      <c r="A324" s="47" t="s">
        <v>2363</v>
      </c>
      <c r="B324" s="47" t="s">
        <v>1532</v>
      </c>
      <c r="C324" s="47" t="s">
        <v>1533</v>
      </c>
      <c r="D324" s="47" t="s">
        <v>2363</v>
      </c>
      <c r="E324" s="47" t="s">
        <v>2364</v>
      </c>
      <c r="F324" s="48" t="s">
        <v>2365</v>
      </c>
    </row>
    <row r="325" spans="1:7">
      <c r="A325" s="44" t="s">
        <v>2366</v>
      </c>
      <c r="B325" s="44" t="s">
        <v>1532</v>
      </c>
      <c r="C325" s="44" t="s">
        <v>1533</v>
      </c>
      <c r="D325" s="44" t="s">
        <v>2366</v>
      </c>
      <c r="E325" s="44" t="s">
        <v>2367</v>
      </c>
      <c r="F325" s="49" t="s">
        <v>2368</v>
      </c>
    </row>
    <row r="326" spans="1:7">
      <c r="A326" s="47" t="s">
        <v>2369</v>
      </c>
      <c r="B326" s="47" t="s">
        <v>1532</v>
      </c>
      <c r="C326" s="47" t="s">
        <v>1533</v>
      </c>
      <c r="D326" s="47" t="s">
        <v>2369</v>
      </c>
      <c r="E326" s="47" t="s">
        <v>2370</v>
      </c>
      <c r="F326" s="48" t="s">
        <v>2371</v>
      </c>
    </row>
    <row r="327" spans="1:7">
      <c r="A327" s="44" t="s">
        <v>2372</v>
      </c>
      <c r="B327" s="44" t="s">
        <v>1532</v>
      </c>
      <c r="C327" s="44" t="s">
        <v>1533</v>
      </c>
      <c r="D327" s="44" t="s">
        <v>2372</v>
      </c>
      <c r="E327" s="44" t="s">
        <v>2373</v>
      </c>
      <c r="F327" s="49" t="s">
        <v>2374</v>
      </c>
    </row>
    <row r="328" spans="1:7">
      <c r="A328" s="35" t="s">
        <v>2375</v>
      </c>
      <c r="B328" s="35" t="s">
        <v>1532</v>
      </c>
      <c r="C328" s="35" t="s">
        <v>1533</v>
      </c>
      <c r="D328" s="35" t="s">
        <v>2375</v>
      </c>
      <c r="E328" s="35" t="s">
        <v>2376</v>
      </c>
      <c r="F328" s="36" t="s">
        <v>2377</v>
      </c>
    </row>
    <row r="329" spans="1:7">
      <c r="A329" s="39" t="s">
        <v>2378</v>
      </c>
      <c r="B329" s="39" t="s">
        <v>2379</v>
      </c>
      <c r="C329" s="39" t="s">
        <v>2380</v>
      </c>
      <c r="D329" s="50" t="s">
        <v>2378</v>
      </c>
      <c r="E329" s="50" t="s">
        <v>2381</v>
      </c>
      <c r="F329" s="50" t="s">
        <v>2382</v>
      </c>
      <c r="G329" s="51"/>
    </row>
    <row r="330" spans="1:7">
      <c r="A330" s="41" t="s">
        <v>2383</v>
      </c>
      <c r="B330" s="41" t="s">
        <v>2379</v>
      </c>
      <c r="C330" s="41" t="s">
        <v>2380</v>
      </c>
      <c r="D330" s="52" t="s">
        <v>2383</v>
      </c>
      <c r="E330" s="52" t="s">
        <v>2384</v>
      </c>
      <c r="F330" s="52" t="s">
        <v>2385</v>
      </c>
      <c r="G330" s="42"/>
    </row>
    <row r="331" spans="1:7">
      <c r="A331" s="39" t="s">
        <v>2386</v>
      </c>
      <c r="B331" s="39" t="s">
        <v>2379</v>
      </c>
      <c r="C331" s="39" t="s">
        <v>2380</v>
      </c>
      <c r="D331" s="50" t="s">
        <v>2386</v>
      </c>
      <c r="E331" s="50" t="s">
        <v>2387</v>
      </c>
      <c r="F331" s="50" t="s">
        <v>2388</v>
      </c>
      <c r="G331" s="51"/>
    </row>
    <row r="332" spans="1:7">
      <c r="A332" s="41" t="s">
        <v>2389</v>
      </c>
      <c r="B332" s="41" t="s">
        <v>2379</v>
      </c>
      <c r="C332" s="41" t="s">
        <v>2380</v>
      </c>
      <c r="D332" s="52" t="s">
        <v>2389</v>
      </c>
      <c r="E332" s="52" t="s">
        <v>2390</v>
      </c>
      <c r="F332" s="52" t="s">
        <v>2391</v>
      </c>
      <c r="G332" s="42"/>
    </row>
    <row r="333" spans="1:7">
      <c r="A333" s="39" t="s">
        <v>2392</v>
      </c>
      <c r="B333" s="39" t="s">
        <v>2379</v>
      </c>
      <c r="C333" s="39" t="s">
        <v>2380</v>
      </c>
      <c r="D333" s="50" t="s">
        <v>2392</v>
      </c>
      <c r="E333" s="50" t="s">
        <v>2393</v>
      </c>
      <c r="F333" s="50" t="s">
        <v>2394</v>
      </c>
      <c r="G333" s="51"/>
    </row>
    <row r="334" spans="1:7">
      <c r="A334" s="41" t="s">
        <v>2395</v>
      </c>
      <c r="B334" s="41" t="s">
        <v>2379</v>
      </c>
      <c r="C334" s="41" t="s">
        <v>2380</v>
      </c>
      <c r="D334" s="52" t="s">
        <v>2395</v>
      </c>
      <c r="E334" s="52" t="s">
        <v>2396</v>
      </c>
      <c r="F334" s="52" t="s">
        <v>2397</v>
      </c>
      <c r="G334" s="42"/>
    </row>
    <row r="335" spans="1:7">
      <c r="A335" s="39" t="s">
        <v>2398</v>
      </c>
      <c r="B335" s="39" t="s">
        <v>2379</v>
      </c>
      <c r="C335" s="39" t="s">
        <v>2380</v>
      </c>
      <c r="D335" s="50" t="s">
        <v>2398</v>
      </c>
      <c r="E335" s="50" t="s">
        <v>2399</v>
      </c>
      <c r="F335" s="50" t="s">
        <v>2400</v>
      </c>
      <c r="G335" s="51"/>
    </row>
    <row r="336" spans="1:7">
      <c r="A336" s="41" t="s">
        <v>2401</v>
      </c>
      <c r="B336" s="41" t="s">
        <v>2379</v>
      </c>
      <c r="C336" s="41" t="s">
        <v>2380</v>
      </c>
      <c r="D336" s="52" t="s">
        <v>2401</v>
      </c>
      <c r="E336" s="52" t="s">
        <v>2402</v>
      </c>
      <c r="F336" s="52" t="s">
        <v>2403</v>
      </c>
      <c r="G336" s="42"/>
    </row>
    <row r="337" spans="1:7">
      <c r="A337" s="39" t="s">
        <v>2404</v>
      </c>
      <c r="B337" s="39" t="s">
        <v>2379</v>
      </c>
      <c r="C337" s="39" t="s">
        <v>2380</v>
      </c>
      <c r="D337" s="50" t="s">
        <v>2404</v>
      </c>
      <c r="E337" s="50" t="s">
        <v>2405</v>
      </c>
      <c r="F337" s="50" t="s">
        <v>2406</v>
      </c>
      <c r="G337" s="51"/>
    </row>
    <row r="338" spans="1:7">
      <c r="A338" s="41" t="s">
        <v>2407</v>
      </c>
      <c r="B338" s="41" t="s">
        <v>2379</v>
      </c>
      <c r="C338" s="41" t="s">
        <v>2380</v>
      </c>
      <c r="D338" s="52" t="s">
        <v>2407</v>
      </c>
      <c r="E338" s="52" t="s">
        <v>2408</v>
      </c>
      <c r="F338" s="52" t="s">
        <v>2409</v>
      </c>
      <c r="G338" s="42"/>
    </row>
    <row r="339" spans="1:7">
      <c r="A339" s="39" t="s">
        <v>2410</v>
      </c>
      <c r="B339" s="39" t="s">
        <v>2379</v>
      </c>
      <c r="C339" s="39" t="s">
        <v>2380</v>
      </c>
      <c r="D339" s="50" t="s">
        <v>2410</v>
      </c>
      <c r="E339" s="50" t="s">
        <v>2411</v>
      </c>
      <c r="F339" s="50" t="s">
        <v>2412</v>
      </c>
      <c r="G339" s="51"/>
    </row>
    <row r="340" spans="1:7">
      <c r="A340" s="41" t="s">
        <v>2413</v>
      </c>
      <c r="B340" s="41" t="s">
        <v>2379</v>
      </c>
      <c r="C340" s="41" t="s">
        <v>2380</v>
      </c>
      <c r="D340" s="52" t="s">
        <v>2413</v>
      </c>
      <c r="E340" s="52" t="s">
        <v>2414</v>
      </c>
      <c r="F340" s="52" t="s">
        <v>2415</v>
      </c>
      <c r="G340" s="42"/>
    </row>
    <row r="341" spans="1:7">
      <c r="A341" s="39" t="s">
        <v>2416</v>
      </c>
      <c r="B341" s="39" t="s">
        <v>2379</v>
      </c>
      <c r="C341" s="39" t="s">
        <v>2380</v>
      </c>
      <c r="D341" s="50" t="s">
        <v>2416</v>
      </c>
      <c r="E341" s="50" t="s">
        <v>2417</v>
      </c>
      <c r="F341" s="50" t="s">
        <v>2418</v>
      </c>
      <c r="G341" s="51"/>
    </row>
    <row r="342" spans="1:7">
      <c r="A342" s="41" t="s">
        <v>2419</v>
      </c>
      <c r="B342" s="41" t="s">
        <v>2379</v>
      </c>
      <c r="C342" s="41" t="s">
        <v>2380</v>
      </c>
      <c r="D342" s="52" t="s">
        <v>2419</v>
      </c>
      <c r="E342" s="52" t="s">
        <v>2420</v>
      </c>
      <c r="F342" s="52" t="s">
        <v>2421</v>
      </c>
      <c r="G342" s="42"/>
    </row>
    <row r="343" spans="1:7">
      <c r="A343" s="39" t="s">
        <v>2422</v>
      </c>
      <c r="B343" s="39" t="s">
        <v>2379</v>
      </c>
      <c r="C343" s="39" t="s">
        <v>2380</v>
      </c>
      <c r="D343" s="50" t="s">
        <v>2422</v>
      </c>
      <c r="E343" s="50" t="s">
        <v>2423</v>
      </c>
      <c r="F343" s="50" t="s">
        <v>2424</v>
      </c>
      <c r="G343" s="51"/>
    </row>
    <row r="344" spans="1:7">
      <c r="A344" s="41" t="s">
        <v>2425</v>
      </c>
      <c r="B344" s="41" t="s">
        <v>2379</v>
      </c>
      <c r="C344" s="41" t="s">
        <v>2380</v>
      </c>
      <c r="D344" s="52" t="s">
        <v>2425</v>
      </c>
      <c r="E344" s="52" t="s">
        <v>2426</v>
      </c>
      <c r="F344" s="52" t="s">
        <v>2427</v>
      </c>
      <c r="G344" s="42"/>
    </row>
    <row r="345" spans="1:7">
      <c r="A345" s="39" t="s">
        <v>2428</v>
      </c>
      <c r="B345" s="39" t="s">
        <v>2379</v>
      </c>
      <c r="C345" s="39" t="s">
        <v>2380</v>
      </c>
      <c r="D345" s="50" t="s">
        <v>2428</v>
      </c>
      <c r="E345" s="50" t="s">
        <v>2429</v>
      </c>
      <c r="F345" s="50" t="s">
        <v>2430</v>
      </c>
      <c r="G345" s="51"/>
    </row>
    <row r="346" spans="1:7">
      <c r="A346" s="41" t="s">
        <v>2431</v>
      </c>
      <c r="B346" s="41" t="s">
        <v>2379</v>
      </c>
      <c r="C346" s="41" t="s">
        <v>2380</v>
      </c>
      <c r="D346" s="52" t="s">
        <v>2431</v>
      </c>
      <c r="E346" s="52" t="s">
        <v>2432</v>
      </c>
      <c r="F346" s="52" t="s">
        <v>2433</v>
      </c>
      <c r="G346" s="42"/>
    </row>
    <row r="347" spans="1:7">
      <c r="A347" s="39" t="s">
        <v>2434</v>
      </c>
      <c r="B347" s="39" t="s">
        <v>2379</v>
      </c>
      <c r="C347" s="39" t="s">
        <v>2380</v>
      </c>
      <c r="D347" s="50" t="s">
        <v>2434</v>
      </c>
      <c r="E347" s="50" t="s">
        <v>2435</v>
      </c>
      <c r="F347" s="50" t="s">
        <v>2436</v>
      </c>
      <c r="G347" s="51"/>
    </row>
    <row r="348" spans="1:7">
      <c r="A348" s="41" t="s">
        <v>2437</v>
      </c>
      <c r="B348" s="41" t="s">
        <v>2379</v>
      </c>
      <c r="C348" s="41" t="s">
        <v>2380</v>
      </c>
      <c r="D348" s="52" t="s">
        <v>2437</v>
      </c>
      <c r="E348" s="52" t="s">
        <v>2438</v>
      </c>
      <c r="F348" s="52" t="s">
        <v>2439</v>
      </c>
      <c r="G348" s="42"/>
    </row>
    <row r="349" spans="1:7">
      <c r="A349" s="39" t="s">
        <v>2440</v>
      </c>
      <c r="B349" s="39" t="s">
        <v>2379</v>
      </c>
      <c r="C349" s="39" t="s">
        <v>2380</v>
      </c>
      <c r="D349" s="50" t="s">
        <v>2440</v>
      </c>
      <c r="E349" s="50" t="s">
        <v>2441</v>
      </c>
      <c r="F349" s="50" t="s">
        <v>2442</v>
      </c>
      <c r="G349" s="51"/>
    </row>
    <row r="350" spans="1:7">
      <c r="A350" s="41" t="s">
        <v>2443</v>
      </c>
      <c r="B350" s="41" t="s">
        <v>2379</v>
      </c>
      <c r="C350" s="41" t="s">
        <v>2380</v>
      </c>
      <c r="D350" s="52" t="s">
        <v>2443</v>
      </c>
      <c r="E350" s="52" t="s">
        <v>2444</v>
      </c>
      <c r="F350" s="52" t="s">
        <v>2445</v>
      </c>
      <c r="G350" s="42"/>
    </row>
    <row r="351" spans="1:7">
      <c r="A351" s="39" t="s">
        <v>2446</v>
      </c>
      <c r="B351" s="39" t="s">
        <v>2379</v>
      </c>
      <c r="C351" s="39" t="s">
        <v>2380</v>
      </c>
      <c r="D351" s="50" t="s">
        <v>2446</v>
      </c>
      <c r="E351" s="50" t="s">
        <v>2447</v>
      </c>
      <c r="F351" s="50" t="s">
        <v>2448</v>
      </c>
      <c r="G351" s="51"/>
    </row>
    <row r="352" spans="1:7">
      <c r="A352" s="41" t="s">
        <v>2449</v>
      </c>
      <c r="B352" s="41" t="s">
        <v>2379</v>
      </c>
      <c r="C352" s="41" t="s">
        <v>2380</v>
      </c>
      <c r="D352" s="52" t="s">
        <v>2449</v>
      </c>
      <c r="E352" s="52" t="s">
        <v>2450</v>
      </c>
      <c r="F352" s="52" t="s">
        <v>2451</v>
      </c>
      <c r="G352" s="42"/>
    </row>
    <row r="353" spans="1:7">
      <c r="A353" s="39" t="s">
        <v>2452</v>
      </c>
      <c r="B353" s="39" t="s">
        <v>2379</v>
      </c>
      <c r="C353" s="39" t="s">
        <v>2380</v>
      </c>
      <c r="D353" s="50" t="s">
        <v>2452</v>
      </c>
      <c r="E353" s="50" t="s">
        <v>2453</v>
      </c>
      <c r="F353" s="50" t="s">
        <v>2454</v>
      </c>
      <c r="G353" s="51"/>
    </row>
    <row r="354" spans="1:7">
      <c r="A354" s="41" t="s">
        <v>2455</v>
      </c>
      <c r="B354" s="41" t="s">
        <v>2379</v>
      </c>
      <c r="C354" s="41" t="s">
        <v>2380</v>
      </c>
      <c r="D354" s="52" t="s">
        <v>2455</v>
      </c>
      <c r="E354" s="52" t="s">
        <v>2456</v>
      </c>
      <c r="F354" s="52" t="s">
        <v>2457</v>
      </c>
      <c r="G354" s="42"/>
    </row>
    <row r="355" spans="1:7">
      <c r="A355" s="39" t="s">
        <v>2458</v>
      </c>
      <c r="B355" s="39" t="s">
        <v>2379</v>
      </c>
      <c r="C355" s="39" t="s">
        <v>2380</v>
      </c>
      <c r="D355" s="50" t="s">
        <v>2458</v>
      </c>
      <c r="E355" s="50" t="s">
        <v>2459</v>
      </c>
      <c r="F355" s="50" t="s">
        <v>2460</v>
      </c>
      <c r="G355" s="51"/>
    </row>
    <row r="356" spans="1:7">
      <c r="A356" s="41" t="s">
        <v>2461</v>
      </c>
      <c r="B356" s="41" t="s">
        <v>2379</v>
      </c>
      <c r="C356" s="41" t="s">
        <v>2380</v>
      </c>
      <c r="D356" s="52" t="s">
        <v>2461</v>
      </c>
      <c r="E356" s="52" t="s">
        <v>2462</v>
      </c>
      <c r="F356" s="52" t="s">
        <v>2463</v>
      </c>
      <c r="G356" s="42"/>
    </row>
    <row r="357" spans="1:7">
      <c r="A357" s="39" t="s">
        <v>2464</v>
      </c>
      <c r="B357" s="39" t="s">
        <v>2379</v>
      </c>
      <c r="C357" s="39" t="s">
        <v>2380</v>
      </c>
      <c r="D357" s="50" t="s">
        <v>2464</v>
      </c>
      <c r="E357" s="50" t="s">
        <v>2465</v>
      </c>
      <c r="F357" s="50" t="s">
        <v>2466</v>
      </c>
      <c r="G357" s="51"/>
    </row>
    <row r="358" spans="1:7">
      <c r="A358" s="41" t="s">
        <v>2467</v>
      </c>
      <c r="B358" s="41" t="s">
        <v>2379</v>
      </c>
      <c r="C358" s="41" t="s">
        <v>2380</v>
      </c>
      <c r="D358" s="52" t="s">
        <v>2467</v>
      </c>
      <c r="E358" s="52" t="s">
        <v>2468</v>
      </c>
      <c r="F358" s="52" t="s">
        <v>2469</v>
      </c>
      <c r="G358" s="42"/>
    </row>
    <row r="359" spans="1:7">
      <c r="A359" s="39" t="s">
        <v>2470</v>
      </c>
      <c r="B359" s="39" t="s">
        <v>2379</v>
      </c>
      <c r="C359" s="39" t="s">
        <v>2380</v>
      </c>
      <c r="D359" s="50" t="s">
        <v>2470</v>
      </c>
      <c r="E359" s="50" t="s">
        <v>2471</v>
      </c>
      <c r="F359" s="50" t="s">
        <v>2472</v>
      </c>
      <c r="G359" s="51"/>
    </row>
    <row r="360" spans="1:7">
      <c r="A360" s="41" t="s">
        <v>2473</v>
      </c>
      <c r="B360" s="41" t="s">
        <v>2379</v>
      </c>
      <c r="C360" s="41" t="s">
        <v>2380</v>
      </c>
      <c r="D360" s="52" t="s">
        <v>2473</v>
      </c>
      <c r="E360" s="52" t="s">
        <v>2474</v>
      </c>
      <c r="F360" s="52" t="s">
        <v>2475</v>
      </c>
      <c r="G360" s="42"/>
    </row>
    <row r="361" spans="1:7">
      <c r="A361" s="39" t="s">
        <v>2476</v>
      </c>
      <c r="B361" s="39" t="s">
        <v>2379</v>
      </c>
      <c r="C361" s="39" t="s">
        <v>2380</v>
      </c>
      <c r="D361" s="50" t="s">
        <v>2476</v>
      </c>
      <c r="E361" s="50" t="s">
        <v>2477</v>
      </c>
      <c r="F361" s="50" t="s">
        <v>2478</v>
      </c>
      <c r="G361" s="51"/>
    </row>
    <row r="362" spans="1:7">
      <c r="A362" s="41" t="s">
        <v>2479</v>
      </c>
      <c r="B362" s="41" t="s">
        <v>2379</v>
      </c>
      <c r="C362" s="41" t="s">
        <v>2380</v>
      </c>
      <c r="D362" s="52" t="s">
        <v>2479</v>
      </c>
      <c r="E362" s="52" t="s">
        <v>2480</v>
      </c>
      <c r="F362" s="52" t="s">
        <v>2481</v>
      </c>
      <c r="G362" s="42"/>
    </row>
    <row r="363" spans="1:7">
      <c r="A363" s="39" t="s">
        <v>2482</v>
      </c>
      <c r="B363" s="39" t="s">
        <v>2379</v>
      </c>
      <c r="C363" s="39" t="s">
        <v>2380</v>
      </c>
      <c r="D363" s="50" t="s">
        <v>2482</v>
      </c>
      <c r="E363" s="50" t="s">
        <v>2483</v>
      </c>
      <c r="F363" s="50" t="s">
        <v>2484</v>
      </c>
      <c r="G363" s="51"/>
    </row>
    <row r="364" spans="1:7">
      <c r="A364" s="41" t="s">
        <v>2485</v>
      </c>
      <c r="B364" s="41" t="s">
        <v>2379</v>
      </c>
      <c r="C364" s="41" t="s">
        <v>2380</v>
      </c>
      <c r="D364" s="52" t="s">
        <v>2485</v>
      </c>
      <c r="E364" s="52" t="s">
        <v>2486</v>
      </c>
      <c r="F364" s="52" t="s">
        <v>2487</v>
      </c>
      <c r="G364" s="42"/>
    </row>
    <row r="365" spans="1:7">
      <c r="A365" s="39" t="s">
        <v>2488</v>
      </c>
      <c r="B365" s="39" t="s">
        <v>2379</v>
      </c>
      <c r="C365" s="39" t="s">
        <v>2380</v>
      </c>
      <c r="D365" s="50" t="s">
        <v>2488</v>
      </c>
      <c r="E365" s="50" t="s">
        <v>2489</v>
      </c>
      <c r="F365" s="50" t="s">
        <v>2490</v>
      </c>
      <c r="G365" s="51"/>
    </row>
    <row r="366" spans="1:7">
      <c r="A366" s="39" t="s">
        <v>4768</v>
      </c>
      <c r="B366" s="39" t="s">
        <v>2379</v>
      </c>
      <c r="C366" s="39" t="s">
        <v>2380</v>
      </c>
      <c r="D366" s="50" t="s">
        <v>4768</v>
      </c>
      <c r="E366" s="249" t="s">
        <v>4769</v>
      </c>
      <c r="F366" s="50" t="s">
        <v>4770</v>
      </c>
      <c r="G366" s="51"/>
    </row>
    <row r="367" spans="1:7">
      <c r="A367" s="41" t="s">
        <v>2491</v>
      </c>
      <c r="B367" s="41" t="s">
        <v>2379</v>
      </c>
      <c r="C367" s="41" t="s">
        <v>2380</v>
      </c>
      <c r="D367" s="52" t="s">
        <v>2491</v>
      </c>
      <c r="E367" s="52" t="s">
        <v>2492</v>
      </c>
      <c r="F367" s="52" t="s">
        <v>2493</v>
      </c>
      <c r="G367" s="42"/>
    </row>
    <row r="368" spans="1:7">
      <c r="A368" s="39" t="s">
        <v>2494</v>
      </c>
      <c r="B368" s="39" t="s">
        <v>2379</v>
      </c>
      <c r="C368" s="39" t="s">
        <v>2380</v>
      </c>
      <c r="D368" s="50" t="s">
        <v>2494</v>
      </c>
      <c r="E368" s="50" t="s">
        <v>2495</v>
      </c>
      <c r="F368" s="50" t="s">
        <v>2496</v>
      </c>
      <c r="G368" s="51"/>
    </row>
    <row r="369" spans="1:7">
      <c r="A369" s="41" t="s">
        <v>2497</v>
      </c>
      <c r="B369" s="41" t="s">
        <v>2379</v>
      </c>
      <c r="C369" s="41" t="s">
        <v>2380</v>
      </c>
      <c r="D369" s="52" t="s">
        <v>2497</v>
      </c>
      <c r="E369" s="52" t="s">
        <v>2498</v>
      </c>
      <c r="F369" s="52" t="s">
        <v>2499</v>
      </c>
      <c r="G369" s="42"/>
    </row>
    <row r="370" spans="1:7">
      <c r="A370" s="39" t="s">
        <v>2500</v>
      </c>
      <c r="B370" s="39" t="s">
        <v>2379</v>
      </c>
      <c r="C370" s="39" t="s">
        <v>2380</v>
      </c>
      <c r="D370" s="50" t="s">
        <v>2500</v>
      </c>
      <c r="E370" s="50" t="s">
        <v>2501</v>
      </c>
      <c r="F370" s="50" t="s">
        <v>2502</v>
      </c>
      <c r="G370" s="51"/>
    </row>
    <row r="371" spans="1:7">
      <c r="A371" s="41" t="s">
        <v>2503</v>
      </c>
      <c r="B371" s="41" t="s">
        <v>2379</v>
      </c>
      <c r="C371" s="41" t="s">
        <v>2380</v>
      </c>
      <c r="D371" s="52" t="s">
        <v>2503</v>
      </c>
      <c r="E371" s="52" t="s">
        <v>2504</v>
      </c>
      <c r="F371" s="52" t="s">
        <v>2505</v>
      </c>
      <c r="G371" s="42"/>
    </row>
    <row r="372" spans="1:7">
      <c r="A372" s="39" t="s">
        <v>2506</v>
      </c>
      <c r="B372" s="39" t="s">
        <v>2379</v>
      </c>
      <c r="C372" s="39" t="s">
        <v>2380</v>
      </c>
      <c r="D372" s="50" t="s">
        <v>2506</v>
      </c>
      <c r="E372" s="50" t="s">
        <v>2507</v>
      </c>
      <c r="F372" s="50" t="s">
        <v>2508</v>
      </c>
      <c r="G372" s="51"/>
    </row>
    <row r="373" spans="1:7">
      <c r="A373" s="41" t="s">
        <v>2509</v>
      </c>
      <c r="B373" s="41" t="s">
        <v>2379</v>
      </c>
      <c r="C373" s="41" t="s">
        <v>2380</v>
      </c>
      <c r="D373" s="52" t="s">
        <v>2509</v>
      </c>
      <c r="E373" s="52" t="s">
        <v>2510</v>
      </c>
      <c r="F373" s="52" t="s">
        <v>2511</v>
      </c>
      <c r="G373" s="42"/>
    </row>
    <row r="374" spans="1:7">
      <c r="A374" s="39" t="s">
        <v>2512</v>
      </c>
      <c r="B374" s="39" t="s">
        <v>2379</v>
      </c>
      <c r="C374" s="39" t="s">
        <v>2380</v>
      </c>
      <c r="D374" s="50" t="s">
        <v>2512</v>
      </c>
      <c r="E374" s="50" t="s">
        <v>2513</v>
      </c>
      <c r="F374" s="50" t="s">
        <v>2514</v>
      </c>
      <c r="G374" s="51"/>
    </row>
    <row r="375" spans="1:7">
      <c r="A375" s="41" t="s">
        <v>2515</v>
      </c>
      <c r="B375" s="41" t="s">
        <v>2379</v>
      </c>
      <c r="C375" s="41" t="s">
        <v>2380</v>
      </c>
      <c r="D375" s="52" t="s">
        <v>2515</v>
      </c>
      <c r="E375" s="52" t="s">
        <v>2516</v>
      </c>
      <c r="F375" s="52" t="s">
        <v>2517</v>
      </c>
      <c r="G375" s="42"/>
    </row>
    <row r="376" spans="1:7">
      <c r="A376" s="39" t="s">
        <v>2518</v>
      </c>
      <c r="B376" s="39" t="s">
        <v>2379</v>
      </c>
      <c r="C376" s="39" t="s">
        <v>2380</v>
      </c>
      <c r="D376" s="50" t="s">
        <v>2518</v>
      </c>
      <c r="E376" s="50" t="s">
        <v>2519</v>
      </c>
      <c r="F376" s="50" t="s">
        <v>2520</v>
      </c>
      <c r="G376" s="51"/>
    </row>
    <row r="377" spans="1:7">
      <c r="A377" s="41" t="s">
        <v>2521</v>
      </c>
      <c r="B377" s="41" t="s">
        <v>2379</v>
      </c>
      <c r="C377" s="41" t="s">
        <v>2380</v>
      </c>
      <c r="D377" s="52" t="s">
        <v>2521</v>
      </c>
      <c r="E377" s="52" t="s">
        <v>2522</v>
      </c>
      <c r="F377" s="52" t="s">
        <v>2523</v>
      </c>
      <c r="G377" s="42"/>
    </row>
    <row r="378" spans="1:7">
      <c r="A378" s="39" t="s">
        <v>2524</v>
      </c>
      <c r="B378" s="39" t="s">
        <v>2379</v>
      </c>
      <c r="C378" s="39" t="s">
        <v>2380</v>
      </c>
      <c r="D378" s="50" t="s">
        <v>2524</v>
      </c>
      <c r="E378" s="50" t="s">
        <v>2525</v>
      </c>
      <c r="F378" s="50" t="s">
        <v>2526</v>
      </c>
      <c r="G378" s="51"/>
    </row>
    <row r="379" spans="1:7">
      <c r="A379" s="41" t="s">
        <v>2527</v>
      </c>
      <c r="B379" s="41" t="s">
        <v>2379</v>
      </c>
      <c r="C379" s="41" t="s">
        <v>2380</v>
      </c>
      <c r="D379" s="52" t="s">
        <v>2527</v>
      </c>
      <c r="E379" s="52" t="s">
        <v>2528</v>
      </c>
      <c r="F379" s="52" t="s">
        <v>2529</v>
      </c>
      <c r="G379" s="42"/>
    </row>
    <row r="380" spans="1:7">
      <c r="A380" s="39" t="s">
        <v>2530</v>
      </c>
      <c r="B380" s="39" t="s">
        <v>2379</v>
      </c>
      <c r="C380" s="39" t="s">
        <v>2380</v>
      </c>
      <c r="D380" s="50" t="s">
        <v>2530</v>
      </c>
      <c r="E380" s="50" t="s">
        <v>2531</v>
      </c>
      <c r="F380" s="50" t="s">
        <v>2532</v>
      </c>
      <c r="G380" s="51"/>
    </row>
    <row r="381" spans="1:7">
      <c r="A381" s="41" t="s">
        <v>2533</v>
      </c>
      <c r="B381" s="41" t="s">
        <v>2379</v>
      </c>
      <c r="C381" s="41" t="s">
        <v>2380</v>
      </c>
      <c r="D381" s="52" t="s">
        <v>2533</v>
      </c>
      <c r="E381" s="52" t="s">
        <v>2534</v>
      </c>
      <c r="F381" s="52" t="s">
        <v>2535</v>
      </c>
      <c r="G381" s="42"/>
    </row>
    <row r="382" spans="1:7">
      <c r="A382" s="39" t="s">
        <v>2536</v>
      </c>
      <c r="B382" s="39" t="s">
        <v>2379</v>
      </c>
      <c r="C382" s="39" t="s">
        <v>2380</v>
      </c>
      <c r="D382" s="50" t="s">
        <v>2536</v>
      </c>
      <c r="E382" s="50" t="s">
        <v>2537</v>
      </c>
      <c r="F382" s="50" t="s">
        <v>2538</v>
      </c>
      <c r="G382" s="51"/>
    </row>
    <row r="383" spans="1:7">
      <c r="A383" s="41" t="s">
        <v>2539</v>
      </c>
      <c r="B383" s="41" t="s">
        <v>2379</v>
      </c>
      <c r="C383" s="41" t="s">
        <v>2380</v>
      </c>
      <c r="D383" s="52" t="s">
        <v>2539</v>
      </c>
      <c r="E383" s="52" t="s">
        <v>2540</v>
      </c>
      <c r="F383" s="52" t="s">
        <v>2541</v>
      </c>
      <c r="G383" s="42"/>
    </row>
    <row r="384" spans="1:7">
      <c r="A384" s="39" t="s">
        <v>2542</v>
      </c>
      <c r="B384" s="39" t="s">
        <v>2379</v>
      </c>
      <c r="C384" s="39" t="s">
        <v>2380</v>
      </c>
      <c r="D384" s="50" t="s">
        <v>2542</v>
      </c>
      <c r="E384" s="50" t="s">
        <v>2543</v>
      </c>
      <c r="F384" s="50" t="s">
        <v>2544</v>
      </c>
      <c r="G384" s="51"/>
    </row>
    <row r="385" spans="1:7">
      <c r="A385" s="41" t="s">
        <v>2545</v>
      </c>
      <c r="B385" s="41" t="s">
        <v>2379</v>
      </c>
      <c r="C385" s="41" t="s">
        <v>2380</v>
      </c>
      <c r="D385" s="52" t="s">
        <v>2545</v>
      </c>
      <c r="E385" s="52" t="s">
        <v>2546</v>
      </c>
      <c r="F385" s="52" t="s">
        <v>2547</v>
      </c>
      <c r="G385" s="42"/>
    </row>
    <row r="386" spans="1:7">
      <c r="A386" s="39" t="s">
        <v>2548</v>
      </c>
      <c r="B386" s="39" t="s">
        <v>2379</v>
      </c>
      <c r="C386" s="39" t="s">
        <v>2380</v>
      </c>
      <c r="D386" s="50" t="s">
        <v>2548</v>
      </c>
      <c r="E386" s="50" t="s">
        <v>2549</v>
      </c>
      <c r="F386" s="50" t="s">
        <v>2550</v>
      </c>
      <c r="G386" s="51"/>
    </row>
    <row r="387" spans="1:7">
      <c r="A387" s="41" t="s">
        <v>2551</v>
      </c>
      <c r="B387" s="41" t="s">
        <v>2379</v>
      </c>
      <c r="C387" s="41" t="s">
        <v>2380</v>
      </c>
      <c r="D387" s="52" t="s">
        <v>2551</v>
      </c>
      <c r="E387" s="52" t="s">
        <v>2552</v>
      </c>
      <c r="F387" s="52" t="s">
        <v>2553</v>
      </c>
      <c r="G387" s="42"/>
    </row>
    <row r="388" spans="1:7">
      <c r="A388" s="39" t="s">
        <v>2554</v>
      </c>
      <c r="B388" s="39" t="s">
        <v>2379</v>
      </c>
      <c r="C388" s="39" t="s">
        <v>2380</v>
      </c>
      <c r="D388" s="50" t="s">
        <v>2554</v>
      </c>
      <c r="E388" s="50" t="s">
        <v>2555</v>
      </c>
      <c r="F388" s="50" t="s">
        <v>2556</v>
      </c>
      <c r="G388" s="51"/>
    </row>
    <row r="389" spans="1:7">
      <c r="A389" s="41" t="s">
        <v>2557</v>
      </c>
      <c r="B389" s="41" t="s">
        <v>2379</v>
      </c>
      <c r="C389" s="41" t="s">
        <v>2380</v>
      </c>
      <c r="D389" s="52" t="s">
        <v>2557</v>
      </c>
      <c r="E389" s="52" t="s">
        <v>2558</v>
      </c>
      <c r="F389" s="52" t="s">
        <v>2559</v>
      </c>
      <c r="G389" s="42"/>
    </row>
    <row r="390" spans="1:7">
      <c r="A390" s="39" t="s">
        <v>2560</v>
      </c>
      <c r="B390" s="39" t="s">
        <v>2379</v>
      </c>
      <c r="C390" s="39" t="s">
        <v>2380</v>
      </c>
      <c r="D390" s="50" t="s">
        <v>2560</v>
      </c>
      <c r="E390" s="50" t="s">
        <v>2561</v>
      </c>
      <c r="F390" s="50" t="s">
        <v>2562</v>
      </c>
      <c r="G390" s="51"/>
    </row>
    <row r="391" spans="1:7">
      <c r="A391" s="41" t="s">
        <v>2563</v>
      </c>
      <c r="B391" s="41" t="s">
        <v>2379</v>
      </c>
      <c r="C391" s="41" t="s">
        <v>2380</v>
      </c>
      <c r="D391" s="52" t="s">
        <v>2563</v>
      </c>
      <c r="E391" s="52" t="s">
        <v>2564</v>
      </c>
      <c r="F391" s="52" t="s">
        <v>2565</v>
      </c>
      <c r="G391" s="42"/>
    </row>
    <row r="392" spans="1:7">
      <c r="A392" s="39" t="s">
        <v>2566</v>
      </c>
      <c r="B392" s="39" t="s">
        <v>2379</v>
      </c>
      <c r="C392" s="39" t="s">
        <v>2380</v>
      </c>
      <c r="D392" s="50" t="s">
        <v>2566</v>
      </c>
      <c r="E392" s="50" t="s">
        <v>2567</v>
      </c>
      <c r="F392" s="50" t="s">
        <v>2568</v>
      </c>
      <c r="G392" s="51"/>
    </row>
    <row r="393" spans="1:7">
      <c r="A393" s="41" t="s">
        <v>2569</v>
      </c>
      <c r="B393" s="41" t="s">
        <v>2379</v>
      </c>
      <c r="C393" s="41" t="s">
        <v>2380</v>
      </c>
      <c r="D393" s="52" t="s">
        <v>2569</v>
      </c>
      <c r="E393" s="52" t="s">
        <v>2570</v>
      </c>
      <c r="F393" s="52" t="s">
        <v>2571</v>
      </c>
      <c r="G393" s="42"/>
    </row>
    <row r="394" spans="1:7">
      <c r="A394" s="39" t="s">
        <v>2572</v>
      </c>
      <c r="B394" s="39" t="s">
        <v>2379</v>
      </c>
      <c r="C394" s="39" t="s">
        <v>2380</v>
      </c>
      <c r="D394" s="50" t="s">
        <v>2572</v>
      </c>
      <c r="E394" s="50" t="s">
        <v>2573</v>
      </c>
      <c r="F394" s="50" t="s">
        <v>2574</v>
      </c>
      <c r="G394" s="51"/>
    </row>
    <row r="395" spans="1:7">
      <c r="A395" s="41" t="s">
        <v>2575</v>
      </c>
      <c r="B395" s="41" t="s">
        <v>2379</v>
      </c>
      <c r="C395" s="41" t="s">
        <v>2380</v>
      </c>
      <c r="D395" s="52" t="s">
        <v>2575</v>
      </c>
      <c r="E395" s="52" t="s">
        <v>2576</v>
      </c>
      <c r="F395" s="52" t="s">
        <v>2577</v>
      </c>
      <c r="G395" s="42"/>
    </row>
    <row r="396" spans="1:7">
      <c r="A396" s="39" t="s">
        <v>2578</v>
      </c>
      <c r="B396" s="39" t="s">
        <v>2379</v>
      </c>
      <c r="C396" s="39" t="s">
        <v>2380</v>
      </c>
      <c r="D396" s="50" t="s">
        <v>2578</v>
      </c>
      <c r="E396" s="50" t="s">
        <v>2579</v>
      </c>
      <c r="F396" s="50" t="s">
        <v>2580</v>
      </c>
      <c r="G396" s="51"/>
    </row>
    <row r="397" spans="1:7">
      <c r="A397" s="41" t="s">
        <v>2581</v>
      </c>
      <c r="B397" s="41" t="s">
        <v>2379</v>
      </c>
      <c r="C397" s="41" t="s">
        <v>2380</v>
      </c>
      <c r="D397" s="52" t="s">
        <v>2581</v>
      </c>
      <c r="E397" s="52" t="s">
        <v>2582</v>
      </c>
      <c r="F397" s="52" t="s">
        <v>2583</v>
      </c>
      <c r="G397" s="42"/>
    </row>
    <row r="398" spans="1:7">
      <c r="A398" s="39" t="s">
        <v>2584</v>
      </c>
      <c r="B398" s="39" t="s">
        <v>2379</v>
      </c>
      <c r="C398" s="39" t="s">
        <v>2380</v>
      </c>
      <c r="D398" s="50" t="s">
        <v>2584</v>
      </c>
      <c r="E398" s="50" t="s">
        <v>2585</v>
      </c>
      <c r="F398" s="50" t="s">
        <v>2586</v>
      </c>
      <c r="G398" s="51"/>
    </row>
    <row r="399" spans="1:7">
      <c r="A399" s="41" t="s">
        <v>2587</v>
      </c>
      <c r="B399" s="41" t="s">
        <v>2379</v>
      </c>
      <c r="C399" s="41" t="s">
        <v>2380</v>
      </c>
      <c r="D399" s="52" t="s">
        <v>2587</v>
      </c>
      <c r="E399" s="52" t="s">
        <v>2588</v>
      </c>
      <c r="F399" s="52" t="s">
        <v>2589</v>
      </c>
      <c r="G399" s="42"/>
    </row>
    <row r="400" spans="1:7">
      <c r="A400" s="39" t="s">
        <v>2590</v>
      </c>
      <c r="B400" s="39" t="s">
        <v>2379</v>
      </c>
      <c r="C400" s="39" t="s">
        <v>2380</v>
      </c>
      <c r="D400" s="50" t="s">
        <v>2590</v>
      </c>
      <c r="E400" s="50" t="s">
        <v>2591</v>
      </c>
      <c r="F400" s="50" t="s">
        <v>2592</v>
      </c>
      <c r="G400" s="51"/>
    </row>
    <row r="401" spans="1:7">
      <c r="A401" s="41" t="s">
        <v>2593</v>
      </c>
      <c r="B401" s="41" t="s">
        <v>2379</v>
      </c>
      <c r="C401" s="41" t="s">
        <v>2380</v>
      </c>
      <c r="D401" s="52" t="s">
        <v>2593</v>
      </c>
      <c r="E401" s="52" t="s">
        <v>2594</v>
      </c>
      <c r="F401" s="52" t="s">
        <v>2595</v>
      </c>
      <c r="G401" s="42"/>
    </row>
    <row r="402" spans="1:7">
      <c r="A402" s="39" t="s">
        <v>2596</v>
      </c>
      <c r="B402" s="39" t="s">
        <v>2379</v>
      </c>
      <c r="C402" s="39" t="s">
        <v>2380</v>
      </c>
      <c r="D402" s="50" t="s">
        <v>2596</v>
      </c>
      <c r="E402" s="50" t="s">
        <v>2597</v>
      </c>
      <c r="F402" s="50" t="s">
        <v>2598</v>
      </c>
      <c r="G402" s="51"/>
    </row>
    <row r="403" spans="1:7">
      <c r="A403" s="41" t="s">
        <v>2599</v>
      </c>
      <c r="B403" s="41" t="s">
        <v>2379</v>
      </c>
      <c r="C403" s="41" t="s">
        <v>2380</v>
      </c>
      <c r="D403" s="52" t="s">
        <v>2599</v>
      </c>
      <c r="E403" s="52" t="s">
        <v>2600</v>
      </c>
      <c r="F403" s="52" t="s">
        <v>2601</v>
      </c>
      <c r="G403" s="42"/>
    </row>
    <row r="404" spans="1:7">
      <c r="A404" s="39" t="s">
        <v>2602</v>
      </c>
      <c r="B404" s="39" t="s">
        <v>2379</v>
      </c>
      <c r="C404" s="39" t="s">
        <v>2380</v>
      </c>
      <c r="D404" s="50" t="s">
        <v>2602</v>
      </c>
      <c r="E404" s="50" t="s">
        <v>2603</v>
      </c>
      <c r="F404" s="50" t="s">
        <v>2604</v>
      </c>
      <c r="G404" s="51"/>
    </row>
    <row r="405" spans="1:7">
      <c r="A405" s="41" t="s">
        <v>2605</v>
      </c>
      <c r="B405" s="41" t="s">
        <v>2379</v>
      </c>
      <c r="C405" s="41" t="s">
        <v>2380</v>
      </c>
      <c r="D405" s="52" t="s">
        <v>2605</v>
      </c>
      <c r="E405" s="52" t="s">
        <v>2606</v>
      </c>
      <c r="F405" s="52" t="s">
        <v>2607</v>
      </c>
      <c r="G405" s="42"/>
    </row>
    <row r="406" spans="1:7">
      <c r="A406" s="39" t="s">
        <v>2608</v>
      </c>
      <c r="B406" s="39" t="s">
        <v>2379</v>
      </c>
      <c r="C406" s="39" t="s">
        <v>2380</v>
      </c>
      <c r="D406" s="50" t="s">
        <v>2608</v>
      </c>
      <c r="E406" s="50" t="s">
        <v>2609</v>
      </c>
      <c r="F406" s="50" t="s">
        <v>2610</v>
      </c>
      <c r="G406" s="51"/>
    </row>
    <row r="407" spans="1:7">
      <c r="A407" s="41" t="s">
        <v>2611</v>
      </c>
      <c r="B407" s="41" t="s">
        <v>2379</v>
      </c>
      <c r="C407" s="41" t="s">
        <v>2380</v>
      </c>
      <c r="D407" s="52" t="s">
        <v>2611</v>
      </c>
      <c r="E407" s="52" t="s">
        <v>2612</v>
      </c>
      <c r="F407" s="52" t="s">
        <v>2613</v>
      </c>
      <c r="G407" s="42"/>
    </row>
    <row r="408" spans="1:7">
      <c r="A408" s="39" t="s">
        <v>2614</v>
      </c>
      <c r="B408" s="39" t="s">
        <v>2379</v>
      </c>
      <c r="C408" s="39" t="s">
        <v>2380</v>
      </c>
      <c r="D408" s="50" t="s">
        <v>2614</v>
      </c>
      <c r="E408" s="50" t="s">
        <v>2615</v>
      </c>
      <c r="F408" s="50" t="s">
        <v>2616</v>
      </c>
      <c r="G408" s="51"/>
    </row>
    <row r="409" spans="1:7">
      <c r="A409" s="41" t="s">
        <v>2617</v>
      </c>
      <c r="B409" s="41" t="s">
        <v>2379</v>
      </c>
      <c r="C409" s="41" t="s">
        <v>2380</v>
      </c>
      <c r="D409" s="52" t="s">
        <v>2617</v>
      </c>
      <c r="E409" s="52" t="s">
        <v>2618</v>
      </c>
      <c r="F409" s="52" t="s">
        <v>2619</v>
      </c>
      <c r="G409" s="42"/>
    </row>
    <row r="410" spans="1:7">
      <c r="A410" s="39" t="s">
        <v>2620</v>
      </c>
      <c r="B410" s="39" t="s">
        <v>2379</v>
      </c>
      <c r="C410" s="39" t="s">
        <v>2380</v>
      </c>
      <c r="D410" s="50" t="s">
        <v>2620</v>
      </c>
      <c r="E410" s="50" t="s">
        <v>2621</v>
      </c>
      <c r="F410" s="50" t="s">
        <v>2622</v>
      </c>
      <c r="G410" s="51"/>
    </row>
    <row r="411" spans="1:7">
      <c r="A411" s="41" t="s">
        <v>2623</v>
      </c>
      <c r="B411" s="41" t="s">
        <v>2379</v>
      </c>
      <c r="C411" s="41" t="s">
        <v>2380</v>
      </c>
      <c r="D411" s="52" t="s">
        <v>2623</v>
      </c>
      <c r="E411" s="52" t="s">
        <v>2624</v>
      </c>
      <c r="F411" s="52" t="s">
        <v>2625</v>
      </c>
      <c r="G411" s="42"/>
    </row>
    <row r="412" spans="1:7">
      <c r="A412" s="39" t="s">
        <v>2626</v>
      </c>
      <c r="B412" s="39" t="s">
        <v>2379</v>
      </c>
      <c r="C412" s="39" t="s">
        <v>2380</v>
      </c>
      <c r="D412" s="50" t="s">
        <v>2626</v>
      </c>
      <c r="E412" s="50" t="s">
        <v>2627</v>
      </c>
      <c r="F412" s="50" t="s">
        <v>2628</v>
      </c>
      <c r="G412" s="51"/>
    </row>
    <row r="413" spans="1:7">
      <c r="A413" s="41" t="s">
        <v>2629</v>
      </c>
      <c r="B413" s="41" t="s">
        <v>2379</v>
      </c>
      <c r="C413" s="41" t="s">
        <v>2380</v>
      </c>
      <c r="D413" s="52" t="s">
        <v>2629</v>
      </c>
      <c r="E413" s="52" t="s">
        <v>2630</v>
      </c>
      <c r="F413" s="52" t="s">
        <v>2631</v>
      </c>
      <c r="G413" s="42"/>
    </row>
    <row r="414" spans="1:7">
      <c r="A414" s="39" t="s">
        <v>2632</v>
      </c>
      <c r="B414" s="39" t="s">
        <v>2379</v>
      </c>
      <c r="C414" s="39" t="s">
        <v>2380</v>
      </c>
      <c r="D414" s="50" t="s">
        <v>2632</v>
      </c>
      <c r="E414" s="50" t="s">
        <v>2633</v>
      </c>
      <c r="F414" s="50" t="s">
        <v>2634</v>
      </c>
      <c r="G414" s="51"/>
    </row>
    <row r="415" spans="1:7">
      <c r="A415" s="41" t="s">
        <v>2635</v>
      </c>
      <c r="B415" s="41" t="s">
        <v>2379</v>
      </c>
      <c r="C415" s="41" t="s">
        <v>2380</v>
      </c>
      <c r="D415" s="52" t="s">
        <v>2635</v>
      </c>
      <c r="E415" s="52" t="s">
        <v>2636</v>
      </c>
      <c r="F415" s="52" t="s">
        <v>2637</v>
      </c>
      <c r="G415" s="42"/>
    </row>
    <row r="416" spans="1:7">
      <c r="A416" s="39" t="s">
        <v>2638</v>
      </c>
      <c r="B416" s="39" t="s">
        <v>2379</v>
      </c>
      <c r="C416" s="39" t="s">
        <v>2380</v>
      </c>
      <c r="D416" s="50" t="s">
        <v>2638</v>
      </c>
      <c r="E416" s="50" t="s">
        <v>2639</v>
      </c>
      <c r="F416" s="50" t="s">
        <v>2640</v>
      </c>
      <c r="G416" s="51"/>
    </row>
    <row r="417" spans="1:7">
      <c r="A417" s="41" t="s">
        <v>2641</v>
      </c>
      <c r="B417" s="41" t="s">
        <v>2379</v>
      </c>
      <c r="C417" s="41" t="s">
        <v>2380</v>
      </c>
      <c r="D417" s="52" t="s">
        <v>2641</v>
      </c>
      <c r="E417" s="52" t="s">
        <v>2642</v>
      </c>
      <c r="F417" s="52" t="s">
        <v>2643</v>
      </c>
      <c r="G417" s="42"/>
    </row>
    <row r="418" spans="1:7">
      <c r="A418" s="39" t="s">
        <v>2644</v>
      </c>
      <c r="B418" s="39" t="s">
        <v>2379</v>
      </c>
      <c r="C418" s="39" t="s">
        <v>2380</v>
      </c>
      <c r="D418" s="50" t="s">
        <v>2644</v>
      </c>
      <c r="E418" s="50" t="s">
        <v>2645</v>
      </c>
      <c r="F418" s="50" t="s">
        <v>2646</v>
      </c>
      <c r="G418" s="51"/>
    </row>
    <row r="419" spans="1:7">
      <c r="A419" s="41" t="s">
        <v>2647</v>
      </c>
      <c r="B419" s="41" t="s">
        <v>2379</v>
      </c>
      <c r="C419" s="41" t="s">
        <v>2380</v>
      </c>
      <c r="D419" s="52" t="s">
        <v>2647</v>
      </c>
      <c r="E419" s="52" t="s">
        <v>2648</v>
      </c>
      <c r="F419" s="52" t="s">
        <v>2649</v>
      </c>
      <c r="G419" s="42"/>
    </row>
    <row r="420" spans="1:7">
      <c r="A420" s="39" t="s">
        <v>2650</v>
      </c>
      <c r="B420" s="39" t="s">
        <v>2379</v>
      </c>
      <c r="C420" s="39" t="s">
        <v>2380</v>
      </c>
      <c r="D420" s="50" t="s">
        <v>2650</v>
      </c>
      <c r="E420" s="50" t="s">
        <v>2651</v>
      </c>
      <c r="F420" s="50" t="s">
        <v>2652</v>
      </c>
      <c r="G420" s="51"/>
    </row>
    <row r="421" spans="1:7">
      <c r="A421" s="41" t="s">
        <v>2653</v>
      </c>
      <c r="B421" s="41" t="s">
        <v>2379</v>
      </c>
      <c r="C421" s="41" t="s">
        <v>2380</v>
      </c>
      <c r="D421" s="52" t="s">
        <v>2653</v>
      </c>
      <c r="E421" s="52" t="s">
        <v>2654</v>
      </c>
      <c r="F421" s="52" t="s">
        <v>2655</v>
      </c>
      <c r="G421" s="42"/>
    </row>
    <row r="422" spans="1:7">
      <c r="A422" s="39" t="s">
        <v>2656</v>
      </c>
      <c r="B422" s="39" t="s">
        <v>2379</v>
      </c>
      <c r="C422" s="39" t="s">
        <v>2380</v>
      </c>
      <c r="D422" s="50" t="s">
        <v>2656</v>
      </c>
      <c r="E422" s="50" t="s">
        <v>2657</v>
      </c>
      <c r="F422" s="50" t="s">
        <v>2658</v>
      </c>
      <c r="G422" s="51"/>
    </row>
    <row r="423" spans="1:7">
      <c r="A423" s="41" t="s">
        <v>2659</v>
      </c>
      <c r="B423" s="41" t="s">
        <v>2379</v>
      </c>
      <c r="C423" s="41" t="s">
        <v>2380</v>
      </c>
      <c r="D423" s="52" t="s">
        <v>2659</v>
      </c>
      <c r="E423" s="52" t="s">
        <v>2660</v>
      </c>
      <c r="F423" s="52" t="s">
        <v>2661</v>
      </c>
      <c r="G423" s="42"/>
    </row>
    <row r="424" spans="1:7">
      <c r="A424" s="39" t="s">
        <v>2662</v>
      </c>
      <c r="B424" s="39" t="s">
        <v>2379</v>
      </c>
      <c r="C424" s="39" t="s">
        <v>2380</v>
      </c>
      <c r="D424" s="50" t="s">
        <v>2662</v>
      </c>
      <c r="E424" s="50" t="s">
        <v>2663</v>
      </c>
      <c r="F424" s="50" t="s">
        <v>2664</v>
      </c>
      <c r="G424" s="51"/>
    </row>
    <row r="425" spans="1:7">
      <c r="A425" s="41" t="s">
        <v>2665</v>
      </c>
      <c r="B425" s="41" t="s">
        <v>2379</v>
      </c>
      <c r="C425" s="41" t="s">
        <v>2380</v>
      </c>
      <c r="D425" s="52" t="s">
        <v>2665</v>
      </c>
      <c r="E425" s="52" t="s">
        <v>2666</v>
      </c>
      <c r="F425" s="52" t="s">
        <v>2667</v>
      </c>
      <c r="G425" s="42"/>
    </row>
    <row r="426" spans="1:7">
      <c r="A426" s="39" t="s">
        <v>2668</v>
      </c>
      <c r="B426" s="39" t="s">
        <v>2379</v>
      </c>
      <c r="C426" s="39" t="s">
        <v>2380</v>
      </c>
      <c r="D426" s="50" t="s">
        <v>2668</v>
      </c>
      <c r="E426" s="50" t="s">
        <v>2669</v>
      </c>
      <c r="F426" s="50" t="s">
        <v>2670</v>
      </c>
      <c r="G426" s="51"/>
    </row>
    <row r="427" spans="1:7">
      <c r="A427" s="41" t="s">
        <v>2671</v>
      </c>
      <c r="B427" s="41" t="s">
        <v>2379</v>
      </c>
      <c r="C427" s="41" t="s">
        <v>2380</v>
      </c>
      <c r="D427" s="52" t="s">
        <v>2671</v>
      </c>
      <c r="E427" s="52" t="s">
        <v>2672</v>
      </c>
      <c r="F427" s="52" t="s">
        <v>2673</v>
      </c>
      <c r="G427" s="42"/>
    </row>
    <row r="428" spans="1:7">
      <c r="A428" s="39" t="s">
        <v>2674</v>
      </c>
      <c r="B428" s="39" t="s">
        <v>2379</v>
      </c>
      <c r="C428" s="39" t="s">
        <v>2380</v>
      </c>
      <c r="D428" s="50" t="s">
        <v>2674</v>
      </c>
      <c r="E428" s="50" t="s">
        <v>2675</v>
      </c>
      <c r="F428" s="50" t="s">
        <v>2676</v>
      </c>
      <c r="G428" s="51"/>
    </row>
    <row r="429" spans="1:7">
      <c r="A429" s="41" t="s">
        <v>2677</v>
      </c>
      <c r="B429" s="41" t="s">
        <v>2379</v>
      </c>
      <c r="C429" s="41" t="s">
        <v>2380</v>
      </c>
      <c r="D429" s="52" t="s">
        <v>2677</v>
      </c>
      <c r="E429" s="52" t="s">
        <v>2678</v>
      </c>
      <c r="F429" s="52" t="s">
        <v>2679</v>
      </c>
      <c r="G429" s="42"/>
    </row>
    <row r="430" spans="1:7">
      <c r="A430" s="39" t="s">
        <v>2680</v>
      </c>
      <c r="B430" s="39" t="s">
        <v>2379</v>
      </c>
      <c r="C430" s="39" t="s">
        <v>2380</v>
      </c>
      <c r="D430" s="50" t="s">
        <v>2680</v>
      </c>
      <c r="E430" s="50" t="s">
        <v>2681</v>
      </c>
      <c r="F430" s="50" t="s">
        <v>2682</v>
      </c>
      <c r="G430" s="51"/>
    </row>
    <row r="431" spans="1:7">
      <c r="A431" s="41" t="s">
        <v>2683</v>
      </c>
      <c r="B431" s="41" t="s">
        <v>2379</v>
      </c>
      <c r="C431" s="41" t="s">
        <v>2380</v>
      </c>
      <c r="D431" s="52" t="s">
        <v>2683</v>
      </c>
      <c r="E431" s="52" t="s">
        <v>2684</v>
      </c>
      <c r="F431" s="52" t="s">
        <v>2685</v>
      </c>
      <c r="G431" s="42"/>
    </row>
    <row r="432" spans="1:7">
      <c r="A432" s="39" t="s">
        <v>2686</v>
      </c>
      <c r="B432" s="39" t="s">
        <v>2379</v>
      </c>
      <c r="C432" s="39" t="s">
        <v>2380</v>
      </c>
      <c r="D432" s="50" t="s">
        <v>2686</v>
      </c>
      <c r="E432" s="50" t="s">
        <v>2687</v>
      </c>
      <c r="F432" s="50" t="s">
        <v>2688</v>
      </c>
      <c r="G432" s="51"/>
    </row>
    <row r="433" spans="1:7">
      <c r="A433" s="41" t="s">
        <v>2689</v>
      </c>
      <c r="B433" s="41" t="s">
        <v>2379</v>
      </c>
      <c r="C433" s="41" t="s">
        <v>2380</v>
      </c>
      <c r="D433" s="52" t="s">
        <v>2689</v>
      </c>
      <c r="E433" s="52" t="s">
        <v>2690</v>
      </c>
      <c r="F433" s="52" t="s">
        <v>2691</v>
      </c>
      <c r="G433" s="42"/>
    </row>
    <row r="434" spans="1:7">
      <c r="A434" s="39" t="s">
        <v>2692</v>
      </c>
      <c r="B434" s="39" t="s">
        <v>2379</v>
      </c>
      <c r="C434" s="39" t="s">
        <v>2380</v>
      </c>
      <c r="D434" s="50" t="s">
        <v>2692</v>
      </c>
      <c r="E434" s="50" t="s">
        <v>2693</v>
      </c>
      <c r="F434" s="50" t="s">
        <v>2694</v>
      </c>
      <c r="G434" s="51"/>
    </row>
    <row r="435" spans="1:7">
      <c r="A435" s="41" t="s">
        <v>2695</v>
      </c>
      <c r="B435" s="41" t="s">
        <v>2379</v>
      </c>
      <c r="C435" s="41" t="s">
        <v>2380</v>
      </c>
      <c r="D435" s="52" t="s">
        <v>2695</v>
      </c>
      <c r="E435" s="52" t="s">
        <v>2696</v>
      </c>
      <c r="F435" s="52" t="s">
        <v>2697</v>
      </c>
      <c r="G435" s="42"/>
    </row>
    <row r="436" spans="1:7">
      <c r="A436" s="39" t="s">
        <v>2698</v>
      </c>
      <c r="B436" s="39" t="s">
        <v>2379</v>
      </c>
      <c r="C436" s="39" t="s">
        <v>2380</v>
      </c>
      <c r="D436" s="50" t="s">
        <v>2698</v>
      </c>
      <c r="E436" s="50" t="s">
        <v>2699</v>
      </c>
      <c r="F436" s="50" t="s">
        <v>2700</v>
      </c>
      <c r="G436" s="51"/>
    </row>
    <row r="437" spans="1:7">
      <c r="A437" s="41" t="s">
        <v>2701</v>
      </c>
      <c r="B437" s="41" t="s">
        <v>2379</v>
      </c>
      <c r="C437" s="41" t="s">
        <v>2380</v>
      </c>
      <c r="D437" s="52" t="s">
        <v>2701</v>
      </c>
      <c r="E437" s="52" t="s">
        <v>2702</v>
      </c>
      <c r="F437" s="52" t="s">
        <v>2703</v>
      </c>
      <c r="G437" s="42"/>
    </row>
    <row r="438" spans="1:7">
      <c r="A438" s="39" t="s">
        <v>2704</v>
      </c>
      <c r="B438" s="39" t="s">
        <v>2379</v>
      </c>
      <c r="C438" s="39" t="s">
        <v>2380</v>
      </c>
      <c r="D438" s="50" t="s">
        <v>2704</v>
      </c>
      <c r="E438" s="50" t="s">
        <v>2705</v>
      </c>
      <c r="F438" s="50" t="s">
        <v>2706</v>
      </c>
      <c r="G438" s="51"/>
    </row>
    <row r="439" spans="1:7">
      <c r="A439" s="41" t="s">
        <v>2707</v>
      </c>
      <c r="B439" s="41" t="s">
        <v>2379</v>
      </c>
      <c r="C439" s="41" t="s">
        <v>2380</v>
      </c>
      <c r="D439" s="52" t="s">
        <v>2707</v>
      </c>
      <c r="E439" s="52" t="s">
        <v>2708</v>
      </c>
      <c r="F439" s="52" t="s">
        <v>2709</v>
      </c>
      <c r="G439" s="42"/>
    </row>
    <row r="440" spans="1:7">
      <c r="A440" s="39" t="s">
        <v>2710</v>
      </c>
      <c r="B440" s="39" t="s">
        <v>2379</v>
      </c>
      <c r="C440" s="39" t="s">
        <v>2380</v>
      </c>
      <c r="D440" s="50" t="s">
        <v>2710</v>
      </c>
      <c r="E440" s="50" t="s">
        <v>2711</v>
      </c>
      <c r="F440" s="50" t="s">
        <v>2712</v>
      </c>
      <c r="G440" s="51"/>
    </row>
    <row r="441" spans="1:7">
      <c r="A441" s="41" t="s">
        <v>2713</v>
      </c>
      <c r="B441" s="41" t="s">
        <v>2379</v>
      </c>
      <c r="C441" s="41" t="s">
        <v>2380</v>
      </c>
      <c r="D441" s="52" t="s">
        <v>2713</v>
      </c>
      <c r="E441" s="52" t="s">
        <v>2714</v>
      </c>
      <c r="F441" s="52" t="s">
        <v>2715</v>
      </c>
      <c r="G441" s="42"/>
    </row>
    <row r="442" spans="1:7">
      <c r="A442" s="39" t="s">
        <v>2716</v>
      </c>
      <c r="B442" s="39" t="s">
        <v>2379</v>
      </c>
      <c r="C442" s="39" t="s">
        <v>2380</v>
      </c>
      <c r="D442" s="50" t="s">
        <v>2716</v>
      </c>
      <c r="E442" s="50" t="s">
        <v>2717</v>
      </c>
      <c r="F442" s="50" t="s">
        <v>2718</v>
      </c>
      <c r="G442" s="51"/>
    </row>
    <row r="443" spans="1:7">
      <c r="A443" s="41" t="s">
        <v>2719</v>
      </c>
      <c r="B443" s="41" t="s">
        <v>2379</v>
      </c>
      <c r="C443" s="41" t="s">
        <v>2380</v>
      </c>
      <c r="D443" s="52" t="s">
        <v>2719</v>
      </c>
      <c r="E443" s="52" t="s">
        <v>2720</v>
      </c>
      <c r="F443" s="52" t="s">
        <v>2721</v>
      </c>
      <c r="G443" s="42"/>
    </row>
    <row r="444" spans="1:7">
      <c r="A444" s="39" t="s">
        <v>2722</v>
      </c>
      <c r="B444" s="39" t="s">
        <v>2379</v>
      </c>
      <c r="C444" s="39" t="s">
        <v>2380</v>
      </c>
      <c r="D444" s="50" t="s">
        <v>2722</v>
      </c>
      <c r="E444" s="50" t="s">
        <v>2723</v>
      </c>
      <c r="F444" s="50" t="s">
        <v>2724</v>
      </c>
      <c r="G444" s="51"/>
    </row>
    <row r="445" spans="1:7">
      <c r="A445" s="41" t="s">
        <v>2725</v>
      </c>
      <c r="B445" s="41" t="s">
        <v>2379</v>
      </c>
      <c r="C445" s="41" t="s">
        <v>2380</v>
      </c>
      <c r="D445" s="52" t="s">
        <v>2725</v>
      </c>
      <c r="E445" s="52" t="s">
        <v>2726</v>
      </c>
      <c r="F445" s="52" t="s">
        <v>2727</v>
      </c>
      <c r="G445" s="42"/>
    </row>
    <row r="446" spans="1:7">
      <c r="A446" s="39" t="s">
        <v>2728</v>
      </c>
      <c r="B446" s="39" t="s">
        <v>2379</v>
      </c>
      <c r="C446" s="39" t="s">
        <v>2380</v>
      </c>
      <c r="D446" s="50" t="s">
        <v>2728</v>
      </c>
      <c r="E446" s="50" t="s">
        <v>2729</v>
      </c>
      <c r="F446" s="50" t="s">
        <v>2730</v>
      </c>
      <c r="G446" s="51"/>
    </row>
    <row r="447" spans="1:7">
      <c r="A447" s="41" t="s">
        <v>2731</v>
      </c>
      <c r="B447" s="41" t="s">
        <v>2379</v>
      </c>
      <c r="C447" s="41" t="s">
        <v>2380</v>
      </c>
      <c r="D447" s="52" t="s">
        <v>2731</v>
      </c>
      <c r="E447" s="52" t="s">
        <v>2732</v>
      </c>
      <c r="F447" s="52" t="s">
        <v>2733</v>
      </c>
      <c r="G447" s="42"/>
    </row>
    <row r="448" spans="1:7">
      <c r="A448" s="39" t="s">
        <v>2734</v>
      </c>
      <c r="B448" s="39" t="s">
        <v>2379</v>
      </c>
      <c r="C448" s="39" t="s">
        <v>2380</v>
      </c>
      <c r="D448" s="50" t="s">
        <v>2734</v>
      </c>
      <c r="E448" s="50" t="s">
        <v>2735</v>
      </c>
      <c r="F448" s="50" t="s">
        <v>2736</v>
      </c>
      <c r="G448" s="51"/>
    </row>
    <row r="449" spans="1:7">
      <c r="A449" s="41" t="s">
        <v>2737</v>
      </c>
      <c r="B449" s="41" t="s">
        <v>2379</v>
      </c>
      <c r="C449" s="41" t="s">
        <v>2380</v>
      </c>
      <c r="D449" s="52" t="s">
        <v>2737</v>
      </c>
      <c r="E449" s="52" t="s">
        <v>2738</v>
      </c>
      <c r="F449" s="52" t="s">
        <v>2739</v>
      </c>
      <c r="G449" s="42"/>
    </row>
    <row r="450" spans="1:7">
      <c r="A450" s="39" t="s">
        <v>2740</v>
      </c>
      <c r="B450" s="39" t="s">
        <v>2379</v>
      </c>
      <c r="C450" s="39" t="s">
        <v>2380</v>
      </c>
      <c r="D450" s="50" t="s">
        <v>2740</v>
      </c>
      <c r="E450" s="50" t="s">
        <v>2741</v>
      </c>
      <c r="F450" s="50" t="s">
        <v>2742</v>
      </c>
      <c r="G450" s="51"/>
    </row>
    <row r="451" spans="1:7">
      <c r="A451" s="41" t="s">
        <v>2743</v>
      </c>
      <c r="B451" s="41" t="s">
        <v>2379</v>
      </c>
      <c r="C451" s="41" t="s">
        <v>2380</v>
      </c>
      <c r="D451" s="52" t="s">
        <v>2743</v>
      </c>
      <c r="E451" s="52" t="s">
        <v>2744</v>
      </c>
      <c r="F451" s="52" t="s">
        <v>2745</v>
      </c>
      <c r="G451" s="42"/>
    </row>
    <row r="452" spans="1:7">
      <c r="A452" s="39" t="s">
        <v>2746</v>
      </c>
      <c r="B452" s="39" t="s">
        <v>2379</v>
      </c>
      <c r="C452" s="39" t="s">
        <v>2380</v>
      </c>
      <c r="D452" s="50" t="s">
        <v>2746</v>
      </c>
      <c r="E452" s="50" t="s">
        <v>2747</v>
      </c>
      <c r="F452" s="50" t="s">
        <v>2748</v>
      </c>
      <c r="G452" s="51"/>
    </row>
    <row r="453" spans="1:7">
      <c r="A453" s="41" t="s">
        <v>2749</v>
      </c>
      <c r="B453" s="41" t="s">
        <v>2379</v>
      </c>
      <c r="C453" s="41" t="s">
        <v>2380</v>
      </c>
      <c r="D453" s="52" t="s">
        <v>2749</v>
      </c>
      <c r="E453" s="52" t="s">
        <v>2750</v>
      </c>
      <c r="F453" s="52" t="s">
        <v>2751</v>
      </c>
      <c r="G453" s="42"/>
    </row>
    <row r="454" spans="1:7">
      <c r="A454" s="39" t="s">
        <v>2752</v>
      </c>
      <c r="B454" s="39" t="s">
        <v>2379</v>
      </c>
      <c r="C454" s="39" t="s">
        <v>2380</v>
      </c>
      <c r="D454" s="50" t="s">
        <v>2752</v>
      </c>
      <c r="E454" s="50" t="s">
        <v>2753</v>
      </c>
      <c r="F454" s="50" t="s">
        <v>2754</v>
      </c>
      <c r="G454" s="51"/>
    </row>
    <row r="455" spans="1:7">
      <c r="A455" s="41" t="s">
        <v>2755</v>
      </c>
      <c r="B455" s="41" t="s">
        <v>2379</v>
      </c>
      <c r="C455" s="41" t="s">
        <v>2380</v>
      </c>
      <c r="D455" s="52" t="s">
        <v>2755</v>
      </c>
      <c r="E455" s="52" t="s">
        <v>2756</v>
      </c>
      <c r="F455" s="52" t="s">
        <v>2757</v>
      </c>
      <c r="G455" s="42"/>
    </row>
    <row r="456" spans="1:7">
      <c r="A456" s="39" t="s">
        <v>2758</v>
      </c>
      <c r="B456" s="39" t="s">
        <v>2379</v>
      </c>
      <c r="C456" s="39" t="s">
        <v>2380</v>
      </c>
      <c r="D456" s="50" t="s">
        <v>2758</v>
      </c>
      <c r="E456" s="50" t="s">
        <v>2759</v>
      </c>
      <c r="F456" s="50" t="s">
        <v>2760</v>
      </c>
      <c r="G456" s="51"/>
    </row>
    <row r="457" spans="1:7">
      <c r="A457" s="41" t="s">
        <v>2761</v>
      </c>
      <c r="B457" s="41" t="s">
        <v>2379</v>
      </c>
      <c r="C457" s="41" t="s">
        <v>2380</v>
      </c>
      <c r="D457" s="52" t="s">
        <v>2761</v>
      </c>
      <c r="E457" s="52" t="s">
        <v>2762</v>
      </c>
      <c r="F457" s="52" t="s">
        <v>2763</v>
      </c>
      <c r="G457" s="42"/>
    </row>
    <row r="458" spans="1:7">
      <c r="A458" s="39" t="s">
        <v>2764</v>
      </c>
      <c r="B458" s="39" t="s">
        <v>2379</v>
      </c>
      <c r="C458" s="39" t="s">
        <v>2380</v>
      </c>
      <c r="D458" s="50" t="s">
        <v>2764</v>
      </c>
      <c r="E458" s="50" t="s">
        <v>2765</v>
      </c>
      <c r="F458" s="50" t="s">
        <v>2766</v>
      </c>
      <c r="G458" s="51"/>
    </row>
    <row r="459" spans="1:7">
      <c r="A459" s="41" t="s">
        <v>2767</v>
      </c>
      <c r="B459" s="41" t="s">
        <v>2379</v>
      </c>
      <c r="C459" s="41" t="s">
        <v>2380</v>
      </c>
      <c r="D459" s="52" t="s">
        <v>2767</v>
      </c>
      <c r="E459" s="52" t="s">
        <v>2768</v>
      </c>
      <c r="F459" s="52" t="s">
        <v>2769</v>
      </c>
      <c r="G459" s="42"/>
    </row>
    <row r="460" spans="1:7">
      <c r="A460" s="39" t="s">
        <v>2770</v>
      </c>
      <c r="B460" s="39" t="s">
        <v>2379</v>
      </c>
      <c r="C460" s="39" t="s">
        <v>2380</v>
      </c>
      <c r="D460" s="50" t="s">
        <v>2770</v>
      </c>
      <c r="E460" s="50" t="s">
        <v>2771</v>
      </c>
      <c r="F460" s="50" t="s">
        <v>2772</v>
      </c>
      <c r="G460" s="51"/>
    </row>
    <row r="461" spans="1:7">
      <c r="A461" s="41" t="s">
        <v>2773</v>
      </c>
      <c r="B461" s="41" t="s">
        <v>2379</v>
      </c>
      <c r="C461" s="41" t="s">
        <v>2380</v>
      </c>
      <c r="D461" s="52" t="s">
        <v>2773</v>
      </c>
      <c r="E461" s="52" t="s">
        <v>2774</v>
      </c>
      <c r="F461" s="52" t="s">
        <v>2775</v>
      </c>
      <c r="G461" s="42"/>
    </row>
    <row r="462" spans="1:7">
      <c r="A462" s="39" t="s">
        <v>2776</v>
      </c>
      <c r="B462" s="39" t="s">
        <v>2379</v>
      </c>
      <c r="C462" s="39" t="s">
        <v>2380</v>
      </c>
      <c r="D462" s="50" t="s">
        <v>2776</v>
      </c>
      <c r="E462" s="50" t="s">
        <v>2777</v>
      </c>
      <c r="F462" s="50" t="s">
        <v>2778</v>
      </c>
      <c r="G462" s="51"/>
    </row>
    <row r="463" spans="1:7">
      <c r="A463" s="41" t="s">
        <v>2779</v>
      </c>
      <c r="B463" s="41" t="s">
        <v>2379</v>
      </c>
      <c r="C463" s="41" t="s">
        <v>2380</v>
      </c>
      <c r="D463" s="52" t="s">
        <v>2779</v>
      </c>
      <c r="E463" s="52" t="s">
        <v>2780</v>
      </c>
      <c r="F463" s="52" t="s">
        <v>2781</v>
      </c>
      <c r="G463" s="42"/>
    </row>
    <row r="464" spans="1:7">
      <c r="A464" s="39" t="s">
        <v>2782</v>
      </c>
      <c r="B464" s="39" t="s">
        <v>2379</v>
      </c>
      <c r="C464" s="39" t="s">
        <v>2380</v>
      </c>
      <c r="D464" s="50" t="s">
        <v>2782</v>
      </c>
      <c r="E464" s="50" t="s">
        <v>2783</v>
      </c>
      <c r="F464" s="50" t="s">
        <v>2784</v>
      </c>
      <c r="G464" s="51"/>
    </row>
    <row r="465" spans="1:7">
      <c r="A465" s="41" t="s">
        <v>2785</v>
      </c>
      <c r="B465" s="41" t="s">
        <v>2379</v>
      </c>
      <c r="C465" s="41" t="s">
        <v>2380</v>
      </c>
      <c r="D465" s="52" t="s">
        <v>2785</v>
      </c>
      <c r="E465" s="52" t="s">
        <v>2786</v>
      </c>
      <c r="F465" s="52" t="s">
        <v>2787</v>
      </c>
      <c r="G465" s="42"/>
    </row>
    <row r="466" spans="1:7">
      <c r="A466" s="39" t="s">
        <v>2788</v>
      </c>
      <c r="B466" s="39" t="s">
        <v>2379</v>
      </c>
      <c r="C466" s="39" t="s">
        <v>2380</v>
      </c>
      <c r="D466" s="50" t="s">
        <v>2788</v>
      </c>
      <c r="E466" s="50" t="s">
        <v>2789</v>
      </c>
      <c r="F466" s="50" t="s">
        <v>2790</v>
      </c>
      <c r="G466" s="51"/>
    </row>
    <row r="467" spans="1:7">
      <c r="A467" s="41" t="s">
        <v>2791</v>
      </c>
      <c r="B467" s="41" t="s">
        <v>2379</v>
      </c>
      <c r="C467" s="41" t="s">
        <v>2380</v>
      </c>
      <c r="D467" s="52" t="s">
        <v>2791</v>
      </c>
      <c r="E467" s="52" t="s">
        <v>2792</v>
      </c>
      <c r="F467" s="52" t="s">
        <v>2793</v>
      </c>
      <c r="G467" s="42"/>
    </row>
    <row r="468" spans="1:7">
      <c r="A468" s="39" t="s">
        <v>2794</v>
      </c>
      <c r="B468" s="39" t="s">
        <v>2379</v>
      </c>
      <c r="C468" s="39" t="s">
        <v>2380</v>
      </c>
      <c r="D468" s="50" t="s">
        <v>2794</v>
      </c>
      <c r="E468" s="50" t="s">
        <v>2795</v>
      </c>
      <c r="F468" s="50" t="s">
        <v>2796</v>
      </c>
      <c r="G468" s="51"/>
    </row>
    <row r="469" spans="1:7">
      <c r="A469" s="41" t="s">
        <v>2797</v>
      </c>
      <c r="B469" s="41" t="s">
        <v>2379</v>
      </c>
      <c r="C469" s="41" t="s">
        <v>2380</v>
      </c>
      <c r="D469" s="52" t="s">
        <v>2797</v>
      </c>
      <c r="E469" s="52" t="s">
        <v>2798</v>
      </c>
      <c r="F469" s="52" t="s">
        <v>2799</v>
      </c>
      <c r="G469" s="42"/>
    </row>
    <row r="470" spans="1:7">
      <c r="A470" s="39" t="s">
        <v>2800</v>
      </c>
      <c r="B470" s="39" t="s">
        <v>2379</v>
      </c>
      <c r="C470" s="39" t="s">
        <v>2380</v>
      </c>
      <c r="D470" s="50" t="s">
        <v>2800</v>
      </c>
      <c r="E470" s="50" t="s">
        <v>2801</v>
      </c>
      <c r="F470" s="50" t="s">
        <v>2802</v>
      </c>
      <c r="G470" s="51"/>
    </row>
    <row r="471" spans="1:7">
      <c r="A471" s="41" t="s">
        <v>2803</v>
      </c>
      <c r="B471" s="41" t="s">
        <v>2379</v>
      </c>
      <c r="C471" s="41" t="s">
        <v>2380</v>
      </c>
      <c r="D471" s="52" t="s">
        <v>2803</v>
      </c>
      <c r="E471" s="52" t="s">
        <v>2804</v>
      </c>
      <c r="F471" s="52" t="s">
        <v>2805</v>
      </c>
      <c r="G471" s="42"/>
    </row>
    <row r="472" spans="1:7">
      <c r="A472" s="39" t="s">
        <v>2806</v>
      </c>
      <c r="B472" s="39" t="s">
        <v>2379</v>
      </c>
      <c r="C472" s="39" t="s">
        <v>2380</v>
      </c>
      <c r="D472" s="50" t="s">
        <v>2806</v>
      </c>
      <c r="E472" s="50" t="s">
        <v>2807</v>
      </c>
      <c r="F472" s="50" t="s">
        <v>2808</v>
      </c>
      <c r="G472" s="51"/>
    </row>
    <row r="473" spans="1:7">
      <c r="A473" s="41" t="s">
        <v>2809</v>
      </c>
      <c r="B473" s="41" t="s">
        <v>2379</v>
      </c>
      <c r="C473" s="41" t="s">
        <v>2380</v>
      </c>
      <c r="D473" s="52" t="s">
        <v>2809</v>
      </c>
      <c r="E473" s="52" t="s">
        <v>2810</v>
      </c>
      <c r="F473" s="52" t="s">
        <v>2811</v>
      </c>
      <c r="G473" s="42"/>
    </row>
    <row r="474" spans="1:7">
      <c r="A474" s="39" t="s">
        <v>2812</v>
      </c>
      <c r="B474" s="39" t="s">
        <v>2379</v>
      </c>
      <c r="C474" s="39" t="s">
        <v>2380</v>
      </c>
      <c r="D474" s="50" t="s">
        <v>2812</v>
      </c>
      <c r="E474" s="50" t="s">
        <v>2813</v>
      </c>
      <c r="F474" s="50" t="s">
        <v>2814</v>
      </c>
      <c r="G474" s="51"/>
    </row>
    <row r="475" spans="1:7">
      <c r="A475" s="41" t="s">
        <v>2815</v>
      </c>
      <c r="B475" s="41" t="s">
        <v>2379</v>
      </c>
      <c r="C475" s="41" t="s">
        <v>2380</v>
      </c>
      <c r="D475" s="52" t="s">
        <v>2815</v>
      </c>
      <c r="E475" s="52" t="s">
        <v>2816</v>
      </c>
      <c r="F475" s="52" t="s">
        <v>2817</v>
      </c>
      <c r="G475" s="42"/>
    </row>
    <row r="476" spans="1:7">
      <c r="A476" s="39" t="s">
        <v>2818</v>
      </c>
      <c r="B476" s="39" t="s">
        <v>2379</v>
      </c>
      <c r="C476" s="39" t="s">
        <v>2380</v>
      </c>
      <c r="D476" s="50" t="s">
        <v>2818</v>
      </c>
      <c r="E476" s="50" t="s">
        <v>2819</v>
      </c>
      <c r="F476" s="50" t="s">
        <v>2820</v>
      </c>
      <c r="G476" s="51"/>
    </row>
    <row r="477" spans="1:7">
      <c r="A477" s="41" t="s">
        <v>2821</v>
      </c>
      <c r="B477" s="41" t="s">
        <v>2379</v>
      </c>
      <c r="C477" s="41" t="s">
        <v>2380</v>
      </c>
      <c r="D477" s="52" t="s">
        <v>2821</v>
      </c>
      <c r="E477" s="52" t="s">
        <v>2822</v>
      </c>
      <c r="F477" s="52" t="s">
        <v>2823</v>
      </c>
      <c r="G477" s="42"/>
    </row>
    <row r="478" spans="1:7">
      <c r="A478" s="39" t="s">
        <v>2824</v>
      </c>
      <c r="B478" s="39" t="s">
        <v>2379</v>
      </c>
      <c r="C478" s="39" t="s">
        <v>2380</v>
      </c>
      <c r="D478" s="50" t="s">
        <v>2824</v>
      </c>
      <c r="E478" s="50" t="s">
        <v>2825</v>
      </c>
      <c r="F478" s="50" t="s">
        <v>2826</v>
      </c>
      <c r="G478" s="51"/>
    </row>
    <row r="479" spans="1:7">
      <c r="A479" s="41" t="s">
        <v>2827</v>
      </c>
      <c r="B479" s="41" t="s">
        <v>2379</v>
      </c>
      <c r="C479" s="41" t="s">
        <v>2380</v>
      </c>
      <c r="D479" s="52" t="s">
        <v>2827</v>
      </c>
      <c r="E479" s="52" t="s">
        <v>2828</v>
      </c>
      <c r="F479" s="52" t="s">
        <v>2829</v>
      </c>
      <c r="G479" s="42"/>
    </row>
    <row r="480" spans="1:7">
      <c r="A480" s="39" t="s">
        <v>2830</v>
      </c>
      <c r="B480" s="39" t="s">
        <v>2379</v>
      </c>
      <c r="C480" s="39" t="s">
        <v>2380</v>
      </c>
      <c r="D480" s="50" t="s">
        <v>2830</v>
      </c>
      <c r="E480" s="50" t="s">
        <v>2831</v>
      </c>
      <c r="F480" s="50" t="s">
        <v>2832</v>
      </c>
      <c r="G480" s="51"/>
    </row>
    <row r="481" spans="1:7">
      <c r="A481" s="41" t="s">
        <v>2833</v>
      </c>
      <c r="B481" s="41" t="s">
        <v>2379</v>
      </c>
      <c r="C481" s="41" t="s">
        <v>2380</v>
      </c>
      <c r="D481" s="52" t="s">
        <v>2833</v>
      </c>
      <c r="E481" s="52" t="s">
        <v>2834</v>
      </c>
      <c r="F481" s="52" t="s">
        <v>2835</v>
      </c>
      <c r="G481" s="42"/>
    </row>
    <row r="482" spans="1:7">
      <c r="A482" s="39" t="s">
        <v>2836</v>
      </c>
      <c r="B482" s="39" t="s">
        <v>2379</v>
      </c>
      <c r="C482" s="39" t="s">
        <v>2380</v>
      </c>
      <c r="D482" s="50" t="s">
        <v>2836</v>
      </c>
      <c r="E482" s="50" t="s">
        <v>2837</v>
      </c>
      <c r="F482" s="50" t="s">
        <v>2838</v>
      </c>
      <c r="G482" s="51"/>
    </row>
    <row r="483" spans="1:7">
      <c r="A483" s="41" t="s">
        <v>2839</v>
      </c>
      <c r="B483" s="41" t="s">
        <v>2379</v>
      </c>
      <c r="C483" s="41" t="s">
        <v>2380</v>
      </c>
      <c r="D483" s="52" t="s">
        <v>2839</v>
      </c>
      <c r="E483" s="52" t="s">
        <v>2840</v>
      </c>
      <c r="F483" s="52" t="s">
        <v>2841</v>
      </c>
      <c r="G483" s="42"/>
    </row>
    <row r="484" spans="1:7">
      <c r="A484" s="39" t="s">
        <v>2842</v>
      </c>
      <c r="B484" s="39" t="s">
        <v>2379</v>
      </c>
      <c r="C484" s="39" t="s">
        <v>2380</v>
      </c>
      <c r="D484" s="50" t="s">
        <v>2842</v>
      </c>
      <c r="E484" s="50" t="s">
        <v>2843</v>
      </c>
      <c r="F484" s="50" t="s">
        <v>2844</v>
      </c>
      <c r="G484" s="51"/>
    </row>
    <row r="485" spans="1:7">
      <c r="A485" s="41" t="s">
        <v>2845</v>
      </c>
      <c r="B485" s="41" t="s">
        <v>2379</v>
      </c>
      <c r="C485" s="41" t="s">
        <v>2380</v>
      </c>
      <c r="D485" s="52" t="s">
        <v>2845</v>
      </c>
      <c r="E485" s="52" t="s">
        <v>2846</v>
      </c>
      <c r="F485" s="52" t="s">
        <v>2847</v>
      </c>
      <c r="G485" s="42"/>
    </row>
    <row r="486" spans="1:7">
      <c r="A486" s="39" t="s">
        <v>2848</v>
      </c>
      <c r="B486" s="39" t="s">
        <v>2379</v>
      </c>
      <c r="C486" s="39" t="s">
        <v>2380</v>
      </c>
      <c r="D486" s="50" t="s">
        <v>2848</v>
      </c>
      <c r="E486" s="50" t="s">
        <v>2849</v>
      </c>
      <c r="F486" s="50" t="s">
        <v>2850</v>
      </c>
      <c r="G486" s="51"/>
    </row>
    <row r="487" spans="1:7">
      <c r="A487" s="41" t="s">
        <v>2851</v>
      </c>
      <c r="B487" s="41" t="s">
        <v>2379</v>
      </c>
      <c r="C487" s="41" t="s">
        <v>2380</v>
      </c>
      <c r="D487" s="52" t="s">
        <v>2851</v>
      </c>
      <c r="E487" s="52" t="s">
        <v>2852</v>
      </c>
      <c r="F487" s="52" t="s">
        <v>2853</v>
      </c>
      <c r="G487" s="42"/>
    </row>
    <row r="488" spans="1:7">
      <c r="A488" s="39" t="s">
        <v>2854</v>
      </c>
      <c r="B488" s="39" t="s">
        <v>2379</v>
      </c>
      <c r="C488" s="39" t="s">
        <v>2380</v>
      </c>
      <c r="D488" s="50" t="s">
        <v>2854</v>
      </c>
      <c r="E488" s="50" t="s">
        <v>2855</v>
      </c>
      <c r="F488" s="50" t="s">
        <v>2856</v>
      </c>
      <c r="G488" s="51"/>
    </row>
    <row r="489" spans="1:7">
      <c r="A489" s="41" t="s">
        <v>2857</v>
      </c>
      <c r="B489" s="41" t="s">
        <v>2379</v>
      </c>
      <c r="C489" s="41" t="s">
        <v>2380</v>
      </c>
      <c r="D489" s="52" t="s">
        <v>2857</v>
      </c>
      <c r="E489" s="52" t="s">
        <v>2858</v>
      </c>
      <c r="F489" s="52" t="s">
        <v>2859</v>
      </c>
      <c r="G489" s="42"/>
    </row>
    <row r="490" spans="1:7">
      <c r="A490" s="39" t="s">
        <v>2860</v>
      </c>
      <c r="B490" s="39" t="s">
        <v>2379</v>
      </c>
      <c r="C490" s="39" t="s">
        <v>2380</v>
      </c>
      <c r="D490" s="50" t="s">
        <v>2860</v>
      </c>
      <c r="E490" s="50" t="s">
        <v>2861</v>
      </c>
      <c r="F490" s="50" t="s">
        <v>2862</v>
      </c>
      <c r="G490" s="51"/>
    </row>
    <row r="491" spans="1:7">
      <c r="A491" s="41" t="s">
        <v>2863</v>
      </c>
      <c r="B491" s="41" t="s">
        <v>2379</v>
      </c>
      <c r="C491" s="41" t="s">
        <v>2380</v>
      </c>
      <c r="D491" s="52" t="s">
        <v>2863</v>
      </c>
      <c r="E491" s="52" t="s">
        <v>2864</v>
      </c>
      <c r="F491" s="52" t="s">
        <v>2865</v>
      </c>
      <c r="G491" s="42"/>
    </row>
    <row r="492" spans="1:7">
      <c r="A492" s="39" t="s">
        <v>2866</v>
      </c>
      <c r="B492" s="39" t="s">
        <v>2379</v>
      </c>
      <c r="C492" s="39" t="s">
        <v>2380</v>
      </c>
      <c r="D492" s="50" t="s">
        <v>2866</v>
      </c>
      <c r="E492" s="50" t="s">
        <v>2867</v>
      </c>
      <c r="F492" s="50" t="s">
        <v>2868</v>
      </c>
      <c r="G492" s="51"/>
    </row>
    <row r="493" spans="1:7">
      <c r="A493" s="41" t="s">
        <v>2869</v>
      </c>
      <c r="B493" s="41" t="s">
        <v>2379</v>
      </c>
      <c r="C493" s="41" t="s">
        <v>2380</v>
      </c>
      <c r="D493" s="52" t="s">
        <v>2869</v>
      </c>
      <c r="E493" s="52" t="s">
        <v>2870</v>
      </c>
      <c r="F493" s="52" t="s">
        <v>2871</v>
      </c>
      <c r="G493" s="42"/>
    </row>
    <row r="494" spans="1:7">
      <c r="A494" s="39" t="s">
        <v>2872</v>
      </c>
      <c r="B494" s="39" t="s">
        <v>2379</v>
      </c>
      <c r="C494" s="39" t="s">
        <v>2380</v>
      </c>
      <c r="D494" s="50" t="s">
        <v>2872</v>
      </c>
      <c r="E494" s="50" t="s">
        <v>2873</v>
      </c>
      <c r="F494" s="50" t="s">
        <v>2874</v>
      </c>
      <c r="G494" s="51"/>
    </row>
    <row r="495" spans="1:7">
      <c r="A495" s="41" t="s">
        <v>2875</v>
      </c>
      <c r="B495" s="41" t="s">
        <v>2379</v>
      </c>
      <c r="C495" s="41" t="s">
        <v>2380</v>
      </c>
      <c r="D495" s="52" t="s">
        <v>2875</v>
      </c>
      <c r="E495" s="52" t="s">
        <v>2876</v>
      </c>
      <c r="F495" s="52" t="s">
        <v>2877</v>
      </c>
      <c r="G495" s="42"/>
    </row>
    <row r="496" spans="1:7">
      <c r="A496" s="39" t="s">
        <v>2878</v>
      </c>
      <c r="B496" s="39" t="s">
        <v>2379</v>
      </c>
      <c r="C496" s="39" t="s">
        <v>2380</v>
      </c>
      <c r="D496" s="50" t="s">
        <v>2878</v>
      </c>
      <c r="E496" s="50" t="s">
        <v>2879</v>
      </c>
      <c r="F496" s="50" t="s">
        <v>2880</v>
      </c>
      <c r="G496" s="51"/>
    </row>
    <row r="497" spans="1:7">
      <c r="A497" s="41" t="s">
        <v>2881</v>
      </c>
      <c r="B497" s="41" t="s">
        <v>2379</v>
      </c>
      <c r="C497" s="41" t="s">
        <v>2380</v>
      </c>
      <c r="D497" s="52" t="s">
        <v>2881</v>
      </c>
      <c r="E497" s="52" t="s">
        <v>2882</v>
      </c>
      <c r="F497" s="52" t="s">
        <v>2883</v>
      </c>
      <c r="G497" s="42"/>
    </row>
    <row r="498" spans="1:7">
      <c r="A498" s="39" t="s">
        <v>2884</v>
      </c>
      <c r="B498" s="39" t="s">
        <v>2379</v>
      </c>
      <c r="C498" s="39" t="s">
        <v>2380</v>
      </c>
      <c r="D498" s="50" t="s">
        <v>2884</v>
      </c>
      <c r="E498" s="50" t="s">
        <v>2885</v>
      </c>
      <c r="F498" s="50" t="s">
        <v>2886</v>
      </c>
      <c r="G498" s="51"/>
    </row>
    <row r="499" spans="1:7">
      <c r="A499" s="41" t="s">
        <v>2887</v>
      </c>
      <c r="B499" s="41" t="s">
        <v>2379</v>
      </c>
      <c r="C499" s="41" t="s">
        <v>2380</v>
      </c>
      <c r="D499" s="52" t="s">
        <v>2887</v>
      </c>
      <c r="E499" s="52" t="s">
        <v>2888</v>
      </c>
      <c r="F499" s="52" t="s">
        <v>2889</v>
      </c>
      <c r="G499" s="42"/>
    </row>
    <row r="500" spans="1:7">
      <c r="A500" s="39" t="s">
        <v>2890</v>
      </c>
      <c r="B500" s="39" t="s">
        <v>2379</v>
      </c>
      <c r="C500" s="39" t="s">
        <v>2380</v>
      </c>
      <c r="D500" s="50" t="s">
        <v>2890</v>
      </c>
      <c r="E500" s="50" t="s">
        <v>2891</v>
      </c>
      <c r="F500" s="50" t="s">
        <v>2892</v>
      </c>
      <c r="G500" s="51"/>
    </row>
    <row r="501" spans="1:7">
      <c r="A501" s="41" t="s">
        <v>2893</v>
      </c>
      <c r="B501" s="41" t="s">
        <v>2379</v>
      </c>
      <c r="C501" s="41" t="s">
        <v>2380</v>
      </c>
      <c r="D501" s="52" t="s">
        <v>2893</v>
      </c>
      <c r="E501" s="52" t="s">
        <v>2894</v>
      </c>
      <c r="F501" s="52" t="s">
        <v>2895</v>
      </c>
      <c r="G501" s="42"/>
    </row>
    <row r="502" spans="1:7">
      <c r="A502" s="39" t="s">
        <v>2896</v>
      </c>
      <c r="B502" s="39" t="s">
        <v>2379</v>
      </c>
      <c r="C502" s="39" t="s">
        <v>2380</v>
      </c>
      <c r="D502" s="50" t="s">
        <v>2896</v>
      </c>
      <c r="E502" s="50" t="s">
        <v>2897</v>
      </c>
      <c r="F502" s="50" t="s">
        <v>2898</v>
      </c>
      <c r="G502" s="51"/>
    </row>
    <row r="503" spans="1:7">
      <c r="A503" s="41" t="s">
        <v>2899</v>
      </c>
      <c r="B503" s="41" t="s">
        <v>2379</v>
      </c>
      <c r="C503" s="41" t="s">
        <v>2380</v>
      </c>
      <c r="D503" s="52" t="s">
        <v>2899</v>
      </c>
      <c r="E503" s="52" t="s">
        <v>2900</v>
      </c>
      <c r="F503" s="52" t="s">
        <v>2901</v>
      </c>
      <c r="G503" s="42"/>
    </row>
    <row r="504" spans="1:7">
      <c r="A504" s="39" t="s">
        <v>2902</v>
      </c>
      <c r="B504" s="39" t="s">
        <v>2379</v>
      </c>
      <c r="C504" s="39" t="s">
        <v>2380</v>
      </c>
      <c r="D504" s="50" t="s">
        <v>2902</v>
      </c>
      <c r="E504" s="50" t="s">
        <v>2903</v>
      </c>
      <c r="F504" s="50" t="s">
        <v>2904</v>
      </c>
      <c r="G504" s="51"/>
    </row>
    <row r="505" spans="1:7">
      <c r="A505" s="41" t="s">
        <v>2905</v>
      </c>
      <c r="B505" s="41" t="s">
        <v>2379</v>
      </c>
      <c r="C505" s="41" t="s">
        <v>2380</v>
      </c>
      <c r="D505" s="52" t="s">
        <v>2905</v>
      </c>
      <c r="E505" s="52" t="s">
        <v>2906</v>
      </c>
      <c r="F505" s="52" t="s">
        <v>2907</v>
      </c>
      <c r="G505" s="42"/>
    </row>
    <row r="506" spans="1:7">
      <c r="A506" s="39" t="s">
        <v>2908</v>
      </c>
      <c r="B506" s="39" t="s">
        <v>2379</v>
      </c>
      <c r="C506" s="39" t="s">
        <v>2380</v>
      </c>
      <c r="D506" s="50" t="s">
        <v>2908</v>
      </c>
      <c r="E506" s="50" t="s">
        <v>2909</v>
      </c>
      <c r="F506" s="50" t="s">
        <v>2910</v>
      </c>
      <c r="G506" s="51"/>
    </row>
    <row r="507" spans="1:7">
      <c r="A507" s="41" t="s">
        <v>2911</v>
      </c>
      <c r="B507" s="41" t="s">
        <v>2379</v>
      </c>
      <c r="C507" s="41" t="s">
        <v>2380</v>
      </c>
      <c r="D507" s="52" t="s">
        <v>2911</v>
      </c>
      <c r="E507" s="52" t="s">
        <v>2912</v>
      </c>
      <c r="F507" s="52" t="s">
        <v>2913</v>
      </c>
      <c r="G507" s="42"/>
    </row>
    <row r="508" spans="1:7">
      <c r="A508" s="39" t="s">
        <v>2914</v>
      </c>
      <c r="B508" s="39" t="s">
        <v>2379</v>
      </c>
      <c r="C508" s="39" t="s">
        <v>2380</v>
      </c>
      <c r="D508" s="50" t="s">
        <v>2914</v>
      </c>
      <c r="E508" s="50" t="s">
        <v>2915</v>
      </c>
      <c r="F508" s="50" t="s">
        <v>2916</v>
      </c>
      <c r="G508" s="51"/>
    </row>
    <row r="509" spans="1:7">
      <c r="A509" s="41" t="s">
        <v>2917</v>
      </c>
      <c r="B509" s="41" t="s">
        <v>2379</v>
      </c>
      <c r="C509" s="41" t="s">
        <v>2380</v>
      </c>
      <c r="D509" s="52" t="s">
        <v>2917</v>
      </c>
      <c r="E509" s="52" t="s">
        <v>2918</v>
      </c>
      <c r="F509" s="52" t="s">
        <v>2919</v>
      </c>
      <c r="G509" s="42"/>
    </row>
    <row r="510" spans="1:7">
      <c r="A510" s="39" t="s">
        <v>2920</v>
      </c>
      <c r="B510" s="39" t="s">
        <v>2379</v>
      </c>
      <c r="C510" s="39" t="s">
        <v>2380</v>
      </c>
      <c r="D510" s="50" t="s">
        <v>2920</v>
      </c>
      <c r="E510" s="50" t="s">
        <v>2921</v>
      </c>
      <c r="F510" s="50" t="s">
        <v>2922</v>
      </c>
      <c r="G510" s="51"/>
    </row>
    <row r="511" spans="1:7">
      <c r="A511" s="41" t="s">
        <v>2923</v>
      </c>
      <c r="B511" s="41" t="s">
        <v>2379</v>
      </c>
      <c r="C511" s="41" t="s">
        <v>2380</v>
      </c>
      <c r="D511" s="52" t="s">
        <v>2923</v>
      </c>
      <c r="E511" s="52" t="s">
        <v>2924</v>
      </c>
      <c r="F511" s="52" t="s">
        <v>2925</v>
      </c>
      <c r="G511" s="42"/>
    </row>
    <row r="512" spans="1:7">
      <c r="A512" s="39" t="s">
        <v>2926</v>
      </c>
      <c r="B512" s="39" t="s">
        <v>2379</v>
      </c>
      <c r="C512" s="39" t="s">
        <v>2380</v>
      </c>
      <c r="D512" s="50" t="s">
        <v>2926</v>
      </c>
      <c r="E512" s="50" t="s">
        <v>2927</v>
      </c>
      <c r="F512" s="50" t="s">
        <v>2928</v>
      </c>
      <c r="G512" s="51"/>
    </row>
    <row r="513" spans="1:7">
      <c r="A513" s="41" t="s">
        <v>2929</v>
      </c>
      <c r="B513" s="41" t="s">
        <v>2379</v>
      </c>
      <c r="C513" s="41" t="s">
        <v>2380</v>
      </c>
      <c r="D513" s="52" t="s">
        <v>2929</v>
      </c>
      <c r="E513" s="52" t="s">
        <v>2930</v>
      </c>
      <c r="F513" s="52" t="s">
        <v>2931</v>
      </c>
      <c r="G513" s="42"/>
    </row>
    <row r="514" spans="1:7">
      <c r="A514" s="39" t="s">
        <v>2932</v>
      </c>
      <c r="B514" s="39" t="s">
        <v>2379</v>
      </c>
      <c r="C514" s="39" t="s">
        <v>2380</v>
      </c>
      <c r="D514" s="50" t="s">
        <v>2932</v>
      </c>
      <c r="E514" s="50" t="s">
        <v>2933</v>
      </c>
      <c r="F514" s="50" t="s">
        <v>2934</v>
      </c>
      <c r="G514" s="51"/>
    </row>
    <row r="515" spans="1:7">
      <c r="A515" s="41" t="s">
        <v>2935</v>
      </c>
      <c r="B515" s="41" t="s">
        <v>2379</v>
      </c>
      <c r="C515" s="41" t="s">
        <v>2380</v>
      </c>
      <c r="D515" s="52" t="s">
        <v>2935</v>
      </c>
      <c r="E515" s="52" t="s">
        <v>2936</v>
      </c>
      <c r="F515" s="52" t="s">
        <v>2937</v>
      </c>
      <c r="G515" s="42"/>
    </row>
    <row r="516" spans="1:7">
      <c r="A516" s="39" t="s">
        <v>2938</v>
      </c>
      <c r="B516" s="39" t="s">
        <v>2379</v>
      </c>
      <c r="C516" s="39" t="s">
        <v>2380</v>
      </c>
      <c r="D516" s="50" t="s">
        <v>2938</v>
      </c>
      <c r="E516" s="50" t="s">
        <v>2939</v>
      </c>
      <c r="F516" s="50" t="s">
        <v>2940</v>
      </c>
      <c r="G516" s="51"/>
    </row>
    <row r="517" spans="1:7">
      <c r="A517" s="41" t="s">
        <v>2941</v>
      </c>
      <c r="B517" s="41" t="s">
        <v>2379</v>
      </c>
      <c r="C517" s="41" t="s">
        <v>2380</v>
      </c>
      <c r="D517" s="52" t="s">
        <v>2941</v>
      </c>
      <c r="E517" s="52" t="s">
        <v>2942</v>
      </c>
      <c r="F517" s="52" t="s">
        <v>2943</v>
      </c>
      <c r="G517" s="42"/>
    </row>
    <row r="518" spans="1:7">
      <c r="A518" s="39" t="s">
        <v>2944</v>
      </c>
      <c r="B518" s="39" t="s">
        <v>2379</v>
      </c>
      <c r="C518" s="39" t="s">
        <v>2380</v>
      </c>
      <c r="D518" s="50" t="s">
        <v>2944</v>
      </c>
      <c r="E518" s="50" t="s">
        <v>2945</v>
      </c>
      <c r="F518" s="50" t="s">
        <v>2946</v>
      </c>
      <c r="G518" s="51"/>
    </row>
    <row r="519" spans="1:7">
      <c r="A519" s="41" t="s">
        <v>2947</v>
      </c>
      <c r="B519" s="41" t="s">
        <v>2379</v>
      </c>
      <c r="C519" s="41" t="s">
        <v>2380</v>
      </c>
      <c r="D519" s="52" t="s">
        <v>2947</v>
      </c>
      <c r="E519" s="52" t="s">
        <v>2948</v>
      </c>
      <c r="F519" s="52" t="s">
        <v>2949</v>
      </c>
      <c r="G519" s="42"/>
    </row>
    <row r="520" spans="1:7">
      <c r="A520" s="39" t="s">
        <v>2950</v>
      </c>
      <c r="B520" s="39" t="s">
        <v>2379</v>
      </c>
      <c r="C520" s="39" t="s">
        <v>2380</v>
      </c>
      <c r="D520" s="50" t="s">
        <v>2950</v>
      </c>
      <c r="E520" s="50" t="s">
        <v>2951</v>
      </c>
      <c r="F520" s="50" t="s">
        <v>2952</v>
      </c>
      <c r="G520" s="51"/>
    </row>
    <row r="521" spans="1:7">
      <c r="A521" s="41" t="s">
        <v>2953</v>
      </c>
      <c r="B521" s="41" t="s">
        <v>2379</v>
      </c>
      <c r="C521" s="41" t="s">
        <v>2380</v>
      </c>
      <c r="D521" s="52" t="s">
        <v>2953</v>
      </c>
      <c r="E521" s="52" t="s">
        <v>2954</v>
      </c>
      <c r="F521" s="52" t="s">
        <v>2955</v>
      </c>
      <c r="G521" s="42"/>
    </row>
    <row r="522" spans="1:7">
      <c r="A522" s="39" t="s">
        <v>2956</v>
      </c>
      <c r="B522" s="39" t="s">
        <v>2379</v>
      </c>
      <c r="C522" s="39" t="s">
        <v>2380</v>
      </c>
      <c r="D522" s="50" t="s">
        <v>2956</v>
      </c>
      <c r="E522" s="50" t="s">
        <v>2957</v>
      </c>
      <c r="F522" s="50" t="s">
        <v>2958</v>
      </c>
      <c r="G522" s="51"/>
    </row>
    <row r="523" spans="1:7">
      <c r="A523" s="41" t="s">
        <v>2959</v>
      </c>
      <c r="B523" s="41" t="s">
        <v>2379</v>
      </c>
      <c r="C523" s="41" t="s">
        <v>2380</v>
      </c>
      <c r="D523" s="52" t="s">
        <v>2959</v>
      </c>
      <c r="E523" s="52" t="s">
        <v>2960</v>
      </c>
      <c r="F523" s="52" t="s">
        <v>2961</v>
      </c>
      <c r="G523" s="42"/>
    </row>
    <row r="524" spans="1:7">
      <c r="A524" s="39" t="s">
        <v>2962</v>
      </c>
      <c r="B524" s="39" t="s">
        <v>2379</v>
      </c>
      <c r="C524" s="39" t="s">
        <v>2380</v>
      </c>
      <c r="D524" s="50" t="s">
        <v>2962</v>
      </c>
      <c r="E524" s="50" t="s">
        <v>2963</v>
      </c>
      <c r="F524" s="50" t="s">
        <v>2964</v>
      </c>
      <c r="G524" s="51"/>
    </row>
    <row r="525" spans="1:7">
      <c r="A525" s="41" t="s">
        <v>2965</v>
      </c>
      <c r="B525" s="41" t="s">
        <v>2379</v>
      </c>
      <c r="C525" s="41" t="s">
        <v>2380</v>
      </c>
      <c r="D525" s="52" t="s">
        <v>2965</v>
      </c>
      <c r="E525" s="52" t="s">
        <v>2966</v>
      </c>
      <c r="F525" s="52" t="s">
        <v>2967</v>
      </c>
      <c r="G525" s="42"/>
    </row>
    <row r="526" spans="1:7">
      <c r="A526" s="39" t="s">
        <v>2968</v>
      </c>
      <c r="B526" s="39" t="s">
        <v>2379</v>
      </c>
      <c r="C526" s="39" t="s">
        <v>2380</v>
      </c>
      <c r="D526" s="50" t="s">
        <v>2968</v>
      </c>
      <c r="E526" s="50" t="s">
        <v>2969</v>
      </c>
      <c r="F526" s="50" t="s">
        <v>2970</v>
      </c>
      <c r="G526" s="51"/>
    </row>
    <row r="527" spans="1:7">
      <c r="A527" s="41" t="s">
        <v>2971</v>
      </c>
      <c r="B527" s="41" t="s">
        <v>2379</v>
      </c>
      <c r="C527" s="41" t="s">
        <v>2380</v>
      </c>
      <c r="D527" s="52" t="s">
        <v>2971</v>
      </c>
      <c r="E527" s="52" t="s">
        <v>2972</v>
      </c>
      <c r="F527" s="52" t="s">
        <v>2973</v>
      </c>
      <c r="G527" s="42"/>
    </row>
    <row r="528" spans="1:7">
      <c r="A528" s="39" t="s">
        <v>2974</v>
      </c>
      <c r="B528" s="39" t="s">
        <v>2379</v>
      </c>
      <c r="C528" s="39" t="s">
        <v>2380</v>
      </c>
      <c r="D528" s="50" t="s">
        <v>2974</v>
      </c>
      <c r="E528" s="50" t="s">
        <v>2975</v>
      </c>
      <c r="F528" s="50" t="s">
        <v>2976</v>
      </c>
      <c r="G528" s="51"/>
    </row>
    <row r="529" spans="1:7">
      <c r="A529" s="41" t="s">
        <v>2977</v>
      </c>
      <c r="B529" s="41" t="s">
        <v>2379</v>
      </c>
      <c r="C529" s="41" t="s">
        <v>2380</v>
      </c>
      <c r="D529" s="52" t="s">
        <v>2977</v>
      </c>
      <c r="E529" s="52" t="s">
        <v>2978</v>
      </c>
      <c r="F529" s="52" t="s">
        <v>2979</v>
      </c>
      <c r="G529" s="42"/>
    </row>
    <row r="530" spans="1:7">
      <c r="A530" s="39" t="s">
        <v>2980</v>
      </c>
      <c r="B530" s="39" t="s">
        <v>2379</v>
      </c>
      <c r="C530" s="39" t="s">
        <v>2380</v>
      </c>
      <c r="D530" s="50" t="s">
        <v>2980</v>
      </c>
      <c r="E530" s="50" t="s">
        <v>2981</v>
      </c>
      <c r="F530" s="50" t="s">
        <v>2982</v>
      </c>
      <c r="G530" s="51"/>
    </row>
    <row r="531" spans="1:7">
      <c r="A531" s="41" t="s">
        <v>2983</v>
      </c>
      <c r="B531" s="41" t="s">
        <v>2379</v>
      </c>
      <c r="C531" s="41" t="s">
        <v>2380</v>
      </c>
      <c r="D531" s="52" t="s">
        <v>2983</v>
      </c>
      <c r="E531" s="52" t="s">
        <v>2984</v>
      </c>
      <c r="F531" s="52" t="s">
        <v>2985</v>
      </c>
      <c r="G531" s="42"/>
    </row>
    <row r="532" spans="1:7">
      <c r="A532" s="39" t="s">
        <v>2986</v>
      </c>
      <c r="B532" s="39" t="s">
        <v>2379</v>
      </c>
      <c r="C532" s="39" t="s">
        <v>2380</v>
      </c>
      <c r="D532" s="50" t="s">
        <v>2986</v>
      </c>
      <c r="E532" s="50" t="s">
        <v>2987</v>
      </c>
      <c r="F532" s="50" t="s">
        <v>2988</v>
      </c>
      <c r="G532" s="51"/>
    </row>
    <row r="533" spans="1:7">
      <c r="A533" s="41" t="s">
        <v>2989</v>
      </c>
      <c r="B533" s="41" t="s">
        <v>2379</v>
      </c>
      <c r="C533" s="41" t="s">
        <v>2380</v>
      </c>
      <c r="D533" s="52" t="s">
        <v>2989</v>
      </c>
      <c r="E533" s="52" t="s">
        <v>2990</v>
      </c>
      <c r="F533" s="52" t="s">
        <v>2991</v>
      </c>
      <c r="G533" s="42"/>
    </row>
    <row r="534" spans="1:7">
      <c r="A534" s="39" t="s">
        <v>2992</v>
      </c>
      <c r="B534" s="39" t="s">
        <v>2379</v>
      </c>
      <c r="C534" s="39" t="s">
        <v>2380</v>
      </c>
      <c r="D534" s="50" t="s">
        <v>2992</v>
      </c>
      <c r="E534" s="50" t="s">
        <v>2993</v>
      </c>
      <c r="F534" s="50" t="s">
        <v>2994</v>
      </c>
      <c r="G534" s="51"/>
    </row>
    <row r="535" spans="1:7">
      <c r="A535" s="41" t="s">
        <v>2995</v>
      </c>
      <c r="B535" s="41" t="s">
        <v>2379</v>
      </c>
      <c r="C535" s="41" t="s">
        <v>2380</v>
      </c>
      <c r="D535" s="52" t="s">
        <v>2995</v>
      </c>
      <c r="E535" s="52" t="s">
        <v>2996</v>
      </c>
      <c r="F535" s="52" t="s">
        <v>2997</v>
      </c>
      <c r="G535" s="42"/>
    </row>
    <row r="536" spans="1:7">
      <c r="A536" s="39" t="s">
        <v>2998</v>
      </c>
      <c r="B536" s="39" t="s">
        <v>2379</v>
      </c>
      <c r="C536" s="39" t="s">
        <v>2380</v>
      </c>
      <c r="D536" s="50" t="s">
        <v>2998</v>
      </c>
      <c r="E536" s="50" t="s">
        <v>2999</v>
      </c>
      <c r="F536" s="50" t="s">
        <v>3000</v>
      </c>
      <c r="G536" s="51"/>
    </row>
    <row r="537" spans="1:7">
      <c r="A537" s="41" t="s">
        <v>3001</v>
      </c>
      <c r="B537" s="41" t="s">
        <v>2379</v>
      </c>
      <c r="C537" s="41" t="s">
        <v>2380</v>
      </c>
      <c r="D537" s="52" t="s">
        <v>3001</v>
      </c>
      <c r="E537" s="52" t="s">
        <v>3002</v>
      </c>
      <c r="F537" s="52" t="s">
        <v>3003</v>
      </c>
      <c r="G537" s="42"/>
    </row>
    <row r="538" spans="1:7">
      <c r="A538" s="39" t="s">
        <v>3004</v>
      </c>
      <c r="B538" s="39" t="s">
        <v>2379</v>
      </c>
      <c r="C538" s="39" t="s">
        <v>2380</v>
      </c>
      <c r="D538" s="50" t="s">
        <v>3004</v>
      </c>
      <c r="E538" s="50" t="s">
        <v>3005</v>
      </c>
      <c r="F538" s="50" t="s">
        <v>3006</v>
      </c>
      <c r="G538" s="51"/>
    </row>
    <row r="539" spans="1:7">
      <c r="A539" s="41" t="s">
        <v>3007</v>
      </c>
      <c r="B539" s="41" t="s">
        <v>2379</v>
      </c>
      <c r="C539" s="41" t="s">
        <v>2380</v>
      </c>
      <c r="D539" s="52" t="s">
        <v>3007</v>
      </c>
      <c r="E539" s="52" t="s">
        <v>3008</v>
      </c>
      <c r="F539" s="52" t="s">
        <v>3009</v>
      </c>
      <c r="G539" s="42"/>
    </row>
    <row r="540" spans="1:7">
      <c r="A540" s="39" t="s">
        <v>3010</v>
      </c>
      <c r="B540" s="39" t="s">
        <v>2379</v>
      </c>
      <c r="C540" s="39" t="s">
        <v>2380</v>
      </c>
      <c r="D540" s="50" t="s">
        <v>3010</v>
      </c>
      <c r="E540" s="50" t="s">
        <v>3011</v>
      </c>
      <c r="F540" s="50" t="s">
        <v>3012</v>
      </c>
      <c r="G540" s="51"/>
    </row>
    <row r="541" spans="1:7">
      <c r="A541" s="41" t="s">
        <v>3013</v>
      </c>
      <c r="B541" s="41" t="s">
        <v>2379</v>
      </c>
      <c r="C541" s="41" t="s">
        <v>2380</v>
      </c>
      <c r="D541" s="52" t="s">
        <v>3013</v>
      </c>
      <c r="E541" s="52" t="s">
        <v>3014</v>
      </c>
      <c r="F541" s="52" t="s">
        <v>3015</v>
      </c>
      <c r="G541" s="42"/>
    </row>
    <row r="542" spans="1:7">
      <c r="A542" s="39" t="s">
        <v>3016</v>
      </c>
      <c r="B542" s="39" t="s">
        <v>2379</v>
      </c>
      <c r="C542" s="39" t="s">
        <v>2380</v>
      </c>
      <c r="D542" s="50" t="s">
        <v>3016</v>
      </c>
      <c r="E542" s="50" t="s">
        <v>3017</v>
      </c>
      <c r="F542" s="50" t="s">
        <v>3018</v>
      </c>
      <c r="G542" s="51"/>
    </row>
    <row r="543" spans="1:7">
      <c r="A543" s="41" t="s">
        <v>3019</v>
      </c>
      <c r="B543" s="41" t="s">
        <v>2379</v>
      </c>
      <c r="C543" s="41" t="s">
        <v>2380</v>
      </c>
      <c r="D543" s="52" t="s">
        <v>3019</v>
      </c>
      <c r="E543" s="52" t="s">
        <v>3020</v>
      </c>
      <c r="F543" s="52" t="s">
        <v>3021</v>
      </c>
      <c r="G543" s="42"/>
    </row>
    <row r="544" spans="1:7">
      <c r="A544" s="39" t="s">
        <v>3022</v>
      </c>
      <c r="B544" s="39" t="s">
        <v>2379</v>
      </c>
      <c r="C544" s="39" t="s">
        <v>2380</v>
      </c>
      <c r="D544" s="50" t="s">
        <v>3022</v>
      </c>
      <c r="E544" s="50" t="s">
        <v>3023</v>
      </c>
      <c r="F544" s="50" t="s">
        <v>3024</v>
      </c>
      <c r="G544" s="51"/>
    </row>
    <row r="545" spans="1:7">
      <c r="A545" s="41" t="s">
        <v>3025</v>
      </c>
      <c r="B545" s="41" t="s">
        <v>2379</v>
      </c>
      <c r="C545" s="41" t="s">
        <v>2380</v>
      </c>
      <c r="D545" s="52" t="s">
        <v>3025</v>
      </c>
      <c r="E545" s="52" t="s">
        <v>3026</v>
      </c>
      <c r="F545" s="52" t="s">
        <v>3027</v>
      </c>
      <c r="G545" s="42"/>
    </row>
    <row r="546" spans="1:7">
      <c r="A546" s="39" t="s">
        <v>3028</v>
      </c>
      <c r="B546" s="39" t="s">
        <v>2379</v>
      </c>
      <c r="C546" s="39" t="s">
        <v>2380</v>
      </c>
      <c r="D546" s="50" t="s">
        <v>3028</v>
      </c>
      <c r="E546" s="50" t="s">
        <v>3029</v>
      </c>
      <c r="F546" s="50" t="s">
        <v>3030</v>
      </c>
      <c r="G546" s="51"/>
    </row>
    <row r="547" spans="1:7">
      <c r="A547" s="41" t="s">
        <v>3031</v>
      </c>
      <c r="B547" s="41" t="s">
        <v>2379</v>
      </c>
      <c r="C547" s="41" t="s">
        <v>2380</v>
      </c>
      <c r="D547" s="52" t="s">
        <v>3031</v>
      </c>
      <c r="E547" s="52" t="s">
        <v>3032</v>
      </c>
      <c r="F547" s="52" t="s">
        <v>3033</v>
      </c>
      <c r="G547" s="42"/>
    </row>
    <row r="548" spans="1:7">
      <c r="A548" s="28" t="s">
        <v>3034</v>
      </c>
      <c r="B548" s="28" t="s">
        <v>2379</v>
      </c>
      <c r="C548" s="28" t="s">
        <v>2380</v>
      </c>
      <c r="D548" s="53" t="s">
        <v>3034</v>
      </c>
      <c r="E548" s="53" t="s">
        <v>3035</v>
      </c>
      <c r="F548" s="53" t="s">
        <v>3036</v>
      </c>
      <c r="G548" s="33"/>
    </row>
    <row r="549" spans="1:7">
      <c r="A549" s="43"/>
      <c r="B549" s="43" t="s">
        <v>3037</v>
      </c>
      <c r="C549" s="44" t="s">
        <v>1489</v>
      </c>
      <c r="D549" s="44" t="s">
        <v>4771</v>
      </c>
      <c r="E549" s="91" t="s">
        <v>5303</v>
      </c>
      <c r="F549" s="48" t="s">
        <v>5037</v>
      </c>
    </row>
    <row r="550" spans="1:7">
      <c r="A550" s="46"/>
      <c r="B550" s="46" t="s">
        <v>3037</v>
      </c>
      <c r="C550" s="47" t="s">
        <v>1489</v>
      </c>
      <c r="D550" s="47" t="s">
        <v>4775</v>
      </c>
      <c r="E550" s="91" t="s">
        <v>1534</v>
      </c>
      <c r="F550" s="48" t="s">
        <v>5041</v>
      </c>
    </row>
    <row r="551" spans="1:7">
      <c r="A551" s="43"/>
      <c r="B551" s="43" t="s">
        <v>3037</v>
      </c>
      <c r="C551" s="44" t="s">
        <v>1489</v>
      </c>
      <c r="D551" s="44" t="s">
        <v>3038</v>
      </c>
      <c r="E551" s="91" t="s">
        <v>5307</v>
      </c>
      <c r="F551" s="49" t="s">
        <v>3039</v>
      </c>
    </row>
    <row r="552" spans="1:7">
      <c r="A552" s="46"/>
      <c r="B552" s="46" t="s">
        <v>3037</v>
      </c>
      <c r="C552" s="47" t="s">
        <v>1489</v>
      </c>
      <c r="D552" s="47" t="s">
        <v>4774</v>
      </c>
      <c r="E552" s="91" t="s">
        <v>5306</v>
      </c>
      <c r="F552" s="48" t="s">
        <v>5040</v>
      </c>
    </row>
    <row r="553" spans="1:7">
      <c r="A553" s="43"/>
      <c r="B553" s="43" t="s">
        <v>3037</v>
      </c>
      <c r="C553" s="44" t="s">
        <v>1489</v>
      </c>
      <c r="D553" s="44" t="s">
        <v>4993</v>
      </c>
      <c r="E553" s="91" t="s">
        <v>5593</v>
      </c>
      <c r="F553" s="49" t="s">
        <v>5259</v>
      </c>
    </row>
    <row r="554" spans="1:7">
      <c r="A554" s="46"/>
      <c r="B554" s="46" t="s">
        <v>3037</v>
      </c>
      <c r="C554" s="47" t="s">
        <v>1489</v>
      </c>
      <c r="D554" s="47" t="s">
        <v>3218</v>
      </c>
      <c r="E554" s="91" t="s">
        <v>5582</v>
      </c>
      <c r="F554" s="48" t="s">
        <v>3219</v>
      </c>
    </row>
    <row r="555" spans="1:7">
      <c r="A555" s="43"/>
      <c r="B555" s="43" t="s">
        <v>3037</v>
      </c>
      <c r="C555" s="44" t="s">
        <v>1489</v>
      </c>
      <c r="D555" s="44" t="s">
        <v>4782</v>
      </c>
      <c r="E555" s="91" t="s">
        <v>5316</v>
      </c>
      <c r="F555" s="49" t="s">
        <v>5048</v>
      </c>
    </row>
    <row r="556" spans="1:7">
      <c r="A556" s="46"/>
      <c r="B556" s="46" t="s">
        <v>3037</v>
      </c>
      <c r="C556" s="47" t="s">
        <v>1489</v>
      </c>
      <c r="D556" s="47" t="s">
        <v>4776</v>
      </c>
      <c r="E556" s="91" t="s">
        <v>5308</v>
      </c>
      <c r="F556" s="48" t="s">
        <v>5042</v>
      </c>
    </row>
    <row r="557" spans="1:7">
      <c r="A557" s="43"/>
      <c r="B557" s="43" t="s">
        <v>3037</v>
      </c>
      <c r="C557" s="44" t="s">
        <v>1489</v>
      </c>
      <c r="D557" s="44" t="s">
        <v>5008</v>
      </c>
      <c r="E557" s="91" t="s">
        <v>5613</v>
      </c>
      <c r="F557" s="49" t="s">
        <v>5274</v>
      </c>
    </row>
    <row r="558" spans="1:7">
      <c r="A558" s="46"/>
      <c r="B558" s="46" t="s">
        <v>3037</v>
      </c>
      <c r="C558" s="47" t="s">
        <v>1489</v>
      </c>
      <c r="D558" s="47" t="s">
        <v>4780</v>
      </c>
      <c r="E558" s="91" t="s">
        <v>5314</v>
      </c>
      <c r="F558" s="48" t="s">
        <v>5046</v>
      </c>
    </row>
    <row r="559" spans="1:7">
      <c r="A559" s="43"/>
      <c r="B559" s="43" t="s">
        <v>3037</v>
      </c>
      <c r="C559" s="44" t="s">
        <v>1489</v>
      </c>
      <c r="D559" s="44" t="s">
        <v>3040</v>
      </c>
      <c r="E559" s="91" t="s">
        <v>5309</v>
      </c>
      <c r="F559" s="49" t="s">
        <v>3041</v>
      </c>
    </row>
    <row r="560" spans="1:7">
      <c r="A560" s="46"/>
      <c r="B560" s="46" t="s">
        <v>3037</v>
      </c>
      <c r="C560" s="47" t="s">
        <v>1489</v>
      </c>
      <c r="D560" s="47" t="s">
        <v>4860</v>
      </c>
      <c r="E560" s="91" t="s">
        <v>5420</v>
      </c>
      <c r="F560" s="48" t="s">
        <v>5126</v>
      </c>
    </row>
    <row r="561" spans="1:6">
      <c r="A561" s="43"/>
      <c r="B561" s="43" t="s">
        <v>3037</v>
      </c>
      <c r="C561" s="44" t="s">
        <v>1489</v>
      </c>
      <c r="D561" s="44" t="s">
        <v>4777</v>
      </c>
      <c r="E561" s="91" t="s">
        <v>5310</v>
      </c>
      <c r="F561" s="49" t="s">
        <v>5043</v>
      </c>
    </row>
    <row r="562" spans="1:6">
      <c r="A562" s="46"/>
      <c r="B562" s="46" t="s">
        <v>3037</v>
      </c>
      <c r="C562" s="47" t="s">
        <v>1489</v>
      </c>
      <c r="D562" s="47" t="s">
        <v>3042</v>
      </c>
      <c r="E562" s="91" t="s">
        <v>5311</v>
      </c>
      <c r="F562" s="48" t="s">
        <v>3043</v>
      </c>
    </row>
    <row r="563" spans="1:6">
      <c r="A563" s="43"/>
      <c r="B563" s="43" t="s">
        <v>3037</v>
      </c>
      <c r="C563" s="44" t="s">
        <v>1489</v>
      </c>
      <c r="D563" s="44" t="s">
        <v>4778</v>
      </c>
      <c r="E563" s="91" t="s">
        <v>5312</v>
      </c>
      <c r="F563" s="49" t="s">
        <v>5044</v>
      </c>
    </row>
    <row r="564" spans="1:6">
      <c r="A564" s="46"/>
      <c r="B564" s="46" t="s">
        <v>3037</v>
      </c>
      <c r="C564" s="47" t="s">
        <v>1489</v>
      </c>
      <c r="D564" s="47" t="s">
        <v>4772</v>
      </c>
      <c r="E564" s="91" t="s">
        <v>5304</v>
      </c>
      <c r="F564" s="48" t="s">
        <v>5038</v>
      </c>
    </row>
    <row r="565" spans="1:6">
      <c r="A565" s="43"/>
      <c r="B565" s="43" t="s">
        <v>3037</v>
      </c>
      <c r="C565" s="44" t="s">
        <v>1489</v>
      </c>
      <c r="D565" s="44" t="s">
        <v>3115</v>
      </c>
      <c r="E565" s="91" t="s">
        <v>5432</v>
      </c>
      <c r="F565" s="49" t="s">
        <v>3116</v>
      </c>
    </row>
    <row r="566" spans="1:6">
      <c r="A566" s="46"/>
      <c r="B566" s="46" t="s">
        <v>3037</v>
      </c>
      <c r="C566" s="47" t="s">
        <v>1489</v>
      </c>
      <c r="D566" s="47" t="s">
        <v>4773</v>
      </c>
      <c r="E566" s="91" t="s">
        <v>5305</v>
      </c>
      <c r="F566" s="48" t="s">
        <v>5039</v>
      </c>
    </row>
    <row r="567" spans="1:6">
      <c r="A567" s="43"/>
      <c r="B567" s="43" t="s">
        <v>3037</v>
      </c>
      <c r="C567" s="44" t="s">
        <v>1489</v>
      </c>
      <c r="D567" s="44" t="s">
        <v>4779</v>
      </c>
      <c r="E567" s="91" t="s">
        <v>5313</v>
      </c>
      <c r="F567" s="49" t="s">
        <v>5045</v>
      </c>
    </row>
    <row r="568" spans="1:6">
      <c r="A568" s="46"/>
      <c r="B568" s="46" t="s">
        <v>3037</v>
      </c>
      <c r="C568" s="47" t="s">
        <v>1489</v>
      </c>
      <c r="D568" s="47" t="s">
        <v>4785</v>
      </c>
      <c r="E568" s="91" t="s">
        <v>5319</v>
      </c>
      <c r="F568" s="48" t="s">
        <v>5051</v>
      </c>
    </row>
    <row r="569" spans="1:6">
      <c r="A569" s="43"/>
      <c r="B569" s="43" t="s">
        <v>3037</v>
      </c>
      <c r="C569" s="44" t="s">
        <v>1489</v>
      </c>
      <c r="D569" s="44" t="s">
        <v>4784</v>
      </c>
      <c r="E569" s="91" t="s">
        <v>5318</v>
      </c>
      <c r="F569" s="49" t="s">
        <v>5050</v>
      </c>
    </row>
    <row r="570" spans="1:6">
      <c r="A570" s="46"/>
      <c r="B570" s="46" t="s">
        <v>3037</v>
      </c>
      <c r="C570" s="47" t="s">
        <v>1489</v>
      </c>
      <c r="D570" s="47" t="s">
        <v>4781</v>
      </c>
      <c r="E570" s="91" t="s">
        <v>5315</v>
      </c>
      <c r="F570" s="48" t="s">
        <v>5047</v>
      </c>
    </row>
    <row r="571" spans="1:6">
      <c r="A571" s="43"/>
      <c r="B571" s="43" t="s">
        <v>3037</v>
      </c>
      <c r="C571" s="44" t="s">
        <v>1489</v>
      </c>
      <c r="D571" s="44" t="s">
        <v>4786</v>
      </c>
      <c r="E571" s="91" t="s">
        <v>1573</v>
      </c>
      <c r="F571" s="49" t="s">
        <v>5052</v>
      </c>
    </row>
    <row r="572" spans="1:6">
      <c r="A572" s="46"/>
      <c r="B572" s="46" t="s">
        <v>3037</v>
      </c>
      <c r="C572" s="47" t="s">
        <v>1489</v>
      </c>
      <c r="D572" s="47" t="s">
        <v>4783</v>
      </c>
      <c r="E572" s="91" t="s">
        <v>5317</v>
      </c>
      <c r="F572" s="48" t="s">
        <v>5049</v>
      </c>
    </row>
    <row r="573" spans="1:6">
      <c r="A573" s="43"/>
      <c r="B573" s="43" t="s">
        <v>3037</v>
      </c>
      <c r="C573" s="44" t="s">
        <v>1489</v>
      </c>
      <c r="D573" s="44" t="s">
        <v>4905</v>
      </c>
      <c r="E573" s="91" t="s">
        <v>5480</v>
      </c>
      <c r="F573" s="49" t="s">
        <v>5171</v>
      </c>
    </row>
    <row r="574" spans="1:6">
      <c r="A574" s="46"/>
      <c r="B574" s="46" t="s">
        <v>3037</v>
      </c>
      <c r="C574" s="47" t="s">
        <v>1489</v>
      </c>
      <c r="D574" s="47" t="s">
        <v>3044</v>
      </c>
      <c r="E574" s="91" t="s">
        <v>5320</v>
      </c>
      <c r="F574" s="48" t="s">
        <v>3045</v>
      </c>
    </row>
    <row r="575" spans="1:6">
      <c r="A575" s="43"/>
      <c r="B575" s="43" t="s">
        <v>3037</v>
      </c>
      <c r="C575" s="44" t="s">
        <v>1489</v>
      </c>
      <c r="D575" s="44" t="s">
        <v>4787</v>
      </c>
      <c r="E575" s="91" t="s">
        <v>5321</v>
      </c>
      <c r="F575" s="49" t="s">
        <v>5053</v>
      </c>
    </row>
    <row r="576" spans="1:6">
      <c r="A576" s="46"/>
      <c r="B576" s="46" t="s">
        <v>3037</v>
      </c>
      <c r="C576" s="47" t="s">
        <v>1489</v>
      </c>
      <c r="D576" s="47" t="s">
        <v>3046</v>
      </c>
      <c r="E576" s="91" t="s">
        <v>1579</v>
      </c>
      <c r="F576" s="48" t="s">
        <v>3047</v>
      </c>
    </row>
    <row r="577" spans="1:6">
      <c r="A577" s="43"/>
      <c r="B577" s="43" t="s">
        <v>3037</v>
      </c>
      <c r="C577" s="44" t="s">
        <v>1489</v>
      </c>
      <c r="D577" s="44" t="s">
        <v>4790</v>
      </c>
      <c r="E577" s="91" t="s">
        <v>5324</v>
      </c>
      <c r="F577" s="49" t="s">
        <v>5056</v>
      </c>
    </row>
    <row r="578" spans="1:6">
      <c r="A578" s="46"/>
      <c r="B578" s="46" t="s">
        <v>3037</v>
      </c>
      <c r="C578" s="47" t="s">
        <v>1489</v>
      </c>
      <c r="D578" s="47" t="s">
        <v>4795</v>
      </c>
      <c r="E578" s="91" t="s">
        <v>5331</v>
      </c>
      <c r="F578" s="48" t="s">
        <v>5061</v>
      </c>
    </row>
    <row r="579" spans="1:6">
      <c r="A579" s="43"/>
      <c r="B579" s="43" t="s">
        <v>3037</v>
      </c>
      <c r="C579" s="44" t="s">
        <v>1489</v>
      </c>
      <c r="D579" s="44" t="s">
        <v>4789</v>
      </c>
      <c r="E579" s="91" t="s">
        <v>5323</v>
      </c>
      <c r="F579" s="49" t="s">
        <v>5055</v>
      </c>
    </row>
    <row r="580" spans="1:6">
      <c r="A580" s="46"/>
      <c r="B580" s="46" t="s">
        <v>3037</v>
      </c>
      <c r="C580" s="47" t="s">
        <v>1489</v>
      </c>
      <c r="D580" s="47" t="s">
        <v>4793</v>
      </c>
      <c r="E580" s="91" t="s">
        <v>5327</v>
      </c>
      <c r="F580" s="48" t="s">
        <v>5059</v>
      </c>
    </row>
    <row r="581" spans="1:6">
      <c r="A581" s="43"/>
      <c r="B581" s="43" t="s">
        <v>3037</v>
      </c>
      <c r="C581" s="44" t="s">
        <v>1489</v>
      </c>
      <c r="D581" s="44" t="s">
        <v>4788</v>
      </c>
      <c r="E581" s="91" t="s">
        <v>5322</v>
      </c>
      <c r="F581" s="49" t="s">
        <v>5054</v>
      </c>
    </row>
    <row r="582" spans="1:6">
      <c r="A582" s="46"/>
      <c r="B582" s="46" t="s">
        <v>3037</v>
      </c>
      <c r="C582" s="47" t="s">
        <v>1489</v>
      </c>
      <c r="D582" s="47" t="s">
        <v>4794</v>
      </c>
      <c r="E582" s="91" t="s">
        <v>5329</v>
      </c>
      <c r="F582" s="48" t="s">
        <v>5060</v>
      </c>
    </row>
    <row r="583" spans="1:6">
      <c r="A583" s="43"/>
      <c r="B583" s="43" t="s">
        <v>3037</v>
      </c>
      <c r="C583" s="44" t="s">
        <v>1489</v>
      </c>
      <c r="D583" s="44" t="s">
        <v>3082</v>
      </c>
      <c r="E583" s="91" t="s">
        <v>5391</v>
      </c>
      <c r="F583" s="49" t="s">
        <v>3083</v>
      </c>
    </row>
    <row r="584" spans="1:6">
      <c r="A584" s="46"/>
      <c r="B584" s="46" t="s">
        <v>3037</v>
      </c>
      <c r="C584" s="47" t="s">
        <v>1489</v>
      </c>
      <c r="D584" s="47" t="s">
        <v>4799</v>
      </c>
      <c r="E584" s="91" t="s">
        <v>5337</v>
      </c>
      <c r="F584" s="48" t="s">
        <v>5065</v>
      </c>
    </row>
    <row r="585" spans="1:6">
      <c r="A585" s="43"/>
      <c r="B585" s="43" t="s">
        <v>3037</v>
      </c>
      <c r="C585" s="44" t="s">
        <v>1489</v>
      </c>
      <c r="D585" s="44" t="s">
        <v>4798</v>
      </c>
      <c r="E585" s="91" t="s">
        <v>5336</v>
      </c>
      <c r="F585" s="49" t="s">
        <v>5064</v>
      </c>
    </row>
    <row r="586" spans="1:6">
      <c r="A586" s="46"/>
      <c r="B586" s="46" t="s">
        <v>3037</v>
      </c>
      <c r="C586" s="47" t="s">
        <v>1489</v>
      </c>
      <c r="D586" s="47" t="s">
        <v>3048</v>
      </c>
      <c r="E586" s="91" t="s">
        <v>1599</v>
      </c>
      <c r="F586" s="48" t="s">
        <v>3049</v>
      </c>
    </row>
    <row r="587" spans="1:6">
      <c r="A587" s="43"/>
      <c r="B587" s="43" t="s">
        <v>3037</v>
      </c>
      <c r="C587" s="44" t="s">
        <v>1489</v>
      </c>
      <c r="D587" s="44" t="s">
        <v>3050</v>
      </c>
      <c r="E587" s="91" t="s">
        <v>1605</v>
      </c>
      <c r="F587" s="49" t="s">
        <v>3051</v>
      </c>
    </row>
    <row r="588" spans="1:6">
      <c r="A588" s="46"/>
      <c r="B588" s="46" t="s">
        <v>3037</v>
      </c>
      <c r="C588" s="47" t="s">
        <v>1489</v>
      </c>
      <c r="D588" s="47" t="s">
        <v>4797</v>
      </c>
      <c r="E588" s="91" t="s">
        <v>5334</v>
      </c>
      <c r="F588" s="48" t="s">
        <v>5063</v>
      </c>
    </row>
    <row r="589" spans="1:6">
      <c r="A589" s="43"/>
      <c r="B589" s="43" t="s">
        <v>3037</v>
      </c>
      <c r="C589" s="44" t="s">
        <v>1489</v>
      </c>
      <c r="D589" s="44" t="s">
        <v>4791</v>
      </c>
      <c r="E589" s="91" t="s">
        <v>5325</v>
      </c>
      <c r="F589" s="49" t="s">
        <v>5057</v>
      </c>
    </row>
    <row r="590" spans="1:6">
      <c r="A590" s="46"/>
      <c r="B590" s="46" t="s">
        <v>3037</v>
      </c>
      <c r="C590" s="47" t="s">
        <v>1489</v>
      </c>
      <c r="D590" s="47" t="s">
        <v>3052</v>
      </c>
      <c r="E590" s="91" t="s">
        <v>5328</v>
      </c>
      <c r="F590" s="48" t="s">
        <v>3053</v>
      </c>
    </row>
    <row r="591" spans="1:6">
      <c r="A591" s="43"/>
      <c r="B591" s="43" t="s">
        <v>3037</v>
      </c>
      <c r="C591" s="44" t="s">
        <v>1489</v>
      </c>
      <c r="D591" s="44" t="s">
        <v>4800</v>
      </c>
      <c r="E591" s="91" t="s">
        <v>5339</v>
      </c>
      <c r="F591" s="49" t="s">
        <v>5066</v>
      </c>
    </row>
    <row r="592" spans="1:6">
      <c r="A592" s="46"/>
      <c r="B592" s="46" t="s">
        <v>3037</v>
      </c>
      <c r="C592" s="47" t="s">
        <v>1489</v>
      </c>
      <c r="D592" s="47" t="s">
        <v>3056</v>
      </c>
      <c r="E592" s="91" t="s">
        <v>5332</v>
      </c>
      <c r="F592" s="48" t="s">
        <v>3057</v>
      </c>
    </row>
    <row r="593" spans="1:6">
      <c r="A593" s="43"/>
      <c r="B593" s="43" t="s">
        <v>3037</v>
      </c>
      <c r="C593" s="44" t="s">
        <v>1489</v>
      </c>
      <c r="D593" s="44" t="s">
        <v>4801</v>
      </c>
      <c r="E593" s="91" t="s">
        <v>5340</v>
      </c>
      <c r="F593" s="49" t="s">
        <v>5067</v>
      </c>
    </row>
    <row r="594" spans="1:6">
      <c r="A594" s="46"/>
      <c r="B594" s="46" t="s">
        <v>3037</v>
      </c>
      <c r="C594" s="47" t="s">
        <v>1489</v>
      </c>
      <c r="D594" s="47" t="s">
        <v>3058</v>
      </c>
      <c r="E594" s="91" t="s">
        <v>5335</v>
      </c>
      <c r="F594" s="48" t="s">
        <v>3059</v>
      </c>
    </row>
    <row r="595" spans="1:6">
      <c r="A595" s="43"/>
      <c r="B595" s="43" t="s">
        <v>3037</v>
      </c>
      <c r="C595" s="44" t="s">
        <v>1489</v>
      </c>
      <c r="D595" s="44" t="s">
        <v>4792</v>
      </c>
      <c r="E595" s="91" t="s">
        <v>5326</v>
      </c>
      <c r="F595" s="49" t="s">
        <v>5058</v>
      </c>
    </row>
    <row r="596" spans="1:6">
      <c r="A596" s="46"/>
      <c r="B596" s="46" t="s">
        <v>3037</v>
      </c>
      <c r="C596" s="47" t="s">
        <v>1489</v>
      </c>
      <c r="D596" s="47" t="s">
        <v>4894</v>
      </c>
      <c r="E596" s="91" t="s">
        <v>5464</v>
      </c>
      <c r="F596" s="48" t="s">
        <v>5160</v>
      </c>
    </row>
    <row r="597" spans="1:6">
      <c r="A597" s="43"/>
      <c r="B597" s="43" t="s">
        <v>3037</v>
      </c>
      <c r="C597" s="44" t="s">
        <v>1489</v>
      </c>
      <c r="D597" s="44" t="s">
        <v>3060</v>
      </c>
      <c r="E597" s="91" t="s">
        <v>5338</v>
      </c>
      <c r="F597" s="49" t="s">
        <v>1490</v>
      </c>
    </row>
    <row r="598" spans="1:6">
      <c r="A598" s="46"/>
      <c r="B598" s="46" t="s">
        <v>3037</v>
      </c>
      <c r="C598" s="47" t="s">
        <v>1489</v>
      </c>
      <c r="D598" s="47" t="s">
        <v>4796</v>
      </c>
      <c r="E598" s="91" t="s">
        <v>5333</v>
      </c>
      <c r="F598" s="48" t="s">
        <v>5062</v>
      </c>
    </row>
    <row r="599" spans="1:6">
      <c r="A599" s="43"/>
      <c r="B599" s="43" t="s">
        <v>3037</v>
      </c>
      <c r="C599" s="44" t="s">
        <v>1489</v>
      </c>
      <c r="D599" s="44" t="s">
        <v>3168</v>
      </c>
      <c r="E599" s="91" t="s">
        <v>5498</v>
      </c>
      <c r="F599" s="49" t="s">
        <v>3169</v>
      </c>
    </row>
    <row r="600" spans="1:6">
      <c r="A600" s="46"/>
      <c r="B600" s="46" t="s">
        <v>3037</v>
      </c>
      <c r="C600" s="47" t="s">
        <v>1489</v>
      </c>
      <c r="D600" s="47" t="s">
        <v>4810</v>
      </c>
      <c r="E600" s="91" t="s">
        <v>5350</v>
      </c>
      <c r="F600" s="48" t="s">
        <v>5076</v>
      </c>
    </row>
    <row r="601" spans="1:6">
      <c r="A601" s="43"/>
      <c r="B601" s="43" t="s">
        <v>3037</v>
      </c>
      <c r="C601" s="44" t="s">
        <v>1489</v>
      </c>
      <c r="D601" s="44" t="s">
        <v>4803</v>
      </c>
      <c r="E601" s="91" t="s">
        <v>5342</v>
      </c>
      <c r="F601" s="49" t="s">
        <v>5069</v>
      </c>
    </row>
    <row r="602" spans="1:6">
      <c r="A602" s="46"/>
      <c r="B602" s="46" t="s">
        <v>3037</v>
      </c>
      <c r="C602" s="47" t="s">
        <v>1489</v>
      </c>
      <c r="D602" s="47" t="s">
        <v>3061</v>
      </c>
      <c r="E602" s="91" t="s">
        <v>5345</v>
      </c>
      <c r="F602" s="48" t="s">
        <v>3062</v>
      </c>
    </row>
    <row r="603" spans="1:6">
      <c r="A603" s="43"/>
      <c r="B603" s="43" t="s">
        <v>3037</v>
      </c>
      <c r="C603" s="44" t="s">
        <v>1489</v>
      </c>
      <c r="D603" s="44" t="s">
        <v>4820</v>
      </c>
      <c r="E603" s="91" t="s">
        <v>5363</v>
      </c>
      <c r="F603" s="49" t="s">
        <v>5086</v>
      </c>
    </row>
    <row r="604" spans="1:6">
      <c r="A604" s="46"/>
      <c r="B604" s="46" t="s">
        <v>3037</v>
      </c>
      <c r="C604" s="47" t="s">
        <v>1489</v>
      </c>
      <c r="D604" s="47" t="s">
        <v>4806</v>
      </c>
      <c r="E604" s="91" t="s">
        <v>5346</v>
      </c>
      <c r="F604" s="48" t="s">
        <v>5072</v>
      </c>
    </row>
    <row r="605" spans="1:6">
      <c r="A605" s="43"/>
      <c r="B605" s="43" t="s">
        <v>3037</v>
      </c>
      <c r="C605" s="44" t="s">
        <v>1489</v>
      </c>
      <c r="D605" s="44" t="s">
        <v>4807</v>
      </c>
      <c r="E605" s="91" t="s">
        <v>5347</v>
      </c>
      <c r="F605" s="49" t="s">
        <v>5073</v>
      </c>
    </row>
    <row r="606" spans="1:6">
      <c r="A606" s="46"/>
      <c r="B606" s="46" t="s">
        <v>3037</v>
      </c>
      <c r="C606" s="47" t="s">
        <v>1489</v>
      </c>
      <c r="D606" s="47" t="s">
        <v>4830</v>
      </c>
      <c r="E606" s="91" t="s">
        <v>5373</v>
      </c>
      <c r="F606" s="48" t="s">
        <v>5096</v>
      </c>
    </row>
    <row r="607" spans="1:6">
      <c r="A607" s="43"/>
      <c r="B607" s="43" t="s">
        <v>3037</v>
      </c>
      <c r="C607" s="44" t="s">
        <v>1489</v>
      </c>
      <c r="D607" s="44" t="s">
        <v>4812</v>
      </c>
      <c r="E607" s="91" t="s">
        <v>5352</v>
      </c>
      <c r="F607" s="49" t="s">
        <v>5078</v>
      </c>
    </row>
    <row r="608" spans="1:6">
      <c r="A608" s="46"/>
      <c r="B608" s="46" t="s">
        <v>3037</v>
      </c>
      <c r="C608" s="47" t="s">
        <v>1489</v>
      </c>
      <c r="D608" s="47" t="s">
        <v>4802</v>
      </c>
      <c r="E608" s="91" t="s">
        <v>5341</v>
      </c>
      <c r="F608" s="48" t="s">
        <v>5068</v>
      </c>
    </row>
    <row r="609" spans="1:6">
      <c r="A609" s="43"/>
      <c r="B609" s="43" t="s">
        <v>3037</v>
      </c>
      <c r="C609" s="44" t="s">
        <v>1489</v>
      </c>
      <c r="D609" s="44" t="s">
        <v>4814</v>
      </c>
      <c r="E609" s="91" t="s">
        <v>5355</v>
      </c>
      <c r="F609" s="49" t="s">
        <v>5080</v>
      </c>
    </row>
    <row r="610" spans="1:6">
      <c r="A610" s="46"/>
      <c r="B610" s="46" t="s">
        <v>3037</v>
      </c>
      <c r="C610" s="47" t="s">
        <v>1489</v>
      </c>
      <c r="D610" s="47" t="s">
        <v>4804</v>
      </c>
      <c r="E610" s="91" t="s">
        <v>5343</v>
      </c>
      <c r="F610" s="48" t="s">
        <v>5070</v>
      </c>
    </row>
    <row r="611" spans="1:6">
      <c r="A611" s="43"/>
      <c r="B611" s="43" t="s">
        <v>3037</v>
      </c>
      <c r="C611" s="44" t="s">
        <v>1489</v>
      </c>
      <c r="D611" s="44" t="s">
        <v>4811</v>
      </c>
      <c r="E611" s="91" t="s">
        <v>5351</v>
      </c>
      <c r="F611" s="49" t="s">
        <v>5077</v>
      </c>
    </row>
    <row r="612" spans="1:6">
      <c r="A612" s="46"/>
      <c r="B612" s="46" t="s">
        <v>3037</v>
      </c>
      <c r="C612" s="47" t="s">
        <v>1489</v>
      </c>
      <c r="D612" s="47" t="s">
        <v>4815</v>
      </c>
      <c r="E612" s="91" t="s">
        <v>5356</v>
      </c>
      <c r="F612" s="48" t="s">
        <v>5081</v>
      </c>
    </row>
    <row r="613" spans="1:6">
      <c r="A613" s="43"/>
      <c r="B613" s="43" t="s">
        <v>3037</v>
      </c>
      <c r="C613" s="44" t="s">
        <v>1489</v>
      </c>
      <c r="D613" s="44" t="s">
        <v>3064</v>
      </c>
      <c r="E613" s="91" t="s">
        <v>5354</v>
      </c>
      <c r="F613" s="49" t="s">
        <v>3065</v>
      </c>
    </row>
    <row r="614" spans="1:6">
      <c r="A614" s="46"/>
      <c r="B614" s="46" t="s">
        <v>3037</v>
      </c>
      <c r="C614" s="47" t="s">
        <v>1489</v>
      </c>
      <c r="D614" s="47" t="s">
        <v>3182</v>
      </c>
      <c r="E614" s="91" t="s">
        <v>5519</v>
      </c>
      <c r="F614" s="48" t="s">
        <v>3183</v>
      </c>
    </row>
    <row r="615" spans="1:6">
      <c r="A615" s="43"/>
      <c r="B615" s="43" t="s">
        <v>3037</v>
      </c>
      <c r="C615" s="44" t="s">
        <v>1489</v>
      </c>
      <c r="D615" s="44" t="s">
        <v>4821</v>
      </c>
      <c r="E615" s="91" t="s">
        <v>5364</v>
      </c>
      <c r="F615" s="49" t="s">
        <v>5087</v>
      </c>
    </row>
    <row r="616" spans="1:6">
      <c r="A616" s="46"/>
      <c r="B616" s="46" t="s">
        <v>3037</v>
      </c>
      <c r="C616" s="47" t="s">
        <v>1489</v>
      </c>
      <c r="D616" s="47" t="s">
        <v>4824</v>
      </c>
      <c r="E616" s="91" t="s">
        <v>5367</v>
      </c>
      <c r="F616" s="48" t="s">
        <v>5090</v>
      </c>
    </row>
    <row r="617" spans="1:6">
      <c r="A617" s="43"/>
      <c r="B617" s="43" t="s">
        <v>3037</v>
      </c>
      <c r="C617" s="44" t="s">
        <v>1489</v>
      </c>
      <c r="D617" s="44" t="s">
        <v>4805</v>
      </c>
      <c r="E617" s="91" t="s">
        <v>5344</v>
      </c>
      <c r="F617" s="49" t="s">
        <v>5071</v>
      </c>
    </row>
    <row r="618" spans="1:6">
      <c r="A618" s="46"/>
      <c r="B618" s="46" t="s">
        <v>3037</v>
      </c>
      <c r="C618" s="47" t="s">
        <v>1489</v>
      </c>
      <c r="D618" s="47" t="s">
        <v>3263</v>
      </c>
      <c r="E618" s="91" t="s">
        <v>5641</v>
      </c>
      <c r="F618" s="48" t="s">
        <v>3264</v>
      </c>
    </row>
    <row r="619" spans="1:6">
      <c r="A619" s="43"/>
      <c r="B619" s="43" t="s">
        <v>3037</v>
      </c>
      <c r="C619" s="44" t="s">
        <v>1489</v>
      </c>
      <c r="D619" s="44" t="s">
        <v>4825</v>
      </c>
      <c r="E619" s="91" t="s">
        <v>5368</v>
      </c>
      <c r="F619" s="49" t="s">
        <v>5091</v>
      </c>
    </row>
    <row r="620" spans="1:6">
      <c r="A620" s="46"/>
      <c r="B620" s="46" t="s">
        <v>3037</v>
      </c>
      <c r="C620" s="47" t="s">
        <v>1489</v>
      </c>
      <c r="D620" s="47" t="s">
        <v>4813</v>
      </c>
      <c r="E620" s="91" t="s">
        <v>1683</v>
      </c>
      <c r="F620" s="48" t="s">
        <v>5079</v>
      </c>
    </row>
    <row r="621" spans="1:6">
      <c r="A621" s="43"/>
      <c r="B621" s="43" t="s">
        <v>3037</v>
      </c>
      <c r="C621" s="44" t="s">
        <v>1489</v>
      </c>
      <c r="D621" s="44" t="s">
        <v>4809</v>
      </c>
      <c r="E621" s="91" t="s">
        <v>5349</v>
      </c>
      <c r="F621" s="49" t="s">
        <v>5075</v>
      </c>
    </row>
    <row r="622" spans="1:6">
      <c r="A622" s="46"/>
      <c r="B622" s="46" t="s">
        <v>3037</v>
      </c>
      <c r="C622" s="47" t="s">
        <v>1489</v>
      </c>
      <c r="D622" s="47" t="s">
        <v>4826</v>
      </c>
      <c r="E622" s="91" t="s">
        <v>5369</v>
      </c>
      <c r="F622" s="48" t="s">
        <v>5092</v>
      </c>
    </row>
    <row r="623" spans="1:6">
      <c r="A623" s="43"/>
      <c r="B623" s="43" t="s">
        <v>3037</v>
      </c>
      <c r="C623" s="44" t="s">
        <v>1489</v>
      </c>
      <c r="D623" s="44" t="s">
        <v>4991</v>
      </c>
      <c r="E623" s="91" t="s">
        <v>5591</v>
      </c>
      <c r="F623" s="49" t="s">
        <v>5257</v>
      </c>
    </row>
    <row r="624" spans="1:6">
      <c r="A624" s="46"/>
      <c r="B624" s="46" t="s">
        <v>3037</v>
      </c>
      <c r="C624" s="47" t="s">
        <v>1489</v>
      </c>
      <c r="D624" s="47" t="s">
        <v>3066</v>
      </c>
      <c r="E624" s="91" t="s">
        <v>5359</v>
      </c>
      <c r="F624" s="48" t="s">
        <v>3067</v>
      </c>
    </row>
    <row r="625" spans="1:6">
      <c r="A625" s="43"/>
      <c r="B625" s="43" t="s">
        <v>3037</v>
      </c>
      <c r="C625" s="44" t="s">
        <v>1489</v>
      </c>
      <c r="D625" s="44" t="s">
        <v>3068</v>
      </c>
      <c r="E625" s="91" t="s">
        <v>5360</v>
      </c>
      <c r="F625" s="49" t="s">
        <v>3069</v>
      </c>
    </row>
    <row r="626" spans="1:6">
      <c r="A626" s="46"/>
      <c r="B626" s="46" t="s">
        <v>3037</v>
      </c>
      <c r="C626" s="47" t="s">
        <v>1489</v>
      </c>
      <c r="D626" s="47" t="s">
        <v>4828</v>
      </c>
      <c r="E626" s="91" t="s">
        <v>5371</v>
      </c>
      <c r="F626" s="48" t="s">
        <v>5094</v>
      </c>
    </row>
    <row r="627" spans="1:6">
      <c r="A627" s="43"/>
      <c r="B627" s="43" t="s">
        <v>3037</v>
      </c>
      <c r="C627" s="44" t="s">
        <v>1489</v>
      </c>
      <c r="D627" s="44" t="s">
        <v>3113</v>
      </c>
      <c r="E627" s="91" t="s">
        <v>1713</v>
      </c>
      <c r="F627" s="49" t="s">
        <v>1501</v>
      </c>
    </row>
    <row r="628" spans="1:6">
      <c r="A628" s="46"/>
      <c r="B628" s="46" t="s">
        <v>3037</v>
      </c>
      <c r="C628" s="47" t="s">
        <v>1489</v>
      </c>
      <c r="D628" s="47" t="s">
        <v>4827</v>
      </c>
      <c r="E628" s="91" t="s">
        <v>5370</v>
      </c>
      <c r="F628" s="48" t="s">
        <v>5093</v>
      </c>
    </row>
    <row r="629" spans="1:6">
      <c r="A629" s="43"/>
      <c r="B629" s="43" t="s">
        <v>3037</v>
      </c>
      <c r="C629" s="44" t="s">
        <v>1489</v>
      </c>
      <c r="D629" s="44" t="s">
        <v>4823</v>
      </c>
      <c r="E629" s="91" t="s">
        <v>5366</v>
      </c>
      <c r="F629" s="49" t="s">
        <v>5089</v>
      </c>
    </row>
    <row r="630" spans="1:6">
      <c r="A630" s="46"/>
      <c r="B630" s="46" t="s">
        <v>3037</v>
      </c>
      <c r="C630" s="47" t="s">
        <v>1489</v>
      </c>
      <c r="D630" s="47" t="s">
        <v>4829</v>
      </c>
      <c r="E630" s="91" t="s">
        <v>5372</v>
      </c>
      <c r="F630" s="48" t="s">
        <v>5095</v>
      </c>
    </row>
    <row r="631" spans="1:6">
      <c r="A631" s="43"/>
      <c r="B631" s="43" t="s">
        <v>3037</v>
      </c>
      <c r="C631" s="44" t="s">
        <v>1489</v>
      </c>
      <c r="D631" s="44" t="s">
        <v>3063</v>
      </c>
      <c r="E631" s="91" t="s">
        <v>5353</v>
      </c>
      <c r="F631" s="49" t="s">
        <v>1491</v>
      </c>
    </row>
    <row r="632" spans="1:6">
      <c r="A632" s="46"/>
      <c r="B632" s="46" t="s">
        <v>3037</v>
      </c>
      <c r="C632" s="47" t="s">
        <v>1489</v>
      </c>
      <c r="D632" s="47" t="s">
        <v>4822</v>
      </c>
      <c r="E632" s="91" t="s">
        <v>5365</v>
      </c>
      <c r="F632" s="48" t="s">
        <v>5088</v>
      </c>
    </row>
    <row r="633" spans="1:6">
      <c r="A633" s="43"/>
      <c r="B633" s="43" t="s">
        <v>3037</v>
      </c>
      <c r="C633" s="44" t="s">
        <v>1489</v>
      </c>
      <c r="D633" s="44" t="s">
        <v>3072</v>
      </c>
      <c r="E633" s="91" t="s">
        <v>5374</v>
      </c>
      <c r="F633" s="49" t="s">
        <v>1492</v>
      </c>
    </row>
    <row r="634" spans="1:6">
      <c r="A634" s="46"/>
      <c r="B634" s="46" t="s">
        <v>3037</v>
      </c>
      <c r="C634" s="47" t="s">
        <v>1489</v>
      </c>
      <c r="D634" s="47" t="s">
        <v>4836</v>
      </c>
      <c r="E634" s="91" t="s">
        <v>5381</v>
      </c>
      <c r="F634" s="48" t="s">
        <v>5102</v>
      </c>
    </row>
    <row r="635" spans="1:6">
      <c r="A635" s="43"/>
      <c r="B635" s="43" t="s">
        <v>3037</v>
      </c>
      <c r="C635" s="44" t="s">
        <v>1489</v>
      </c>
      <c r="D635" s="44" t="s">
        <v>4948</v>
      </c>
      <c r="E635" s="91" t="s">
        <v>5534</v>
      </c>
      <c r="F635" s="49" t="s">
        <v>5214</v>
      </c>
    </row>
    <row r="636" spans="1:6">
      <c r="A636" s="46"/>
      <c r="B636" s="46" t="s">
        <v>3037</v>
      </c>
      <c r="C636" s="47" t="s">
        <v>1489</v>
      </c>
      <c r="D636" s="47" t="s">
        <v>3074</v>
      </c>
      <c r="E636" s="91" t="s">
        <v>5376</v>
      </c>
      <c r="F636" s="48" t="s">
        <v>3075</v>
      </c>
    </row>
    <row r="637" spans="1:6">
      <c r="A637" s="43"/>
      <c r="B637" s="43" t="s">
        <v>3037</v>
      </c>
      <c r="C637" s="44" t="s">
        <v>1489</v>
      </c>
      <c r="D637" s="44" t="s">
        <v>4832</v>
      </c>
      <c r="E637" s="91" t="s">
        <v>5377</v>
      </c>
      <c r="F637" s="49" t="s">
        <v>5098</v>
      </c>
    </row>
    <row r="638" spans="1:6">
      <c r="A638" s="46"/>
      <c r="B638" s="46" t="s">
        <v>3037</v>
      </c>
      <c r="C638" s="47" t="s">
        <v>1489</v>
      </c>
      <c r="D638" s="47" t="s">
        <v>4833</v>
      </c>
      <c r="E638" s="91" t="s">
        <v>5378</v>
      </c>
      <c r="F638" s="48" t="s">
        <v>5099</v>
      </c>
    </row>
    <row r="639" spans="1:6">
      <c r="A639" s="43"/>
      <c r="B639" s="43" t="s">
        <v>3037</v>
      </c>
      <c r="C639" s="44" t="s">
        <v>1489</v>
      </c>
      <c r="D639" s="44" t="s">
        <v>3176</v>
      </c>
      <c r="E639" s="91" t="s">
        <v>2046</v>
      </c>
      <c r="F639" s="49" t="s">
        <v>1508</v>
      </c>
    </row>
    <row r="640" spans="1:6">
      <c r="A640" s="46"/>
      <c r="B640" s="46" t="s">
        <v>3037</v>
      </c>
      <c r="C640" s="47" t="s">
        <v>1489</v>
      </c>
      <c r="D640" s="47" t="s">
        <v>4835</v>
      </c>
      <c r="E640" s="91" t="s">
        <v>5380</v>
      </c>
      <c r="F640" s="48" t="s">
        <v>5101</v>
      </c>
    </row>
    <row r="641" spans="1:6">
      <c r="A641" s="43"/>
      <c r="B641" s="43" t="s">
        <v>3037</v>
      </c>
      <c r="C641" s="44" t="s">
        <v>1489</v>
      </c>
      <c r="D641" s="44" t="s">
        <v>3076</v>
      </c>
      <c r="E641" s="91" t="s">
        <v>5382</v>
      </c>
      <c r="F641" s="49" t="s">
        <v>3077</v>
      </c>
    </row>
    <row r="642" spans="1:6">
      <c r="A642" s="46"/>
      <c r="B642" s="46" t="s">
        <v>3037</v>
      </c>
      <c r="C642" s="47" t="s">
        <v>1489</v>
      </c>
      <c r="D642" s="47" t="s">
        <v>4837</v>
      </c>
      <c r="E642" s="91" t="s">
        <v>5383</v>
      </c>
      <c r="F642" s="48" t="s">
        <v>5103</v>
      </c>
    </row>
    <row r="643" spans="1:6">
      <c r="A643" s="43"/>
      <c r="B643" s="43" t="s">
        <v>3037</v>
      </c>
      <c r="C643" s="44" t="s">
        <v>1489</v>
      </c>
      <c r="D643" s="44" t="s">
        <v>4839</v>
      </c>
      <c r="E643" s="91" t="s">
        <v>5388</v>
      </c>
      <c r="F643" s="49" t="s">
        <v>5105</v>
      </c>
    </row>
    <row r="644" spans="1:6">
      <c r="A644" s="46"/>
      <c r="B644" s="46" t="s">
        <v>3037</v>
      </c>
      <c r="C644" s="47" t="s">
        <v>1489</v>
      </c>
      <c r="D644" s="47" t="s">
        <v>10</v>
      </c>
      <c r="E644" s="91" t="s">
        <v>5385</v>
      </c>
      <c r="F644" s="48" t="s">
        <v>1495</v>
      </c>
    </row>
    <row r="645" spans="1:6">
      <c r="A645" s="43"/>
      <c r="B645" s="43" t="s">
        <v>3037</v>
      </c>
      <c r="C645" s="44" t="s">
        <v>1489</v>
      </c>
      <c r="D645" s="44" t="s">
        <v>4838</v>
      </c>
      <c r="E645" s="91" t="s">
        <v>5387</v>
      </c>
      <c r="F645" s="49" t="s">
        <v>5104</v>
      </c>
    </row>
    <row r="646" spans="1:6">
      <c r="A646" s="46"/>
      <c r="B646" s="46" t="s">
        <v>3037</v>
      </c>
      <c r="C646" s="47" t="s">
        <v>1489</v>
      </c>
      <c r="D646" s="47" t="s">
        <v>3079</v>
      </c>
      <c r="E646" s="91" t="s">
        <v>5386</v>
      </c>
      <c r="F646" s="48" t="s">
        <v>3080</v>
      </c>
    </row>
    <row r="647" spans="1:6">
      <c r="A647" s="43"/>
      <c r="B647" s="43" t="s">
        <v>3037</v>
      </c>
      <c r="C647" s="44" t="s">
        <v>1489</v>
      </c>
      <c r="D647" s="44" t="s">
        <v>3081</v>
      </c>
      <c r="E647" s="91" t="s">
        <v>1776</v>
      </c>
      <c r="F647" s="49" t="s">
        <v>1497</v>
      </c>
    </row>
    <row r="648" spans="1:6">
      <c r="A648" s="46"/>
      <c r="B648" s="46" t="s">
        <v>3037</v>
      </c>
      <c r="C648" s="47" t="s">
        <v>1489</v>
      </c>
      <c r="D648" s="47" t="s">
        <v>4841</v>
      </c>
      <c r="E648" s="91" t="s">
        <v>5390</v>
      </c>
      <c r="F648" s="48" t="s">
        <v>5107</v>
      </c>
    </row>
    <row r="649" spans="1:6">
      <c r="A649" s="43"/>
      <c r="B649" s="43" t="s">
        <v>3037</v>
      </c>
      <c r="C649" s="44" t="s">
        <v>1489</v>
      </c>
      <c r="D649" s="44" t="s">
        <v>4842</v>
      </c>
      <c r="E649" s="91" t="s">
        <v>1782</v>
      </c>
      <c r="F649" s="49" t="s">
        <v>5108</v>
      </c>
    </row>
    <row r="650" spans="1:6">
      <c r="A650" s="46"/>
      <c r="B650" s="46" t="s">
        <v>3037</v>
      </c>
      <c r="C650" s="47" t="s">
        <v>1489</v>
      </c>
      <c r="D650" s="47" t="s">
        <v>3084</v>
      </c>
      <c r="E650" s="91" t="s">
        <v>5392</v>
      </c>
      <c r="F650" s="48" t="s">
        <v>3085</v>
      </c>
    </row>
    <row r="651" spans="1:6">
      <c r="A651" s="43"/>
      <c r="B651" s="43" t="s">
        <v>3037</v>
      </c>
      <c r="C651" s="44" t="s">
        <v>1489</v>
      </c>
      <c r="D651" s="44" t="s">
        <v>3086</v>
      </c>
      <c r="E651" s="91" t="s">
        <v>5393</v>
      </c>
      <c r="F651" s="49" t="s">
        <v>3087</v>
      </c>
    </row>
    <row r="652" spans="1:6">
      <c r="A652" s="46"/>
      <c r="B652" s="46" t="s">
        <v>3037</v>
      </c>
      <c r="C652" s="47" t="s">
        <v>1489</v>
      </c>
      <c r="D652" s="47" t="s">
        <v>4862</v>
      </c>
      <c r="E652" s="91" t="s">
        <v>5423</v>
      </c>
      <c r="F652" s="48" t="s">
        <v>5128</v>
      </c>
    </row>
    <row r="653" spans="1:6">
      <c r="A653" s="43"/>
      <c r="B653" s="43" t="s">
        <v>3037</v>
      </c>
      <c r="C653" s="44" t="s">
        <v>1489</v>
      </c>
      <c r="D653" s="44" t="s">
        <v>3090</v>
      </c>
      <c r="E653" s="91" t="s">
        <v>5396</v>
      </c>
      <c r="F653" s="49" t="s">
        <v>3091</v>
      </c>
    </row>
    <row r="654" spans="1:6">
      <c r="A654" s="46"/>
      <c r="B654" s="46" t="s">
        <v>3037</v>
      </c>
      <c r="C654" s="47" t="s">
        <v>1489</v>
      </c>
      <c r="D654" s="47" t="s">
        <v>4844</v>
      </c>
      <c r="E654" s="91" t="s">
        <v>5397</v>
      </c>
      <c r="F654" s="48" t="s">
        <v>5110</v>
      </c>
    </row>
    <row r="655" spans="1:6">
      <c r="A655" s="43"/>
      <c r="B655" s="43" t="s">
        <v>3037</v>
      </c>
      <c r="C655" s="44" t="s">
        <v>1489</v>
      </c>
      <c r="D655" s="44" t="s">
        <v>4848</v>
      </c>
      <c r="E655" s="91" t="s">
        <v>5402</v>
      </c>
      <c r="F655" s="49" t="s">
        <v>5114</v>
      </c>
    </row>
    <row r="656" spans="1:6">
      <c r="A656" s="46"/>
      <c r="B656" s="46" t="s">
        <v>3037</v>
      </c>
      <c r="C656" s="47" t="s">
        <v>1489</v>
      </c>
      <c r="D656" s="47" t="s">
        <v>3092</v>
      </c>
      <c r="E656" s="91" t="s">
        <v>1797</v>
      </c>
      <c r="F656" s="48" t="s">
        <v>1498</v>
      </c>
    </row>
    <row r="657" spans="1:6">
      <c r="A657" s="43"/>
      <c r="B657" s="43" t="s">
        <v>3037</v>
      </c>
      <c r="C657" s="44" t="s">
        <v>1489</v>
      </c>
      <c r="D657" s="44" t="s">
        <v>4846</v>
      </c>
      <c r="E657" s="91" t="s">
        <v>5400</v>
      </c>
      <c r="F657" s="49" t="s">
        <v>5112</v>
      </c>
    </row>
    <row r="658" spans="1:6">
      <c r="A658" s="46"/>
      <c r="B658" s="46" t="s">
        <v>3037</v>
      </c>
      <c r="C658" s="47" t="s">
        <v>1489</v>
      </c>
      <c r="D658" s="47" t="s">
        <v>4845</v>
      </c>
      <c r="E658" s="91" t="s">
        <v>5398</v>
      </c>
      <c r="F658" s="48" t="s">
        <v>5111</v>
      </c>
    </row>
    <row r="659" spans="1:6">
      <c r="A659" s="43"/>
      <c r="B659" s="43" t="s">
        <v>3037</v>
      </c>
      <c r="C659" s="44" t="s">
        <v>1489</v>
      </c>
      <c r="D659" s="44" t="s">
        <v>5017</v>
      </c>
      <c r="E659" s="91" t="s">
        <v>5623</v>
      </c>
      <c r="F659" s="49" t="s">
        <v>5283</v>
      </c>
    </row>
    <row r="660" spans="1:6">
      <c r="A660" s="46"/>
      <c r="B660" s="46" t="s">
        <v>3037</v>
      </c>
      <c r="C660" s="47" t="s">
        <v>1489</v>
      </c>
      <c r="D660" s="47" t="s">
        <v>3093</v>
      </c>
      <c r="E660" s="91" t="s">
        <v>1800</v>
      </c>
      <c r="F660" s="48" t="s">
        <v>1499</v>
      </c>
    </row>
    <row r="661" spans="1:6">
      <c r="A661" s="43"/>
      <c r="B661" s="43" t="s">
        <v>3037</v>
      </c>
      <c r="C661" s="44" t="s">
        <v>1489</v>
      </c>
      <c r="D661" s="44" t="s">
        <v>4847</v>
      </c>
      <c r="E661" s="91" t="s">
        <v>5401</v>
      </c>
      <c r="F661" s="49" t="s">
        <v>5113</v>
      </c>
    </row>
    <row r="662" spans="1:6">
      <c r="A662" s="46"/>
      <c r="B662" s="46" t="s">
        <v>3037</v>
      </c>
      <c r="C662" s="47" t="s">
        <v>1489</v>
      </c>
      <c r="D662" s="47" t="s">
        <v>3094</v>
      </c>
      <c r="E662" s="91" t="s">
        <v>5399</v>
      </c>
      <c r="F662" s="48" t="s">
        <v>3095</v>
      </c>
    </row>
    <row r="663" spans="1:6">
      <c r="A663" s="43"/>
      <c r="B663" s="43" t="s">
        <v>3037</v>
      </c>
      <c r="C663" s="44" t="s">
        <v>1489</v>
      </c>
      <c r="D663" s="44" t="s">
        <v>4849</v>
      </c>
      <c r="E663" s="91" t="s">
        <v>5403</v>
      </c>
      <c r="F663" s="49" t="s">
        <v>5115</v>
      </c>
    </row>
    <row r="664" spans="1:6">
      <c r="A664" s="46"/>
      <c r="B664" s="46" t="s">
        <v>3037</v>
      </c>
      <c r="C664" s="47" t="s">
        <v>1489</v>
      </c>
      <c r="D664" s="47" t="s">
        <v>3099</v>
      </c>
      <c r="E664" s="91" t="s">
        <v>5407</v>
      </c>
      <c r="F664" s="48" t="s">
        <v>3100</v>
      </c>
    </row>
    <row r="665" spans="1:6">
      <c r="A665" s="43"/>
      <c r="B665" s="43" t="s">
        <v>3037</v>
      </c>
      <c r="C665" s="44" t="s">
        <v>1489</v>
      </c>
      <c r="D665" s="44" t="s">
        <v>3129</v>
      </c>
      <c r="E665" s="91" t="s">
        <v>5455</v>
      </c>
      <c r="F665" s="49" t="s">
        <v>3130</v>
      </c>
    </row>
    <row r="666" spans="1:6">
      <c r="A666" s="46"/>
      <c r="B666" s="46" t="s">
        <v>3037</v>
      </c>
      <c r="C666" s="47" t="s">
        <v>1489</v>
      </c>
      <c r="D666" s="47" t="s">
        <v>3073</v>
      </c>
      <c r="E666" s="91" t="s">
        <v>1821</v>
      </c>
      <c r="F666" s="48" t="s">
        <v>1493</v>
      </c>
    </row>
    <row r="667" spans="1:6">
      <c r="A667" s="43"/>
      <c r="B667" s="43" t="s">
        <v>3037</v>
      </c>
      <c r="C667" s="44" t="s">
        <v>1489</v>
      </c>
      <c r="D667" s="44" t="s">
        <v>4852</v>
      </c>
      <c r="E667" s="91" t="s">
        <v>5411</v>
      </c>
      <c r="F667" s="49" t="s">
        <v>5118</v>
      </c>
    </row>
    <row r="668" spans="1:6">
      <c r="A668" s="46"/>
      <c r="B668" s="46" t="s">
        <v>3037</v>
      </c>
      <c r="C668" s="47" t="s">
        <v>1489</v>
      </c>
      <c r="D668" s="47" t="s">
        <v>4850</v>
      </c>
      <c r="E668" s="91" t="s">
        <v>5404</v>
      </c>
      <c r="F668" s="48" t="s">
        <v>5116</v>
      </c>
    </row>
    <row r="669" spans="1:6">
      <c r="A669" s="43"/>
      <c r="B669" s="43" t="s">
        <v>3037</v>
      </c>
      <c r="C669" s="44" t="s">
        <v>1489</v>
      </c>
      <c r="D669" s="44" t="s">
        <v>4851</v>
      </c>
      <c r="E669" s="91" t="s">
        <v>5410</v>
      </c>
      <c r="F669" s="49" t="s">
        <v>5117</v>
      </c>
    </row>
    <row r="670" spans="1:6">
      <c r="A670" s="46"/>
      <c r="B670" s="46" t="s">
        <v>3037</v>
      </c>
      <c r="C670" s="47" t="s">
        <v>1489</v>
      </c>
      <c r="D670" s="47" t="s">
        <v>3078</v>
      </c>
      <c r="E670" s="91" t="s">
        <v>5384</v>
      </c>
      <c r="F670" s="48" t="s">
        <v>1494</v>
      </c>
    </row>
    <row r="671" spans="1:6">
      <c r="A671" s="43"/>
      <c r="B671" s="43" t="s">
        <v>3037</v>
      </c>
      <c r="C671" s="44" t="s">
        <v>1489</v>
      </c>
      <c r="D671" s="44" t="s">
        <v>4854</v>
      </c>
      <c r="E671" s="91" t="s">
        <v>5413</v>
      </c>
      <c r="F671" s="49" t="s">
        <v>5120</v>
      </c>
    </row>
    <row r="672" spans="1:6">
      <c r="A672" s="46"/>
      <c r="B672" s="46" t="s">
        <v>3037</v>
      </c>
      <c r="C672" s="47" t="s">
        <v>1489</v>
      </c>
      <c r="D672" s="47" t="s">
        <v>3127</v>
      </c>
      <c r="E672" s="91" t="s">
        <v>5453</v>
      </c>
      <c r="F672" s="48" t="s">
        <v>3128</v>
      </c>
    </row>
    <row r="673" spans="1:6">
      <c r="A673" s="43"/>
      <c r="B673" s="43" t="s">
        <v>3037</v>
      </c>
      <c r="C673" s="44" t="s">
        <v>1489</v>
      </c>
      <c r="D673" s="44" t="s">
        <v>3103</v>
      </c>
      <c r="E673" s="91" t="s">
        <v>5409</v>
      </c>
      <c r="F673" s="49" t="s">
        <v>3104</v>
      </c>
    </row>
    <row r="674" spans="1:6">
      <c r="A674" s="46"/>
      <c r="B674" s="46" t="s">
        <v>3037</v>
      </c>
      <c r="C674" s="47" t="s">
        <v>1489</v>
      </c>
      <c r="D674" s="47" t="s">
        <v>4857</v>
      </c>
      <c r="E674" s="91" t="s">
        <v>5416</v>
      </c>
      <c r="F674" s="48" t="s">
        <v>5123</v>
      </c>
    </row>
    <row r="675" spans="1:6">
      <c r="A675" s="43"/>
      <c r="B675" s="43" t="s">
        <v>3037</v>
      </c>
      <c r="C675" s="44" t="s">
        <v>1489</v>
      </c>
      <c r="D675" s="44" t="s">
        <v>4853</v>
      </c>
      <c r="E675" s="91" t="s">
        <v>5412</v>
      </c>
      <c r="F675" s="49" t="s">
        <v>5119</v>
      </c>
    </row>
    <row r="676" spans="1:6">
      <c r="A676" s="46"/>
      <c r="B676" s="46" t="s">
        <v>3037</v>
      </c>
      <c r="C676" s="47" t="s">
        <v>1489</v>
      </c>
      <c r="D676" s="47" t="s">
        <v>4856</v>
      </c>
      <c r="E676" s="91" t="s">
        <v>5415</v>
      </c>
      <c r="F676" s="48" t="s">
        <v>5122</v>
      </c>
    </row>
    <row r="677" spans="1:6">
      <c r="A677" s="43"/>
      <c r="B677" s="43" t="s">
        <v>3037</v>
      </c>
      <c r="C677" s="44" t="s">
        <v>1489</v>
      </c>
      <c r="D677" s="44" t="s">
        <v>4859</v>
      </c>
      <c r="E677" s="91" t="s">
        <v>5418</v>
      </c>
      <c r="F677" s="49" t="s">
        <v>5125</v>
      </c>
    </row>
    <row r="678" spans="1:6">
      <c r="A678" s="46"/>
      <c r="B678" s="46" t="s">
        <v>3037</v>
      </c>
      <c r="C678" s="47" t="s">
        <v>1489</v>
      </c>
      <c r="D678" s="47" t="s">
        <v>3105</v>
      </c>
      <c r="E678" s="91" t="s">
        <v>5419</v>
      </c>
      <c r="F678" s="48" t="s">
        <v>3106</v>
      </c>
    </row>
    <row r="679" spans="1:6">
      <c r="A679" s="43"/>
      <c r="B679" s="43" t="s">
        <v>3037</v>
      </c>
      <c r="C679" s="44" t="s">
        <v>1489</v>
      </c>
      <c r="D679" s="44" t="s">
        <v>4858</v>
      </c>
      <c r="E679" s="91" t="s">
        <v>5417</v>
      </c>
      <c r="F679" s="49" t="s">
        <v>5124</v>
      </c>
    </row>
    <row r="680" spans="1:6">
      <c r="A680" s="46"/>
      <c r="B680" s="46" t="s">
        <v>3037</v>
      </c>
      <c r="C680" s="47" t="s">
        <v>1489</v>
      </c>
      <c r="D680" s="47" t="s">
        <v>4868</v>
      </c>
      <c r="E680" s="91" t="s">
        <v>5431</v>
      </c>
      <c r="F680" s="48" t="s">
        <v>5134</v>
      </c>
    </row>
    <row r="681" spans="1:6">
      <c r="A681" s="43"/>
      <c r="B681" s="43" t="s">
        <v>3037</v>
      </c>
      <c r="C681" s="44" t="s">
        <v>1489</v>
      </c>
      <c r="D681" s="44" t="s">
        <v>4865</v>
      </c>
      <c r="E681" s="91" t="s">
        <v>5428</v>
      </c>
      <c r="F681" s="49" t="s">
        <v>5131</v>
      </c>
    </row>
    <row r="682" spans="1:6">
      <c r="A682" s="46"/>
      <c r="B682" s="46" t="s">
        <v>3037</v>
      </c>
      <c r="C682" s="47" t="s">
        <v>1489</v>
      </c>
      <c r="D682" s="47" t="s">
        <v>3107</v>
      </c>
      <c r="E682" s="91" t="s">
        <v>5422</v>
      </c>
      <c r="F682" s="48" t="s">
        <v>3108</v>
      </c>
    </row>
    <row r="683" spans="1:6">
      <c r="A683" s="43"/>
      <c r="B683" s="43" t="s">
        <v>3037</v>
      </c>
      <c r="C683" s="44" t="s">
        <v>1489</v>
      </c>
      <c r="D683" s="44" t="s">
        <v>3109</v>
      </c>
      <c r="E683" s="91" t="s">
        <v>5424</v>
      </c>
      <c r="F683" s="49" t="s">
        <v>3110</v>
      </c>
    </row>
    <row r="684" spans="1:6">
      <c r="A684" s="46"/>
      <c r="B684" s="46" t="s">
        <v>3037</v>
      </c>
      <c r="C684" s="47" t="s">
        <v>1489</v>
      </c>
      <c r="D684" s="47" t="s">
        <v>3111</v>
      </c>
      <c r="E684" s="91" t="s">
        <v>5426</v>
      </c>
      <c r="F684" s="48" t="s">
        <v>3112</v>
      </c>
    </row>
    <row r="685" spans="1:6">
      <c r="A685" s="43"/>
      <c r="B685" s="43" t="s">
        <v>3037</v>
      </c>
      <c r="C685" s="44" t="s">
        <v>1489</v>
      </c>
      <c r="D685" s="44" t="s">
        <v>4864</v>
      </c>
      <c r="E685" s="91" t="s">
        <v>5427</v>
      </c>
      <c r="F685" s="49" t="s">
        <v>5130</v>
      </c>
    </row>
    <row r="686" spans="1:6">
      <c r="A686" s="46"/>
      <c r="B686" s="46" t="s">
        <v>3037</v>
      </c>
      <c r="C686" s="47" t="s">
        <v>1489</v>
      </c>
      <c r="D686" s="47" t="s">
        <v>4861</v>
      </c>
      <c r="E686" s="91" t="s">
        <v>5421</v>
      </c>
      <c r="F686" s="48" t="s">
        <v>5127</v>
      </c>
    </row>
    <row r="687" spans="1:6">
      <c r="A687" s="43"/>
      <c r="B687" s="43" t="s">
        <v>3037</v>
      </c>
      <c r="C687" s="44" t="s">
        <v>1489</v>
      </c>
      <c r="D687" s="44" t="s">
        <v>4863</v>
      </c>
      <c r="E687" s="91" t="s">
        <v>5425</v>
      </c>
      <c r="F687" s="49" t="s">
        <v>5129</v>
      </c>
    </row>
    <row r="688" spans="1:6">
      <c r="A688" s="46"/>
      <c r="B688" s="46" t="s">
        <v>3037</v>
      </c>
      <c r="C688" s="47" t="s">
        <v>1489</v>
      </c>
      <c r="D688" s="47" t="s">
        <v>3114</v>
      </c>
      <c r="E688" s="91" t="s">
        <v>1875</v>
      </c>
      <c r="F688" s="48" t="s">
        <v>1502</v>
      </c>
    </row>
    <row r="689" spans="1:6">
      <c r="A689" s="43"/>
      <c r="B689" s="43" t="s">
        <v>3037</v>
      </c>
      <c r="C689" s="44" t="s">
        <v>1489</v>
      </c>
      <c r="D689" s="44" t="s">
        <v>4867</v>
      </c>
      <c r="E689" s="91" t="s">
        <v>5430</v>
      </c>
      <c r="F689" s="49" t="s">
        <v>5133</v>
      </c>
    </row>
    <row r="690" spans="1:6">
      <c r="A690" s="46"/>
      <c r="B690" s="46" t="s">
        <v>3037</v>
      </c>
      <c r="C690" s="47" t="s">
        <v>1489</v>
      </c>
      <c r="D690" s="47" t="s">
        <v>3123</v>
      </c>
      <c r="E690" s="91" t="s">
        <v>1878</v>
      </c>
      <c r="F690" s="48" t="s">
        <v>1503</v>
      </c>
    </row>
    <row r="691" spans="1:6">
      <c r="A691" s="43"/>
      <c r="B691" s="43" t="s">
        <v>3037</v>
      </c>
      <c r="C691" s="44" t="s">
        <v>1489</v>
      </c>
      <c r="D691" s="44" t="s">
        <v>4869</v>
      </c>
      <c r="E691" s="91" t="s">
        <v>5434</v>
      </c>
      <c r="F691" s="49" t="s">
        <v>5135</v>
      </c>
    </row>
    <row r="692" spans="1:6">
      <c r="A692" s="46"/>
      <c r="B692" s="46" t="s">
        <v>3037</v>
      </c>
      <c r="C692" s="47" t="s">
        <v>1489</v>
      </c>
      <c r="D692" s="47" t="s">
        <v>3117</v>
      </c>
      <c r="E692" s="91" t="s">
        <v>5433</v>
      </c>
      <c r="F692" s="48" t="s">
        <v>3118</v>
      </c>
    </row>
    <row r="693" spans="1:6">
      <c r="A693" s="43"/>
      <c r="B693" s="43" t="s">
        <v>3037</v>
      </c>
      <c r="C693" s="44" t="s">
        <v>1489</v>
      </c>
      <c r="D693" s="44" t="s">
        <v>4870</v>
      </c>
      <c r="E693" s="91" t="s">
        <v>5435</v>
      </c>
      <c r="F693" s="49" t="s">
        <v>5136</v>
      </c>
    </row>
    <row r="694" spans="1:6">
      <c r="A694" s="46"/>
      <c r="B694" s="46" t="s">
        <v>3037</v>
      </c>
      <c r="C694" s="47" t="s">
        <v>1489</v>
      </c>
      <c r="D694" s="47" t="s">
        <v>4871</v>
      </c>
      <c r="E694" s="91" t="s">
        <v>5436</v>
      </c>
      <c r="F694" s="48" t="s">
        <v>5137</v>
      </c>
    </row>
    <row r="695" spans="1:6">
      <c r="A695" s="43"/>
      <c r="B695" s="43" t="s">
        <v>3037</v>
      </c>
      <c r="C695" s="44" t="s">
        <v>1489</v>
      </c>
      <c r="D695" s="44" t="s">
        <v>4875</v>
      </c>
      <c r="E695" s="91" t="s">
        <v>5441</v>
      </c>
      <c r="F695" s="49" t="s">
        <v>5141</v>
      </c>
    </row>
    <row r="696" spans="1:6">
      <c r="A696" s="46"/>
      <c r="B696" s="46" t="s">
        <v>3037</v>
      </c>
      <c r="C696" s="47" t="s">
        <v>1489</v>
      </c>
      <c r="D696" s="47" t="s">
        <v>4872</v>
      </c>
      <c r="E696" s="91" t="s">
        <v>5438</v>
      </c>
      <c r="F696" s="48" t="s">
        <v>5138</v>
      </c>
    </row>
    <row r="697" spans="1:6">
      <c r="A697" s="43"/>
      <c r="B697" s="43" t="s">
        <v>3037</v>
      </c>
      <c r="C697" s="44" t="s">
        <v>1489</v>
      </c>
      <c r="D697" s="44" t="s">
        <v>4873</v>
      </c>
      <c r="E697" s="91" t="s">
        <v>5439</v>
      </c>
      <c r="F697" s="49" t="s">
        <v>5139</v>
      </c>
    </row>
    <row r="698" spans="1:6">
      <c r="A698" s="46"/>
      <c r="B698" s="46" t="s">
        <v>3037</v>
      </c>
      <c r="C698" s="47" t="s">
        <v>1489</v>
      </c>
      <c r="D698" s="47" t="s">
        <v>3121</v>
      </c>
      <c r="E698" s="91" t="s">
        <v>1881</v>
      </c>
      <c r="F698" s="48" t="s">
        <v>3122</v>
      </c>
    </row>
    <row r="699" spans="1:6">
      <c r="A699" s="43"/>
      <c r="B699" s="43" t="s">
        <v>3037</v>
      </c>
      <c r="C699" s="44" t="s">
        <v>1489</v>
      </c>
      <c r="D699" s="44" t="s">
        <v>4874</v>
      </c>
      <c r="E699" s="91" t="s">
        <v>5440</v>
      </c>
      <c r="F699" s="49" t="s">
        <v>5140</v>
      </c>
    </row>
    <row r="700" spans="1:6">
      <c r="A700" s="46"/>
      <c r="B700" s="46" t="s">
        <v>3037</v>
      </c>
      <c r="C700" s="47" t="s">
        <v>1489</v>
      </c>
      <c r="D700" s="47" t="s">
        <v>3119</v>
      </c>
      <c r="E700" s="91" t="s">
        <v>5437</v>
      </c>
      <c r="F700" s="48" t="s">
        <v>3120</v>
      </c>
    </row>
    <row r="701" spans="1:6">
      <c r="A701" s="43"/>
      <c r="B701" s="43" t="s">
        <v>3037</v>
      </c>
      <c r="C701" s="44" t="s">
        <v>1489</v>
      </c>
      <c r="D701" s="44" t="s">
        <v>4876</v>
      </c>
      <c r="E701" s="91" t="s">
        <v>5442</v>
      </c>
      <c r="F701" s="49" t="s">
        <v>5142</v>
      </c>
    </row>
    <row r="702" spans="1:6">
      <c r="A702" s="46"/>
      <c r="B702" s="46" t="s">
        <v>3037</v>
      </c>
      <c r="C702" s="47" t="s">
        <v>1489</v>
      </c>
      <c r="D702" s="47" t="s">
        <v>3098</v>
      </c>
      <c r="E702" s="91" t="s">
        <v>5406</v>
      </c>
      <c r="F702" s="48" t="s">
        <v>1500</v>
      </c>
    </row>
    <row r="703" spans="1:6">
      <c r="A703" s="43"/>
      <c r="B703" s="43" t="s">
        <v>3037</v>
      </c>
      <c r="C703" s="44" t="s">
        <v>1489</v>
      </c>
      <c r="D703" s="44" t="s">
        <v>4879</v>
      </c>
      <c r="E703" s="91" t="s">
        <v>5445</v>
      </c>
      <c r="F703" s="49" t="s">
        <v>5145</v>
      </c>
    </row>
    <row r="704" spans="1:6">
      <c r="A704" s="46"/>
      <c r="B704" s="46" t="s">
        <v>3037</v>
      </c>
      <c r="C704" s="47" t="s">
        <v>1489</v>
      </c>
      <c r="D704" s="47" t="s">
        <v>4877</v>
      </c>
      <c r="E704" s="91" t="s">
        <v>5443</v>
      </c>
      <c r="F704" s="48" t="s">
        <v>5143</v>
      </c>
    </row>
    <row r="705" spans="1:6">
      <c r="A705" s="43"/>
      <c r="B705" s="43" t="s">
        <v>3037</v>
      </c>
      <c r="C705" s="44" t="s">
        <v>1489</v>
      </c>
      <c r="D705" s="44" t="s">
        <v>4880</v>
      </c>
      <c r="E705" s="91" t="s">
        <v>1899</v>
      </c>
      <c r="F705" s="49" t="s">
        <v>5146</v>
      </c>
    </row>
    <row r="706" spans="1:6">
      <c r="A706" s="46"/>
      <c r="B706" s="46" t="s">
        <v>3037</v>
      </c>
      <c r="C706" s="47" t="s">
        <v>1489</v>
      </c>
      <c r="D706" s="47" t="s">
        <v>3124</v>
      </c>
      <c r="E706" s="91" t="s">
        <v>1902</v>
      </c>
      <c r="F706" s="48" t="s">
        <v>1504</v>
      </c>
    </row>
    <row r="707" spans="1:6">
      <c r="A707" s="43"/>
      <c r="B707" s="43" t="s">
        <v>3037</v>
      </c>
      <c r="C707" s="44" t="s">
        <v>1489</v>
      </c>
      <c r="D707" s="44" t="s">
        <v>4878</v>
      </c>
      <c r="E707" s="91" t="s">
        <v>5444</v>
      </c>
      <c r="F707" s="49" t="s">
        <v>5144</v>
      </c>
    </row>
    <row r="708" spans="1:6">
      <c r="A708" s="46"/>
      <c r="B708" s="46" t="s">
        <v>3037</v>
      </c>
      <c r="C708" s="47" t="s">
        <v>1489</v>
      </c>
      <c r="D708" s="47" t="s">
        <v>4881</v>
      </c>
      <c r="E708" s="91" t="s">
        <v>5446</v>
      </c>
      <c r="F708" s="48" t="s">
        <v>5147</v>
      </c>
    </row>
    <row r="709" spans="1:6">
      <c r="A709" s="43"/>
      <c r="B709" s="43" t="s">
        <v>3037</v>
      </c>
      <c r="C709" s="44" t="s">
        <v>1489</v>
      </c>
      <c r="D709" s="44" t="s">
        <v>4882</v>
      </c>
      <c r="E709" s="91" t="s">
        <v>5447</v>
      </c>
      <c r="F709" s="49" t="s">
        <v>5148</v>
      </c>
    </row>
    <row r="710" spans="1:6">
      <c r="A710" s="46"/>
      <c r="B710" s="46" t="s">
        <v>3037</v>
      </c>
      <c r="C710" s="47" t="s">
        <v>1489</v>
      </c>
      <c r="D710" s="47" t="s">
        <v>4883</v>
      </c>
      <c r="E710" s="91" t="s">
        <v>5448</v>
      </c>
      <c r="F710" s="48" t="s">
        <v>5149</v>
      </c>
    </row>
    <row r="711" spans="1:6">
      <c r="A711" s="43"/>
      <c r="B711" s="43" t="s">
        <v>3037</v>
      </c>
      <c r="C711" s="44" t="s">
        <v>1489</v>
      </c>
      <c r="D711" s="44" t="s">
        <v>3125</v>
      </c>
      <c r="E711" s="91" t="s">
        <v>1908</v>
      </c>
      <c r="F711" s="49" t="s">
        <v>3126</v>
      </c>
    </row>
    <row r="712" spans="1:6">
      <c r="A712" s="46"/>
      <c r="B712" s="46" t="s">
        <v>3037</v>
      </c>
      <c r="C712" s="47" t="s">
        <v>1489</v>
      </c>
      <c r="D712" s="47" t="s">
        <v>4886</v>
      </c>
      <c r="E712" s="91" t="s">
        <v>5451</v>
      </c>
      <c r="F712" s="48" t="s">
        <v>5152</v>
      </c>
    </row>
    <row r="713" spans="1:6">
      <c r="A713" s="43"/>
      <c r="B713" s="43" t="s">
        <v>3037</v>
      </c>
      <c r="C713" s="44" t="s">
        <v>1489</v>
      </c>
      <c r="D713" s="44" t="s">
        <v>4884</v>
      </c>
      <c r="E713" s="91" t="s">
        <v>5449</v>
      </c>
      <c r="F713" s="49" t="s">
        <v>5150</v>
      </c>
    </row>
    <row r="714" spans="1:6">
      <c r="A714" s="46"/>
      <c r="B714" s="46" t="s">
        <v>3037</v>
      </c>
      <c r="C714" s="47" t="s">
        <v>1489</v>
      </c>
      <c r="D714" s="47" t="s">
        <v>4885</v>
      </c>
      <c r="E714" s="91" t="s">
        <v>5450</v>
      </c>
      <c r="F714" s="48" t="s">
        <v>5151</v>
      </c>
    </row>
    <row r="715" spans="1:6">
      <c r="A715" s="43"/>
      <c r="B715" s="43" t="s">
        <v>3037</v>
      </c>
      <c r="C715" s="44" t="s">
        <v>1489</v>
      </c>
      <c r="D715" s="44" t="s">
        <v>4887</v>
      </c>
      <c r="E715" s="91" t="s">
        <v>5452</v>
      </c>
      <c r="F715" s="49" t="s">
        <v>5153</v>
      </c>
    </row>
    <row r="716" spans="1:6">
      <c r="A716" s="46"/>
      <c r="B716" s="46" t="s">
        <v>3037</v>
      </c>
      <c r="C716" s="47" t="s">
        <v>1489</v>
      </c>
      <c r="D716" s="47" t="s">
        <v>4808</v>
      </c>
      <c r="E716" s="91" t="s">
        <v>5348</v>
      </c>
      <c r="F716" s="48" t="s">
        <v>5074</v>
      </c>
    </row>
    <row r="717" spans="1:6">
      <c r="A717" s="43"/>
      <c r="B717" s="43" t="s">
        <v>3037</v>
      </c>
      <c r="C717" s="44" t="s">
        <v>1489</v>
      </c>
      <c r="D717" s="44" t="s">
        <v>4888</v>
      </c>
      <c r="E717" s="91" t="s">
        <v>5454</v>
      </c>
      <c r="F717" s="49" t="s">
        <v>5154</v>
      </c>
    </row>
    <row r="718" spans="1:6">
      <c r="A718" s="46"/>
      <c r="B718" s="46" t="s">
        <v>3037</v>
      </c>
      <c r="C718" s="47" t="s">
        <v>1489</v>
      </c>
      <c r="D718" s="47" t="s">
        <v>4819</v>
      </c>
      <c r="E718" s="91" t="s">
        <v>5362</v>
      </c>
      <c r="F718" s="48" t="s">
        <v>5085</v>
      </c>
    </row>
    <row r="719" spans="1:6">
      <c r="A719" s="43"/>
      <c r="B719" s="43" t="s">
        <v>3037</v>
      </c>
      <c r="C719" s="44" t="s">
        <v>1489</v>
      </c>
      <c r="D719" s="44" t="s">
        <v>3131</v>
      </c>
      <c r="E719" s="91" t="s">
        <v>1920</v>
      </c>
      <c r="F719" s="49" t="s">
        <v>3132</v>
      </c>
    </row>
    <row r="720" spans="1:6">
      <c r="A720" s="46"/>
      <c r="B720" s="46" t="s">
        <v>3037</v>
      </c>
      <c r="C720" s="47" t="s">
        <v>1489</v>
      </c>
      <c r="D720" s="47" t="s">
        <v>5023</v>
      </c>
      <c r="E720" s="91" t="s">
        <v>5631</v>
      </c>
      <c r="F720" s="48" t="s">
        <v>5289</v>
      </c>
    </row>
    <row r="721" spans="1:6">
      <c r="A721" s="43"/>
      <c r="B721" s="43" t="s">
        <v>3037</v>
      </c>
      <c r="C721" s="44" t="s">
        <v>1489</v>
      </c>
      <c r="D721" s="44" t="s">
        <v>3133</v>
      </c>
      <c r="E721" s="91" t="s">
        <v>1656</v>
      </c>
      <c r="F721" s="49" t="s">
        <v>3134</v>
      </c>
    </row>
    <row r="722" spans="1:6">
      <c r="A722" s="46"/>
      <c r="B722" s="46" t="s">
        <v>3037</v>
      </c>
      <c r="C722" s="47" t="s">
        <v>1489</v>
      </c>
      <c r="D722" s="47" t="s">
        <v>4890</v>
      </c>
      <c r="E722" s="91" t="s">
        <v>5457</v>
      </c>
      <c r="F722" s="48" t="s">
        <v>5156</v>
      </c>
    </row>
    <row r="723" spans="1:6">
      <c r="A723" s="43"/>
      <c r="B723" s="43" t="s">
        <v>3037</v>
      </c>
      <c r="C723" s="44" t="s">
        <v>1489</v>
      </c>
      <c r="D723" s="44" t="s">
        <v>3139</v>
      </c>
      <c r="E723" s="91" t="s">
        <v>5460</v>
      </c>
      <c r="F723" s="49" t="s">
        <v>3140</v>
      </c>
    </row>
    <row r="724" spans="1:6">
      <c r="A724" s="46"/>
      <c r="B724" s="46" t="s">
        <v>3037</v>
      </c>
      <c r="C724" s="47" t="s">
        <v>1489</v>
      </c>
      <c r="D724" s="47" t="s">
        <v>3135</v>
      </c>
      <c r="E724" s="91" t="s">
        <v>5458</v>
      </c>
      <c r="F724" s="48" t="s">
        <v>3136</v>
      </c>
    </row>
    <row r="725" spans="1:6">
      <c r="A725" s="43"/>
      <c r="B725" s="43" t="s">
        <v>3037</v>
      </c>
      <c r="C725" s="44" t="s">
        <v>1489</v>
      </c>
      <c r="D725" s="44" t="s">
        <v>3199</v>
      </c>
      <c r="E725" s="91" t="s">
        <v>5555</v>
      </c>
      <c r="F725" s="49" t="s">
        <v>3200</v>
      </c>
    </row>
    <row r="726" spans="1:6">
      <c r="A726" s="46"/>
      <c r="B726" s="46" t="s">
        <v>3037</v>
      </c>
      <c r="C726" s="47" t="s">
        <v>1489</v>
      </c>
      <c r="D726" s="47" t="s">
        <v>3141</v>
      </c>
      <c r="E726" s="91" t="s">
        <v>2226</v>
      </c>
      <c r="F726" s="48" t="s">
        <v>3142</v>
      </c>
    </row>
    <row r="727" spans="1:6">
      <c r="A727" s="43"/>
      <c r="B727" s="43" t="s">
        <v>3037</v>
      </c>
      <c r="C727" s="44" t="s">
        <v>1489</v>
      </c>
      <c r="D727" s="44" t="s">
        <v>4893</v>
      </c>
      <c r="E727" s="91" t="s">
        <v>5463</v>
      </c>
      <c r="F727" s="49" t="s">
        <v>5159</v>
      </c>
    </row>
    <row r="728" spans="1:6">
      <c r="A728" s="46"/>
      <c r="B728" s="46" t="s">
        <v>3037</v>
      </c>
      <c r="C728" s="47" t="s">
        <v>1489</v>
      </c>
      <c r="D728" s="47" t="s">
        <v>4892</v>
      </c>
      <c r="E728" s="91" t="s">
        <v>5461</v>
      </c>
      <c r="F728" s="48" t="s">
        <v>5158</v>
      </c>
    </row>
    <row r="729" spans="1:6">
      <c r="A729" s="43"/>
      <c r="B729" s="43" t="s">
        <v>3037</v>
      </c>
      <c r="C729" s="44" t="s">
        <v>1489</v>
      </c>
      <c r="D729" s="44" t="s">
        <v>3143</v>
      </c>
      <c r="E729" s="91" t="s">
        <v>5462</v>
      </c>
      <c r="F729" s="49" t="s">
        <v>3144</v>
      </c>
    </row>
    <row r="730" spans="1:6">
      <c r="A730" s="46"/>
      <c r="B730" s="46" t="s">
        <v>3037</v>
      </c>
      <c r="C730" s="47" t="s">
        <v>1489</v>
      </c>
      <c r="D730" s="47" t="s">
        <v>3137</v>
      </c>
      <c r="E730" s="91" t="s">
        <v>1926</v>
      </c>
      <c r="F730" s="48" t="s">
        <v>3138</v>
      </c>
    </row>
    <row r="731" spans="1:6">
      <c r="A731" s="43"/>
      <c r="B731" s="34" t="s">
        <v>3037</v>
      </c>
      <c r="C731" s="44" t="s">
        <v>1489</v>
      </c>
      <c r="D731" s="44" t="s">
        <v>4831</v>
      </c>
      <c r="E731" s="91" t="s">
        <v>5375</v>
      </c>
      <c r="F731" s="49" t="s">
        <v>5097</v>
      </c>
    </row>
    <row r="732" spans="1:6">
      <c r="A732" s="43"/>
      <c r="B732" s="34" t="s">
        <v>3037</v>
      </c>
      <c r="C732" s="35" t="s">
        <v>1489</v>
      </c>
      <c r="D732" s="44" t="s">
        <v>3145</v>
      </c>
      <c r="E732" s="91" t="s">
        <v>1938</v>
      </c>
      <c r="F732" s="49" t="s">
        <v>3146</v>
      </c>
    </row>
    <row r="733" spans="1:6">
      <c r="A733" s="43"/>
      <c r="B733" s="34" t="s">
        <v>3037</v>
      </c>
      <c r="C733" s="35" t="s">
        <v>1489</v>
      </c>
      <c r="D733" s="44" t="s">
        <v>4900</v>
      </c>
      <c r="E733" s="91" t="s">
        <v>1947</v>
      </c>
      <c r="F733" s="49" t="s">
        <v>5166</v>
      </c>
    </row>
    <row r="734" spans="1:6">
      <c r="A734" s="43"/>
      <c r="B734" s="34" t="s">
        <v>3037</v>
      </c>
      <c r="C734" s="35" t="s">
        <v>1489</v>
      </c>
      <c r="D734" s="44" t="s">
        <v>3147</v>
      </c>
      <c r="E734" s="91" t="s">
        <v>5465</v>
      </c>
      <c r="F734" s="49" t="s">
        <v>3148</v>
      </c>
    </row>
    <row r="735" spans="1:6">
      <c r="A735" s="43"/>
      <c r="B735" s="34" t="s">
        <v>3037</v>
      </c>
      <c r="C735" s="35" t="s">
        <v>1489</v>
      </c>
      <c r="D735" s="44" t="s">
        <v>3149</v>
      </c>
      <c r="E735" s="91" t="s">
        <v>5466</v>
      </c>
      <c r="F735" s="49" t="s">
        <v>1506</v>
      </c>
    </row>
    <row r="736" spans="1:6">
      <c r="A736" s="43"/>
      <c r="B736" s="34" t="s">
        <v>3037</v>
      </c>
      <c r="C736" s="35" t="s">
        <v>1489</v>
      </c>
      <c r="D736" s="44" t="s">
        <v>4899</v>
      </c>
      <c r="E736" s="91" t="s">
        <v>5473</v>
      </c>
      <c r="F736" s="49" t="s">
        <v>5165</v>
      </c>
    </row>
    <row r="737" spans="1:6">
      <c r="A737" s="43"/>
      <c r="B737" s="34" t="s">
        <v>3037</v>
      </c>
      <c r="C737" s="35" t="s">
        <v>1489</v>
      </c>
      <c r="D737" s="44" t="s">
        <v>4896</v>
      </c>
      <c r="E737" s="91" t="s">
        <v>5468</v>
      </c>
      <c r="F737" s="49" t="s">
        <v>5162</v>
      </c>
    </row>
    <row r="738" spans="1:6">
      <c r="A738" s="43"/>
      <c r="B738" s="34" t="s">
        <v>3037</v>
      </c>
      <c r="C738" s="35" t="s">
        <v>1489</v>
      </c>
      <c r="D738" s="44" t="s">
        <v>4895</v>
      </c>
      <c r="E738" s="91" t="s">
        <v>5467</v>
      </c>
      <c r="F738" s="49" t="s">
        <v>5161</v>
      </c>
    </row>
    <row r="739" spans="1:6">
      <c r="A739" s="43"/>
      <c r="B739" s="34" t="s">
        <v>3037</v>
      </c>
      <c r="C739" s="35" t="s">
        <v>1489</v>
      </c>
      <c r="D739" s="44" t="s">
        <v>3150</v>
      </c>
      <c r="E739" s="91" t="s">
        <v>5469</v>
      </c>
      <c r="F739" s="49" t="s">
        <v>3151</v>
      </c>
    </row>
    <row r="740" spans="1:6">
      <c r="A740" s="43"/>
      <c r="B740" s="34" t="s">
        <v>3037</v>
      </c>
      <c r="C740" s="35" t="s">
        <v>1489</v>
      </c>
      <c r="D740" s="44" t="s">
        <v>3152</v>
      </c>
      <c r="E740" s="91" t="s">
        <v>5470</v>
      </c>
      <c r="F740" s="49" t="s">
        <v>1505</v>
      </c>
    </row>
    <row r="741" spans="1:6">
      <c r="A741" s="43"/>
      <c r="B741" s="34" t="s">
        <v>3037</v>
      </c>
      <c r="C741" s="35" t="s">
        <v>1489</v>
      </c>
      <c r="D741" s="44" t="s">
        <v>4897</v>
      </c>
      <c r="E741" s="91" t="s">
        <v>5471</v>
      </c>
      <c r="F741" s="49" t="s">
        <v>5163</v>
      </c>
    </row>
    <row r="742" spans="1:6">
      <c r="A742" s="43"/>
      <c r="B742" s="34" t="s">
        <v>3037</v>
      </c>
      <c r="C742" s="35" t="s">
        <v>1489</v>
      </c>
      <c r="D742" s="44" t="s">
        <v>4834</v>
      </c>
      <c r="E742" s="91" t="s">
        <v>5379</v>
      </c>
      <c r="F742" s="49" t="s">
        <v>5100</v>
      </c>
    </row>
    <row r="743" spans="1:6">
      <c r="A743" s="43"/>
      <c r="B743" s="34" t="s">
        <v>3037</v>
      </c>
      <c r="C743" s="35" t="s">
        <v>1489</v>
      </c>
      <c r="D743" s="44" t="s">
        <v>4903</v>
      </c>
      <c r="E743" s="91" t="s">
        <v>5477</v>
      </c>
      <c r="F743" s="49" t="s">
        <v>5169</v>
      </c>
    </row>
    <row r="744" spans="1:6">
      <c r="A744" s="43"/>
      <c r="B744" s="34" t="s">
        <v>3037</v>
      </c>
      <c r="C744" s="35" t="s">
        <v>1489</v>
      </c>
      <c r="D744" s="44" t="s">
        <v>3153</v>
      </c>
      <c r="E744" s="91" t="s">
        <v>5476</v>
      </c>
      <c r="F744" s="49" t="s">
        <v>3154</v>
      </c>
    </row>
    <row r="745" spans="1:6">
      <c r="A745" s="43"/>
      <c r="B745" s="34" t="s">
        <v>3037</v>
      </c>
      <c r="C745" s="35" t="s">
        <v>1489</v>
      </c>
      <c r="D745" s="44" t="s">
        <v>4898</v>
      </c>
      <c r="E745" s="91" t="s">
        <v>5472</v>
      </c>
      <c r="F745" s="49" t="s">
        <v>5164</v>
      </c>
    </row>
    <row r="746" spans="1:6">
      <c r="A746" s="43"/>
      <c r="B746" s="34" t="s">
        <v>3037</v>
      </c>
      <c r="C746" s="35" t="s">
        <v>1489</v>
      </c>
      <c r="D746" s="44" t="s">
        <v>3157</v>
      </c>
      <c r="E746" s="91" t="s">
        <v>2082</v>
      </c>
      <c r="F746" s="49" t="s">
        <v>3158</v>
      </c>
    </row>
    <row r="747" spans="1:6">
      <c r="A747" s="43"/>
      <c r="B747" s="34" t="s">
        <v>3037</v>
      </c>
      <c r="C747" s="35" t="s">
        <v>1489</v>
      </c>
      <c r="D747" s="44" t="s">
        <v>4913</v>
      </c>
      <c r="E747" s="91" t="s">
        <v>5490</v>
      </c>
      <c r="F747" s="49" t="s">
        <v>5179</v>
      </c>
    </row>
    <row r="748" spans="1:6">
      <c r="A748" s="43"/>
      <c r="B748" s="34" t="s">
        <v>3037</v>
      </c>
      <c r="C748" s="35" t="s">
        <v>1489</v>
      </c>
      <c r="D748" s="44" t="s">
        <v>4921</v>
      </c>
      <c r="E748" s="91" t="s">
        <v>5500</v>
      </c>
      <c r="F748" s="49" t="s">
        <v>5187</v>
      </c>
    </row>
    <row r="749" spans="1:6">
      <c r="A749" s="43"/>
      <c r="B749" s="34" t="s">
        <v>3037</v>
      </c>
      <c r="C749" s="35" t="s">
        <v>1489</v>
      </c>
      <c r="D749" s="44" t="s">
        <v>3159</v>
      </c>
      <c r="E749" s="91" t="s">
        <v>5486</v>
      </c>
      <c r="F749" s="49" t="s">
        <v>3160</v>
      </c>
    </row>
    <row r="750" spans="1:6">
      <c r="A750" s="43"/>
      <c r="B750" s="34" t="s">
        <v>3037</v>
      </c>
      <c r="C750" s="35" t="s">
        <v>1489</v>
      </c>
      <c r="D750" s="44" t="s">
        <v>5033</v>
      </c>
      <c r="E750" s="91" t="s">
        <v>5643</v>
      </c>
      <c r="F750" s="49" t="s">
        <v>5299</v>
      </c>
    </row>
    <row r="751" spans="1:6">
      <c r="A751" s="43"/>
      <c r="B751" s="34" t="s">
        <v>3037</v>
      </c>
      <c r="C751" s="35" t="s">
        <v>1489</v>
      </c>
      <c r="D751" s="44" t="s">
        <v>3166</v>
      </c>
      <c r="E751" s="91" t="s">
        <v>5493</v>
      </c>
      <c r="F751" s="49" t="s">
        <v>3167</v>
      </c>
    </row>
    <row r="752" spans="1:6">
      <c r="A752" s="43"/>
      <c r="B752" s="34" t="s">
        <v>3037</v>
      </c>
      <c r="C752" s="35" t="s">
        <v>1489</v>
      </c>
      <c r="D752" s="44" t="s">
        <v>5024</v>
      </c>
      <c r="E752" s="91" t="s">
        <v>5632</v>
      </c>
      <c r="F752" s="49" t="s">
        <v>5290</v>
      </c>
    </row>
    <row r="753" spans="1:6">
      <c r="A753" s="43"/>
      <c r="B753" s="34" t="s">
        <v>3037</v>
      </c>
      <c r="C753" s="35" t="s">
        <v>1489</v>
      </c>
      <c r="D753" s="44" t="s">
        <v>3161</v>
      </c>
      <c r="E753" s="91" t="s">
        <v>1983</v>
      </c>
      <c r="F753" s="49" t="s">
        <v>1507</v>
      </c>
    </row>
    <row r="754" spans="1:6">
      <c r="A754" s="43"/>
      <c r="B754" s="34" t="s">
        <v>3037</v>
      </c>
      <c r="C754" s="35" t="s">
        <v>1489</v>
      </c>
      <c r="D754" s="44" t="s">
        <v>4906</v>
      </c>
      <c r="E754" s="91" t="s">
        <v>5481</v>
      </c>
      <c r="F754" s="49" t="s">
        <v>5172</v>
      </c>
    </row>
    <row r="755" spans="1:6">
      <c r="A755" s="43"/>
      <c r="B755" s="34" t="s">
        <v>3037</v>
      </c>
      <c r="C755" s="35" t="s">
        <v>1489</v>
      </c>
      <c r="D755" s="44" t="s">
        <v>4816</v>
      </c>
      <c r="E755" s="91" t="s">
        <v>5357</v>
      </c>
      <c r="F755" s="49" t="s">
        <v>5082</v>
      </c>
    </row>
    <row r="756" spans="1:6">
      <c r="A756" s="43"/>
      <c r="B756" s="34" t="s">
        <v>3037</v>
      </c>
      <c r="C756" s="35" t="s">
        <v>1489</v>
      </c>
      <c r="D756" s="44" t="s">
        <v>4904</v>
      </c>
      <c r="E756" s="91" t="s">
        <v>5479</v>
      </c>
      <c r="F756" s="49" t="s">
        <v>5170</v>
      </c>
    </row>
    <row r="757" spans="1:6">
      <c r="A757" s="43"/>
      <c r="B757" s="34" t="s">
        <v>3037</v>
      </c>
      <c r="C757" s="35" t="s">
        <v>1489</v>
      </c>
      <c r="D757" s="44" t="s">
        <v>4911</v>
      </c>
      <c r="E757" s="91" t="s">
        <v>5487</v>
      </c>
      <c r="F757" s="49" t="s">
        <v>5177</v>
      </c>
    </row>
    <row r="758" spans="1:6">
      <c r="A758" s="43"/>
      <c r="B758" s="34" t="s">
        <v>3037</v>
      </c>
      <c r="C758" s="35" t="s">
        <v>1489</v>
      </c>
      <c r="D758" s="44" t="s">
        <v>4912</v>
      </c>
      <c r="E758" s="91" t="s">
        <v>5488</v>
      </c>
      <c r="F758" s="49" t="s">
        <v>5178</v>
      </c>
    </row>
    <row r="759" spans="1:6">
      <c r="A759" s="43"/>
      <c r="B759" s="34" t="s">
        <v>3037</v>
      </c>
      <c r="C759" s="35" t="s">
        <v>1489</v>
      </c>
      <c r="D759" s="44" t="s">
        <v>3101</v>
      </c>
      <c r="E759" s="91" t="s">
        <v>5408</v>
      </c>
      <c r="F759" s="49" t="s">
        <v>3102</v>
      </c>
    </row>
    <row r="760" spans="1:6">
      <c r="A760" s="43"/>
      <c r="B760" s="34" t="s">
        <v>3037</v>
      </c>
      <c r="C760" s="35" t="s">
        <v>1489</v>
      </c>
      <c r="D760" s="44" t="s">
        <v>4935</v>
      </c>
      <c r="E760" s="91" t="s">
        <v>5517</v>
      </c>
      <c r="F760" s="49" t="s">
        <v>5201</v>
      </c>
    </row>
    <row r="761" spans="1:6">
      <c r="A761" s="43"/>
      <c r="B761" s="34" t="s">
        <v>3037</v>
      </c>
      <c r="C761" s="35" t="s">
        <v>1489</v>
      </c>
      <c r="D761" s="44" t="s">
        <v>3155</v>
      </c>
      <c r="E761" s="91" t="s">
        <v>5478</v>
      </c>
      <c r="F761" s="49" t="s">
        <v>3156</v>
      </c>
    </row>
    <row r="762" spans="1:6">
      <c r="A762" s="43"/>
      <c r="B762" s="34" t="s">
        <v>3037</v>
      </c>
      <c r="C762" s="35" t="s">
        <v>1489</v>
      </c>
      <c r="D762" s="44" t="s">
        <v>4914</v>
      </c>
      <c r="E762" s="91" t="s">
        <v>5491</v>
      </c>
      <c r="F762" s="49" t="s">
        <v>5180</v>
      </c>
    </row>
    <row r="763" spans="1:6">
      <c r="A763" s="43"/>
      <c r="B763" s="34" t="s">
        <v>3037</v>
      </c>
      <c r="C763" s="35" t="s">
        <v>1489</v>
      </c>
      <c r="D763" s="44" t="s">
        <v>4920</v>
      </c>
      <c r="E763" s="91" t="s">
        <v>5499</v>
      </c>
      <c r="F763" s="49" t="s">
        <v>5186</v>
      </c>
    </row>
    <row r="764" spans="1:6">
      <c r="A764" s="43"/>
      <c r="B764" s="34" t="s">
        <v>3037</v>
      </c>
      <c r="C764" s="35" t="s">
        <v>1489</v>
      </c>
      <c r="D764" s="44" t="s">
        <v>4907</v>
      </c>
      <c r="E764" s="91" t="s">
        <v>5482</v>
      </c>
      <c r="F764" s="49" t="s">
        <v>5173</v>
      </c>
    </row>
    <row r="765" spans="1:6">
      <c r="A765" s="43"/>
      <c r="B765" s="34" t="s">
        <v>3037</v>
      </c>
      <c r="C765" s="35" t="s">
        <v>1489</v>
      </c>
      <c r="D765" s="44" t="s">
        <v>4908</v>
      </c>
      <c r="E765" s="91" t="s">
        <v>5483</v>
      </c>
      <c r="F765" s="49" t="s">
        <v>5174</v>
      </c>
    </row>
    <row r="766" spans="1:6">
      <c r="A766" s="43"/>
      <c r="B766" s="34" t="s">
        <v>3037</v>
      </c>
      <c r="C766" s="35" t="s">
        <v>1489</v>
      </c>
      <c r="D766" s="44" t="s">
        <v>5018</v>
      </c>
      <c r="E766" s="91" t="s">
        <v>5624</v>
      </c>
      <c r="F766" s="49" t="s">
        <v>5284</v>
      </c>
    </row>
    <row r="767" spans="1:6">
      <c r="A767" s="43"/>
      <c r="B767" s="34" t="s">
        <v>3037</v>
      </c>
      <c r="C767" s="35" t="s">
        <v>1489</v>
      </c>
      <c r="D767" s="44" t="s">
        <v>4910</v>
      </c>
      <c r="E767" s="91" t="s">
        <v>5485</v>
      </c>
      <c r="F767" s="49" t="s">
        <v>5176</v>
      </c>
    </row>
    <row r="768" spans="1:6">
      <c r="A768" s="43"/>
      <c r="B768" s="34" t="s">
        <v>3037</v>
      </c>
      <c r="C768" s="35" t="s">
        <v>1489</v>
      </c>
      <c r="D768" s="44" t="s">
        <v>4922</v>
      </c>
      <c r="E768" s="91" t="s">
        <v>5501</v>
      </c>
      <c r="F768" s="49" t="s">
        <v>5188</v>
      </c>
    </row>
    <row r="769" spans="1:6">
      <c r="A769" s="43"/>
      <c r="B769" s="34" t="s">
        <v>3037</v>
      </c>
      <c r="C769" s="35" t="s">
        <v>1489</v>
      </c>
      <c r="D769" s="44" t="s">
        <v>3162</v>
      </c>
      <c r="E769" s="91" t="s">
        <v>5489</v>
      </c>
      <c r="F769" s="49" t="s">
        <v>3163</v>
      </c>
    </row>
    <row r="770" spans="1:6">
      <c r="A770" s="43"/>
      <c r="B770" s="34" t="s">
        <v>3037</v>
      </c>
      <c r="C770" s="35" t="s">
        <v>1489</v>
      </c>
      <c r="D770" s="44" t="s">
        <v>4916</v>
      </c>
      <c r="E770" s="91" t="s">
        <v>2025</v>
      </c>
      <c r="F770" s="49" t="s">
        <v>5182</v>
      </c>
    </row>
    <row r="771" spans="1:6">
      <c r="A771" s="43"/>
      <c r="B771" s="34" t="s">
        <v>3037</v>
      </c>
      <c r="C771" s="35" t="s">
        <v>1489</v>
      </c>
      <c r="D771" s="44" t="s">
        <v>4817</v>
      </c>
      <c r="E771" s="91" t="s">
        <v>5358</v>
      </c>
      <c r="F771" s="49" t="s">
        <v>5083</v>
      </c>
    </row>
    <row r="772" spans="1:6">
      <c r="A772" s="43"/>
      <c r="B772" s="34" t="s">
        <v>3037</v>
      </c>
      <c r="C772" s="35" t="s">
        <v>1489</v>
      </c>
      <c r="D772" s="44" t="s">
        <v>5025</v>
      </c>
      <c r="E772" s="91" t="s">
        <v>5633</v>
      </c>
      <c r="F772" s="49" t="s">
        <v>5291</v>
      </c>
    </row>
    <row r="773" spans="1:6">
      <c r="A773" s="43"/>
      <c r="B773" s="34" t="s">
        <v>3037</v>
      </c>
      <c r="C773" s="35" t="s">
        <v>1489</v>
      </c>
      <c r="D773" s="44" t="s">
        <v>4923</v>
      </c>
      <c r="E773" s="91" t="s">
        <v>5502</v>
      </c>
      <c r="F773" s="49" t="s">
        <v>5189</v>
      </c>
    </row>
    <row r="774" spans="1:6">
      <c r="A774" s="43"/>
      <c r="B774" s="34" t="s">
        <v>3037</v>
      </c>
      <c r="C774" s="35" t="s">
        <v>1489</v>
      </c>
      <c r="D774" s="44" t="s">
        <v>4924</v>
      </c>
      <c r="E774" s="91" t="s">
        <v>5503</v>
      </c>
      <c r="F774" s="49" t="s">
        <v>5190</v>
      </c>
    </row>
    <row r="775" spans="1:6">
      <c r="A775" s="43"/>
      <c r="B775" s="34" t="s">
        <v>3037</v>
      </c>
      <c r="C775" s="35" t="s">
        <v>1489</v>
      </c>
      <c r="D775" s="44" t="s">
        <v>4918</v>
      </c>
      <c r="E775" s="91" t="s">
        <v>5496</v>
      </c>
      <c r="F775" s="49" t="s">
        <v>5184</v>
      </c>
    </row>
    <row r="776" spans="1:6">
      <c r="A776" s="43"/>
      <c r="B776" s="34" t="s">
        <v>3037</v>
      </c>
      <c r="C776" s="35" t="s">
        <v>1489</v>
      </c>
      <c r="D776" s="44" t="s">
        <v>4919</v>
      </c>
      <c r="E776" s="91" t="s">
        <v>5497</v>
      </c>
      <c r="F776" s="49" t="s">
        <v>5185</v>
      </c>
    </row>
    <row r="777" spans="1:6">
      <c r="A777" s="43"/>
      <c r="B777" s="34" t="s">
        <v>3037</v>
      </c>
      <c r="C777" s="35" t="s">
        <v>1489</v>
      </c>
      <c r="D777" s="44" t="s">
        <v>3164</v>
      </c>
      <c r="E777" s="91" t="s">
        <v>5492</v>
      </c>
      <c r="F777" s="49" t="s">
        <v>3165</v>
      </c>
    </row>
    <row r="778" spans="1:6">
      <c r="A778" s="43"/>
      <c r="B778" s="34" t="s">
        <v>3037</v>
      </c>
      <c r="C778" s="35" t="s">
        <v>1489</v>
      </c>
      <c r="D778" s="44" t="s">
        <v>4925</v>
      </c>
      <c r="E778" s="91" t="s">
        <v>5504</v>
      </c>
      <c r="F778" s="49" t="s">
        <v>5191</v>
      </c>
    </row>
    <row r="779" spans="1:6">
      <c r="A779" s="43"/>
      <c r="B779" s="34" t="s">
        <v>3037</v>
      </c>
      <c r="C779" s="35" t="s">
        <v>1489</v>
      </c>
      <c r="D779" s="44" t="s">
        <v>4927</v>
      </c>
      <c r="E779" s="91" t="s">
        <v>5508</v>
      </c>
      <c r="F779" s="49" t="s">
        <v>5193</v>
      </c>
    </row>
    <row r="780" spans="1:6">
      <c r="A780" s="43"/>
      <c r="B780" s="34" t="s">
        <v>3037</v>
      </c>
      <c r="C780" s="35" t="s">
        <v>1489</v>
      </c>
      <c r="D780" s="44" t="s">
        <v>3170</v>
      </c>
      <c r="E780" s="91" t="s">
        <v>5506</v>
      </c>
      <c r="F780" s="49" t="s">
        <v>3171</v>
      </c>
    </row>
    <row r="781" spans="1:6">
      <c r="A781" s="43"/>
      <c r="B781" s="34" t="s">
        <v>3037</v>
      </c>
      <c r="C781" s="35" t="s">
        <v>1489</v>
      </c>
      <c r="D781" s="44" t="s">
        <v>4934</v>
      </c>
      <c r="E781" s="91" t="s">
        <v>5516</v>
      </c>
      <c r="F781" s="49" t="s">
        <v>5200</v>
      </c>
    </row>
    <row r="782" spans="1:6">
      <c r="A782" s="43"/>
      <c r="B782" s="34" t="s">
        <v>3037</v>
      </c>
      <c r="C782" s="35" t="s">
        <v>1489</v>
      </c>
      <c r="D782" s="44" t="s">
        <v>3174</v>
      </c>
      <c r="E782" s="91" t="s">
        <v>5510</v>
      </c>
      <c r="F782" s="49" t="s">
        <v>3175</v>
      </c>
    </row>
    <row r="783" spans="1:6">
      <c r="A783" s="43"/>
      <c r="B783" s="34" t="s">
        <v>3037</v>
      </c>
      <c r="C783" s="35" t="s">
        <v>1489</v>
      </c>
      <c r="D783" s="44" t="s">
        <v>4937</v>
      </c>
      <c r="E783" s="91" t="s">
        <v>5520</v>
      </c>
      <c r="F783" s="49" t="s">
        <v>5203</v>
      </c>
    </row>
    <row r="784" spans="1:6">
      <c r="A784" s="43"/>
      <c r="B784" s="34" t="s">
        <v>3037</v>
      </c>
      <c r="C784" s="35" t="s">
        <v>1489</v>
      </c>
      <c r="D784" s="44" t="s">
        <v>4928</v>
      </c>
      <c r="E784" s="91" t="s">
        <v>5509</v>
      </c>
      <c r="F784" s="49" t="s">
        <v>5194</v>
      </c>
    </row>
    <row r="785" spans="1:6">
      <c r="A785" s="43"/>
      <c r="B785" s="34" t="s">
        <v>3037</v>
      </c>
      <c r="C785" s="35" t="s">
        <v>1489</v>
      </c>
      <c r="D785" s="44" t="s">
        <v>4929</v>
      </c>
      <c r="E785" s="91" t="s">
        <v>2064</v>
      </c>
      <c r="F785" s="49" t="s">
        <v>5195</v>
      </c>
    </row>
    <row r="786" spans="1:6">
      <c r="A786" s="43"/>
      <c r="B786" s="34" t="s">
        <v>3037</v>
      </c>
      <c r="C786" s="35" t="s">
        <v>1489</v>
      </c>
      <c r="D786" s="44" t="s">
        <v>4931</v>
      </c>
      <c r="E786" s="91" t="s">
        <v>5513</v>
      </c>
      <c r="F786" s="49" t="s">
        <v>5197</v>
      </c>
    </row>
    <row r="787" spans="1:6">
      <c r="A787" s="43"/>
      <c r="B787" s="34" t="s">
        <v>3037</v>
      </c>
      <c r="C787" s="35" t="s">
        <v>1489</v>
      </c>
      <c r="D787" s="44" t="s">
        <v>4987</v>
      </c>
      <c r="E787" s="91" t="s">
        <v>5586</v>
      </c>
      <c r="F787" s="49" t="s">
        <v>5253</v>
      </c>
    </row>
    <row r="788" spans="1:6">
      <c r="A788" s="43"/>
      <c r="B788" s="34" t="s">
        <v>3037</v>
      </c>
      <c r="C788" s="35" t="s">
        <v>1489</v>
      </c>
      <c r="D788" s="44" t="s">
        <v>4930</v>
      </c>
      <c r="E788" s="91" t="s">
        <v>2073</v>
      </c>
      <c r="F788" s="49" t="s">
        <v>5196</v>
      </c>
    </row>
    <row r="789" spans="1:6">
      <c r="A789" s="43"/>
      <c r="B789" s="34" t="s">
        <v>3037</v>
      </c>
      <c r="C789" s="35" t="s">
        <v>1489</v>
      </c>
      <c r="D789" s="44" t="s">
        <v>5036</v>
      </c>
      <c r="E789" s="91" t="s">
        <v>5647</v>
      </c>
      <c r="F789" s="49" t="s">
        <v>5302</v>
      </c>
    </row>
    <row r="790" spans="1:6">
      <c r="A790" s="43"/>
      <c r="B790" s="34" t="s">
        <v>3037</v>
      </c>
      <c r="C790" s="35" t="s">
        <v>1489</v>
      </c>
      <c r="D790" s="44" t="s">
        <v>4926</v>
      </c>
      <c r="E790" s="91" t="s">
        <v>5505</v>
      </c>
      <c r="F790" s="49" t="s">
        <v>5192</v>
      </c>
    </row>
    <row r="791" spans="1:6">
      <c r="A791" s="43"/>
      <c r="B791" s="34" t="s">
        <v>3037</v>
      </c>
      <c r="C791" s="35" t="s">
        <v>1489</v>
      </c>
      <c r="D791" s="44" t="s">
        <v>4891</v>
      </c>
      <c r="E791" s="91" t="s">
        <v>5459</v>
      </c>
      <c r="F791" s="49" t="s">
        <v>5157</v>
      </c>
    </row>
    <row r="792" spans="1:6">
      <c r="A792" s="43"/>
      <c r="B792" s="34" t="s">
        <v>3037</v>
      </c>
      <c r="C792" s="35" t="s">
        <v>1489</v>
      </c>
      <c r="D792" s="44" t="s">
        <v>3209</v>
      </c>
      <c r="E792" s="91" t="s">
        <v>5576</v>
      </c>
      <c r="F792" s="49" t="s">
        <v>3210</v>
      </c>
    </row>
    <row r="793" spans="1:6">
      <c r="A793" s="43"/>
      <c r="B793" s="34" t="s">
        <v>3037</v>
      </c>
      <c r="C793" s="35" t="s">
        <v>1489</v>
      </c>
      <c r="D793" s="44" t="s">
        <v>4933</v>
      </c>
      <c r="E793" s="91" t="s">
        <v>5515</v>
      </c>
      <c r="F793" s="49" t="s">
        <v>5199</v>
      </c>
    </row>
    <row r="794" spans="1:6">
      <c r="A794" s="43"/>
      <c r="B794" s="34" t="s">
        <v>3037</v>
      </c>
      <c r="C794" s="35" t="s">
        <v>1489</v>
      </c>
      <c r="D794" s="44" t="s">
        <v>3181</v>
      </c>
      <c r="E794" s="91" t="s">
        <v>2091</v>
      </c>
      <c r="F794" s="49" t="s">
        <v>1509</v>
      </c>
    </row>
    <row r="795" spans="1:6">
      <c r="A795" s="43"/>
      <c r="B795" s="34" t="s">
        <v>3037</v>
      </c>
      <c r="C795" s="35" t="s">
        <v>1489</v>
      </c>
      <c r="D795" s="44" t="s">
        <v>3179</v>
      </c>
      <c r="E795" s="91" t="s">
        <v>5512</v>
      </c>
      <c r="F795" s="49" t="s">
        <v>3180</v>
      </c>
    </row>
    <row r="796" spans="1:6">
      <c r="A796" s="43"/>
      <c r="B796" s="34" t="s">
        <v>3037</v>
      </c>
      <c r="C796" s="35" t="s">
        <v>1489</v>
      </c>
      <c r="D796" s="44" t="s">
        <v>3177</v>
      </c>
      <c r="E796" s="91" t="s">
        <v>5511</v>
      </c>
      <c r="F796" s="49" t="s">
        <v>3178</v>
      </c>
    </row>
    <row r="797" spans="1:6">
      <c r="A797" s="43"/>
      <c r="B797" s="34" t="s">
        <v>3037</v>
      </c>
      <c r="C797" s="35" t="s">
        <v>1489</v>
      </c>
      <c r="D797" s="44" t="s">
        <v>4932</v>
      </c>
      <c r="E797" s="91" t="s">
        <v>5514</v>
      </c>
      <c r="F797" s="49" t="s">
        <v>5198</v>
      </c>
    </row>
    <row r="798" spans="1:6">
      <c r="A798" s="43"/>
      <c r="B798" s="34" t="s">
        <v>3037</v>
      </c>
      <c r="C798" s="35" t="s">
        <v>1489</v>
      </c>
      <c r="D798" s="44" t="s">
        <v>4936</v>
      </c>
      <c r="E798" s="91" t="s">
        <v>5518</v>
      </c>
      <c r="F798" s="49" t="s">
        <v>5202</v>
      </c>
    </row>
    <row r="799" spans="1:6">
      <c r="A799" s="43"/>
      <c r="B799" s="34" t="s">
        <v>3037</v>
      </c>
      <c r="C799" s="35" t="s">
        <v>1489</v>
      </c>
      <c r="D799" s="44" t="s">
        <v>3184</v>
      </c>
      <c r="E799" s="91" t="s">
        <v>5521</v>
      </c>
      <c r="F799" s="49" t="s">
        <v>3185</v>
      </c>
    </row>
    <row r="800" spans="1:6">
      <c r="A800" s="43"/>
      <c r="B800" s="34" t="s">
        <v>3037</v>
      </c>
      <c r="C800" s="35" t="s">
        <v>1489</v>
      </c>
      <c r="D800" s="44" t="s">
        <v>3186</v>
      </c>
      <c r="E800" s="91" t="s">
        <v>5522</v>
      </c>
      <c r="F800" s="49" t="s">
        <v>3187</v>
      </c>
    </row>
    <row r="801" spans="1:6">
      <c r="A801" s="43"/>
      <c r="B801" s="34" t="s">
        <v>3037</v>
      </c>
      <c r="C801" s="35" t="s">
        <v>1489</v>
      </c>
      <c r="D801" s="44" t="s">
        <v>4938</v>
      </c>
      <c r="E801" s="91" t="s">
        <v>5523</v>
      </c>
      <c r="F801" s="49" t="s">
        <v>5204</v>
      </c>
    </row>
    <row r="802" spans="1:6">
      <c r="A802" s="43"/>
      <c r="B802" s="34" t="s">
        <v>3037</v>
      </c>
      <c r="C802" s="35" t="s">
        <v>1489</v>
      </c>
      <c r="D802" s="44" t="s">
        <v>4942</v>
      </c>
      <c r="E802" s="91" t="s">
        <v>5527</v>
      </c>
      <c r="F802" s="49" t="s">
        <v>5208</v>
      </c>
    </row>
    <row r="803" spans="1:6">
      <c r="A803" s="43"/>
      <c r="B803" s="34" t="s">
        <v>3037</v>
      </c>
      <c r="C803" s="35" t="s">
        <v>1489</v>
      </c>
      <c r="D803" s="44" t="s">
        <v>4945</v>
      </c>
      <c r="E803" s="91" t="s">
        <v>5530</v>
      </c>
      <c r="F803" s="49" t="s">
        <v>5211</v>
      </c>
    </row>
    <row r="804" spans="1:6">
      <c r="A804" s="43"/>
      <c r="B804" s="34" t="s">
        <v>3037</v>
      </c>
      <c r="C804" s="35" t="s">
        <v>1489</v>
      </c>
      <c r="D804" s="44" t="s">
        <v>4941</v>
      </c>
      <c r="E804" s="91" t="s">
        <v>5526</v>
      </c>
      <c r="F804" s="49" t="s">
        <v>5207</v>
      </c>
    </row>
    <row r="805" spans="1:6">
      <c r="A805" s="43"/>
      <c r="B805" s="34" t="s">
        <v>3037</v>
      </c>
      <c r="C805" s="35" t="s">
        <v>1489</v>
      </c>
      <c r="D805" s="44" t="s">
        <v>4901</v>
      </c>
      <c r="E805" s="91" t="s">
        <v>5474</v>
      </c>
      <c r="F805" s="49" t="s">
        <v>5167</v>
      </c>
    </row>
    <row r="806" spans="1:6">
      <c r="A806" s="43"/>
      <c r="B806" s="34" t="s">
        <v>3037</v>
      </c>
      <c r="C806" s="35" t="s">
        <v>1489</v>
      </c>
      <c r="D806" s="44" t="s">
        <v>4940</v>
      </c>
      <c r="E806" s="91" t="s">
        <v>5525</v>
      </c>
      <c r="F806" s="49" t="s">
        <v>5206</v>
      </c>
    </row>
    <row r="807" spans="1:6">
      <c r="A807" s="43"/>
      <c r="B807" s="34" t="s">
        <v>3037</v>
      </c>
      <c r="C807" s="35" t="s">
        <v>1489</v>
      </c>
      <c r="D807" s="44" t="s">
        <v>4939</v>
      </c>
      <c r="E807" s="91" t="s">
        <v>5524</v>
      </c>
      <c r="F807" s="49" t="s">
        <v>5205</v>
      </c>
    </row>
    <row r="808" spans="1:6">
      <c r="A808" s="43"/>
      <c r="B808" s="34" t="s">
        <v>3037</v>
      </c>
      <c r="C808" s="35" t="s">
        <v>1489</v>
      </c>
      <c r="D808" s="44" t="s">
        <v>4855</v>
      </c>
      <c r="E808" s="91" t="s">
        <v>5414</v>
      </c>
      <c r="F808" s="49" t="s">
        <v>5121</v>
      </c>
    </row>
    <row r="809" spans="1:6">
      <c r="A809" s="43"/>
      <c r="B809" s="34" t="s">
        <v>3037</v>
      </c>
      <c r="C809" s="35" t="s">
        <v>1489</v>
      </c>
      <c r="D809" s="44" t="s">
        <v>3192</v>
      </c>
      <c r="E809" s="91" t="s">
        <v>2334</v>
      </c>
      <c r="F809" s="49" t="s">
        <v>3193</v>
      </c>
    </row>
    <row r="810" spans="1:6">
      <c r="A810" s="43"/>
      <c r="B810" s="34" t="s">
        <v>3037</v>
      </c>
      <c r="C810" s="35" t="s">
        <v>1489</v>
      </c>
      <c r="D810" s="44" t="s">
        <v>4954</v>
      </c>
      <c r="E810" s="91" t="s">
        <v>5540</v>
      </c>
      <c r="F810" s="49" t="s">
        <v>5220</v>
      </c>
    </row>
    <row r="811" spans="1:6">
      <c r="A811" s="43"/>
      <c r="B811" s="34" t="s">
        <v>3037</v>
      </c>
      <c r="C811" s="35" t="s">
        <v>1489</v>
      </c>
      <c r="D811" s="44" t="s">
        <v>4952</v>
      </c>
      <c r="E811" s="91" t="s">
        <v>5538</v>
      </c>
      <c r="F811" s="49" t="s">
        <v>5218</v>
      </c>
    </row>
    <row r="812" spans="1:6">
      <c r="A812" s="43"/>
      <c r="B812" s="34" t="s">
        <v>3037</v>
      </c>
      <c r="C812" s="35" t="s">
        <v>1489</v>
      </c>
      <c r="D812" s="44" t="s">
        <v>3088</v>
      </c>
      <c r="E812" s="91" t="s">
        <v>5394</v>
      </c>
      <c r="F812" s="49" t="s">
        <v>3089</v>
      </c>
    </row>
    <row r="813" spans="1:6">
      <c r="A813" s="43"/>
      <c r="B813" s="34" t="s">
        <v>3037</v>
      </c>
      <c r="C813" s="35" t="s">
        <v>1489</v>
      </c>
      <c r="D813" s="44" t="s">
        <v>4950</v>
      </c>
      <c r="E813" s="91" t="s">
        <v>5536</v>
      </c>
      <c r="F813" s="49" t="s">
        <v>5216</v>
      </c>
    </row>
    <row r="814" spans="1:6">
      <c r="A814" s="43"/>
      <c r="B814" s="34" t="s">
        <v>3037</v>
      </c>
      <c r="C814" s="35" t="s">
        <v>1489</v>
      </c>
      <c r="D814" s="44" t="s">
        <v>4947</v>
      </c>
      <c r="E814" s="91" t="s">
        <v>5533</v>
      </c>
      <c r="F814" s="49" t="s">
        <v>5213</v>
      </c>
    </row>
    <row r="815" spans="1:6">
      <c r="A815" s="43"/>
      <c r="B815" s="34" t="s">
        <v>3037</v>
      </c>
      <c r="C815" s="35" t="s">
        <v>1489</v>
      </c>
      <c r="D815" s="44" t="s">
        <v>4956</v>
      </c>
      <c r="E815" s="91" t="s">
        <v>5542</v>
      </c>
      <c r="F815" s="49" t="s">
        <v>5222</v>
      </c>
    </row>
    <row r="816" spans="1:6">
      <c r="A816" s="43"/>
      <c r="B816" s="34" t="s">
        <v>3037</v>
      </c>
      <c r="C816" s="35" t="s">
        <v>1489</v>
      </c>
      <c r="D816" s="44" t="s">
        <v>4943</v>
      </c>
      <c r="E816" s="91" t="s">
        <v>5528</v>
      </c>
      <c r="F816" s="49" t="s">
        <v>5209</v>
      </c>
    </row>
    <row r="817" spans="1:6">
      <c r="A817" s="43"/>
      <c r="B817" s="34" t="s">
        <v>3037</v>
      </c>
      <c r="C817" s="35" t="s">
        <v>1489</v>
      </c>
      <c r="D817" s="44" t="s">
        <v>4944</v>
      </c>
      <c r="E817" s="91" t="s">
        <v>5529</v>
      </c>
      <c r="F817" s="49" t="s">
        <v>5210</v>
      </c>
    </row>
    <row r="818" spans="1:6">
      <c r="A818" s="43"/>
      <c r="B818" s="34" t="s">
        <v>3037</v>
      </c>
      <c r="C818" s="35" t="s">
        <v>1489</v>
      </c>
      <c r="D818" s="44" t="s">
        <v>4979</v>
      </c>
      <c r="E818" s="91" t="s">
        <v>5571</v>
      </c>
      <c r="F818" s="49" t="s">
        <v>5245</v>
      </c>
    </row>
    <row r="819" spans="1:6">
      <c r="A819" s="43"/>
      <c r="B819" s="34" t="s">
        <v>3037</v>
      </c>
      <c r="C819" s="35" t="s">
        <v>1489</v>
      </c>
      <c r="D819" s="44" t="s">
        <v>4951</v>
      </c>
      <c r="E819" s="91" t="s">
        <v>5537</v>
      </c>
      <c r="F819" s="49" t="s">
        <v>5217</v>
      </c>
    </row>
    <row r="820" spans="1:6">
      <c r="A820" s="43"/>
      <c r="B820" s="34" t="s">
        <v>3037</v>
      </c>
      <c r="C820" s="35" t="s">
        <v>1489</v>
      </c>
      <c r="D820" s="44" t="s">
        <v>3190</v>
      </c>
      <c r="E820" s="91" t="s">
        <v>2127</v>
      </c>
      <c r="F820" s="49" t="s">
        <v>1510</v>
      </c>
    </row>
    <row r="821" spans="1:6">
      <c r="A821" s="43"/>
      <c r="B821" s="34" t="s">
        <v>3037</v>
      </c>
      <c r="C821" s="35" t="s">
        <v>1489</v>
      </c>
      <c r="D821" s="44" t="s">
        <v>4955</v>
      </c>
      <c r="E821" s="91" t="s">
        <v>5541</v>
      </c>
      <c r="F821" s="49" t="s">
        <v>5221</v>
      </c>
    </row>
    <row r="822" spans="1:6">
      <c r="A822" s="43"/>
      <c r="B822" s="34" t="s">
        <v>3037</v>
      </c>
      <c r="C822" s="35" t="s">
        <v>1489</v>
      </c>
      <c r="D822" s="44" t="s">
        <v>3191</v>
      </c>
      <c r="E822" s="91" t="s">
        <v>5531</v>
      </c>
      <c r="F822" s="49" t="s">
        <v>1511</v>
      </c>
    </row>
    <row r="823" spans="1:6">
      <c r="A823" s="43"/>
      <c r="B823" s="34" t="s">
        <v>3037</v>
      </c>
      <c r="C823" s="35" t="s">
        <v>1489</v>
      </c>
      <c r="D823" s="44" t="s">
        <v>4957</v>
      </c>
      <c r="E823" s="91" t="s">
        <v>5543</v>
      </c>
      <c r="F823" s="49" t="s">
        <v>5223</v>
      </c>
    </row>
    <row r="824" spans="1:6">
      <c r="A824" s="43"/>
      <c r="B824" s="34" t="s">
        <v>3037</v>
      </c>
      <c r="C824" s="35" t="s">
        <v>1489</v>
      </c>
      <c r="D824" s="44" t="s">
        <v>4946</v>
      </c>
      <c r="E824" s="91" t="s">
        <v>5532</v>
      </c>
      <c r="F824" s="49" t="s">
        <v>5212</v>
      </c>
    </row>
    <row r="825" spans="1:6">
      <c r="A825" s="43"/>
      <c r="B825" s="34" t="s">
        <v>3037</v>
      </c>
      <c r="C825" s="35" t="s">
        <v>1489</v>
      </c>
      <c r="D825" s="44" t="s">
        <v>4949</v>
      </c>
      <c r="E825" s="91" t="s">
        <v>5535</v>
      </c>
      <c r="F825" s="49" t="s">
        <v>5215</v>
      </c>
    </row>
    <row r="826" spans="1:6">
      <c r="A826" s="43"/>
      <c r="B826" s="34" t="s">
        <v>3037</v>
      </c>
      <c r="C826" s="35" t="s">
        <v>1489</v>
      </c>
      <c r="D826" s="44" t="s">
        <v>4953</v>
      </c>
      <c r="E826" s="91" t="s">
        <v>5539</v>
      </c>
      <c r="F826" s="49" t="s">
        <v>5219</v>
      </c>
    </row>
    <row r="827" spans="1:6">
      <c r="A827" s="43"/>
      <c r="B827" s="34" t="s">
        <v>3037</v>
      </c>
      <c r="C827" s="35" t="s">
        <v>1489</v>
      </c>
      <c r="D827" s="44" t="s">
        <v>3188</v>
      </c>
      <c r="E827" s="91" t="s">
        <v>2106</v>
      </c>
      <c r="F827" s="49" t="s">
        <v>3189</v>
      </c>
    </row>
    <row r="828" spans="1:6">
      <c r="A828" s="43"/>
      <c r="B828" s="34" t="s">
        <v>3037</v>
      </c>
      <c r="C828" s="35" t="s">
        <v>1489</v>
      </c>
      <c r="D828" s="44" t="s">
        <v>4958</v>
      </c>
      <c r="E828" s="91" t="s">
        <v>5544</v>
      </c>
      <c r="F828" s="49" t="s">
        <v>5224</v>
      </c>
    </row>
    <row r="829" spans="1:6">
      <c r="A829" s="43"/>
      <c r="B829" s="34" t="s">
        <v>3037</v>
      </c>
      <c r="C829" s="35" t="s">
        <v>1489</v>
      </c>
      <c r="D829" s="44" t="s">
        <v>4843</v>
      </c>
      <c r="E829" s="91" t="s">
        <v>5395</v>
      </c>
      <c r="F829" s="49" t="s">
        <v>5109</v>
      </c>
    </row>
    <row r="830" spans="1:6">
      <c r="A830" s="43"/>
      <c r="B830" s="34" t="s">
        <v>3037</v>
      </c>
      <c r="C830" s="35" t="s">
        <v>1489</v>
      </c>
      <c r="D830" s="44" t="s">
        <v>3194</v>
      </c>
      <c r="E830" s="91" t="s">
        <v>5545</v>
      </c>
      <c r="F830" s="49" t="s">
        <v>3195</v>
      </c>
    </row>
    <row r="831" spans="1:6">
      <c r="A831" s="43"/>
      <c r="B831" s="34" t="s">
        <v>3037</v>
      </c>
      <c r="C831" s="35" t="s">
        <v>1489</v>
      </c>
      <c r="D831" s="44" t="s">
        <v>4959</v>
      </c>
      <c r="E831" s="91" t="s">
        <v>5546</v>
      </c>
      <c r="F831" s="49" t="s">
        <v>5225</v>
      </c>
    </row>
    <row r="832" spans="1:6">
      <c r="A832" s="43"/>
      <c r="B832" s="34" t="s">
        <v>3037</v>
      </c>
      <c r="C832" s="35" t="s">
        <v>1489</v>
      </c>
      <c r="D832" s="44" t="s">
        <v>4964</v>
      </c>
      <c r="E832" s="91" t="s">
        <v>5553</v>
      </c>
      <c r="F832" s="49" t="s">
        <v>5230</v>
      </c>
    </row>
    <row r="833" spans="1:6">
      <c r="A833" s="43"/>
      <c r="B833" s="34" t="s">
        <v>3037</v>
      </c>
      <c r="C833" s="35" t="s">
        <v>1489</v>
      </c>
      <c r="D833" s="44" t="s">
        <v>4960</v>
      </c>
      <c r="E833" s="91" t="s">
        <v>5547</v>
      </c>
      <c r="F833" s="49" t="s">
        <v>5226</v>
      </c>
    </row>
    <row r="834" spans="1:6">
      <c r="A834" s="43"/>
      <c r="B834" s="34" t="s">
        <v>3037</v>
      </c>
      <c r="C834" s="35" t="s">
        <v>1489</v>
      </c>
      <c r="D834" s="44" t="s">
        <v>4962</v>
      </c>
      <c r="E834" s="91" t="s">
        <v>5549</v>
      </c>
      <c r="F834" s="49" t="s">
        <v>5228</v>
      </c>
    </row>
    <row r="835" spans="1:6">
      <c r="A835" s="43"/>
      <c r="B835" s="34" t="s">
        <v>3037</v>
      </c>
      <c r="C835" s="35" t="s">
        <v>1489</v>
      </c>
      <c r="D835" s="44" t="s">
        <v>4963</v>
      </c>
      <c r="E835" s="91" t="s">
        <v>5551</v>
      </c>
      <c r="F835" s="49" t="s">
        <v>5229</v>
      </c>
    </row>
    <row r="836" spans="1:6">
      <c r="A836" s="43"/>
      <c r="B836" s="34" t="s">
        <v>3037</v>
      </c>
      <c r="C836" s="35" t="s">
        <v>1489</v>
      </c>
      <c r="D836" s="44" t="s">
        <v>3198</v>
      </c>
      <c r="E836" s="91" t="s">
        <v>5552</v>
      </c>
      <c r="F836" s="49" t="s">
        <v>1512</v>
      </c>
    </row>
    <row r="837" spans="1:6">
      <c r="A837" s="43"/>
      <c r="B837" s="34" t="s">
        <v>3037</v>
      </c>
      <c r="C837" s="35" t="s">
        <v>1489</v>
      </c>
      <c r="D837" s="44" t="s">
        <v>4961</v>
      </c>
      <c r="E837" s="91" t="s">
        <v>5548</v>
      </c>
      <c r="F837" s="49" t="s">
        <v>5227</v>
      </c>
    </row>
    <row r="838" spans="1:6">
      <c r="A838" s="43"/>
      <c r="B838" s="34" t="s">
        <v>3037</v>
      </c>
      <c r="C838" s="35" t="s">
        <v>1489</v>
      </c>
      <c r="D838" s="44" t="s">
        <v>3196</v>
      </c>
      <c r="E838" s="91" t="s">
        <v>5550</v>
      </c>
      <c r="F838" s="49" t="s">
        <v>3197</v>
      </c>
    </row>
    <row r="839" spans="1:6">
      <c r="A839" s="43"/>
      <c r="B839" s="34" t="s">
        <v>3037</v>
      </c>
      <c r="C839" s="35" t="s">
        <v>1489</v>
      </c>
      <c r="D839" s="44" t="s">
        <v>3201</v>
      </c>
      <c r="E839" s="91" t="s">
        <v>2145</v>
      </c>
      <c r="F839" s="49" t="s">
        <v>3202</v>
      </c>
    </row>
    <row r="840" spans="1:6">
      <c r="A840" s="43"/>
      <c r="B840" s="34" t="s">
        <v>3037</v>
      </c>
      <c r="C840" s="35" t="s">
        <v>1489</v>
      </c>
      <c r="D840" s="44" t="s">
        <v>4965</v>
      </c>
      <c r="E840" s="91" t="s">
        <v>5554</v>
      </c>
      <c r="F840" s="49" t="s">
        <v>5231</v>
      </c>
    </row>
    <row r="841" spans="1:6">
      <c r="A841" s="43"/>
      <c r="B841" s="34" t="s">
        <v>3037</v>
      </c>
      <c r="C841" s="35" t="s">
        <v>1489</v>
      </c>
      <c r="D841" s="44" t="s">
        <v>4967</v>
      </c>
      <c r="E841" s="91" t="s">
        <v>5558</v>
      </c>
      <c r="F841" s="49" t="s">
        <v>5233</v>
      </c>
    </row>
    <row r="842" spans="1:6">
      <c r="A842" s="43"/>
      <c r="B842" s="34" t="s">
        <v>3037</v>
      </c>
      <c r="C842" s="35" t="s">
        <v>1489</v>
      </c>
      <c r="D842" s="44" t="s">
        <v>4840</v>
      </c>
      <c r="E842" s="91" t="s">
        <v>5389</v>
      </c>
      <c r="F842" s="49" t="s">
        <v>5106</v>
      </c>
    </row>
    <row r="843" spans="1:6">
      <c r="A843" s="43"/>
      <c r="B843" s="34" t="s">
        <v>3037</v>
      </c>
      <c r="C843" s="35" t="s">
        <v>1489</v>
      </c>
      <c r="D843" s="44" t="s">
        <v>4983</v>
      </c>
      <c r="E843" s="91" t="s">
        <v>5577</v>
      </c>
      <c r="F843" s="49" t="s">
        <v>5249</v>
      </c>
    </row>
    <row r="844" spans="1:6">
      <c r="A844" s="43"/>
      <c r="B844" s="34" t="s">
        <v>3037</v>
      </c>
      <c r="C844" s="35" t="s">
        <v>1489</v>
      </c>
      <c r="D844" s="44" t="s">
        <v>3211</v>
      </c>
      <c r="E844" s="91" t="s">
        <v>5578</v>
      </c>
      <c r="F844" s="49" t="s">
        <v>3212</v>
      </c>
    </row>
    <row r="845" spans="1:6">
      <c r="A845" s="43"/>
      <c r="B845" s="34" t="s">
        <v>3037</v>
      </c>
      <c r="C845" s="35" t="s">
        <v>1489</v>
      </c>
      <c r="D845" s="44" t="s">
        <v>3203</v>
      </c>
      <c r="E845" s="91" t="s">
        <v>5556</v>
      </c>
      <c r="F845" s="49" t="s">
        <v>3204</v>
      </c>
    </row>
    <row r="846" spans="1:6">
      <c r="A846" s="43"/>
      <c r="B846" s="34" t="s">
        <v>3037</v>
      </c>
      <c r="C846" s="35" t="s">
        <v>1489</v>
      </c>
      <c r="D846" s="44" t="s">
        <v>4970</v>
      </c>
      <c r="E846" s="91" t="s">
        <v>5561</v>
      </c>
      <c r="F846" s="49" t="s">
        <v>5236</v>
      </c>
    </row>
    <row r="847" spans="1:6">
      <c r="A847" s="43"/>
      <c r="B847" s="34" t="s">
        <v>3037</v>
      </c>
      <c r="C847" s="35" t="s">
        <v>1489</v>
      </c>
      <c r="D847" s="44" t="s">
        <v>4968</v>
      </c>
      <c r="E847" s="91" t="s">
        <v>5559</v>
      </c>
      <c r="F847" s="49" t="s">
        <v>5234</v>
      </c>
    </row>
    <row r="848" spans="1:6">
      <c r="A848" s="43"/>
      <c r="B848" s="34" t="s">
        <v>3037</v>
      </c>
      <c r="C848" s="35" t="s">
        <v>1489</v>
      </c>
      <c r="D848" s="44" t="s">
        <v>3096</v>
      </c>
      <c r="E848" s="91" t="s">
        <v>5405</v>
      </c>
      <c r="F848" s="49" t="s">
        <v>3097</v>
      </c>
    </row>
    <row r="849" spans="1:6">
      <c r="A849" s="43"/>
      <c r="B849" s="34" t="s">
        <v>3037</v>
      </c>
      <c r="C849" s="35" t="s">
        <v>1489</v>
      </c>
      <c r="D849" s="44" t="s">
        <v>4889</v>
      </c>
      <c r="E849" s="91" t="s">
        <v>5456</v>
      </c>
      <c r="F849" s="49" t="s">
        <v>5155</v>
      </c>
    </row>
    <row r="850" spans="1:6">
      <c r="A850" s="43"/>
      <c r="B850" s="34" t="s">
        <v>3037</v>
      </c>
      <c r="C850" s="35" t="s">
        <v>1489</v>
      </c>
      <c r="D850" s="44" t="s">
        <v>4971</v>
      </c>
      <c r="E850" s="91" t="s">
        <v>5562</v>
      </c>
      <c r="F850" s="49" t="s">
        <v>5237</v>
      </c>
    </row>
    <row r="851" spans="1:6">
      <c r="A851" s="43"/>
      <c r="B851" s="34" t="s">
        <v>3037</v>
      </c>
      <c r="C851" s="35" t="s">
        <v>1489</v>
      </c>
      <c r="D851" s="44" t="s">
        <v>3220</v>
      </c>
      <c r="E851" s="91" t="s">
        <v>5584</v>
      </c>
      <c r="F851" s="49" t="s">
        <v>3221</v>
      </c>
    </row>
    <row r="852" spans="1:6">
      <c r="A852" s="43"/>
      <c r="B852" s="34" t="s">
        <v>3037</v>
      </c>
      <c r="C852" s="35" t="s">
        <v>1489</v>
      </c>
      <c r="D852" s="44" t="s">
        <v>4818</v>
      </c>
      <c r="E852" s="91" t="s">
        <v>5361</v>
      </c>
      <c r="F852" s="49" t="s">
        <v>5084</v>
      </c>
    </row>
    <row r="853" spans="1:6">
      <c r="A853" s="43"/>
      <c r="B853" s="34" t="s">
        <v>3037</v>
      </c>
      <c r="C853" s="35" t="s">
        <v>1489</v>
      </c>
      <c r="D853" s="44" t="s">
        <v>4975</v>
      </c>
      <c r="E853" s="91" t="s">
        <v>5566</v>
      </c>
      <c r="F853" s="49" t="s">
        <v>5241</v>
      </c>
    </row>
    <row r="854" spans="1:6">
      <c r="A854" s="43"/>
      <c r="B854" s="34" t="s">
        <v>3037</v>
      </c>
      <c r="C854" s="35" t="s">
        <v>1489</v>
      </c>
      <c r="D854" s="44" t="s">
        <v>4974</v>
      </c>
      <c r="E854" s="91" t="s">
        <v>5565</v>
      </c>
      <c r="F854" s="49" t="s">
        <v>5240</v>
      </c>
    </row>
    <row r="855" spans="1:6">
      <c r="A855" s="43"/>
      <c r="B855" s="34" t="s">
        <v>3037</v>
      </c>
      <c r="C855" s="35" t="s">
        <v>1489</v>
      </c>
      <c r="D855" s="44" t="s">
        <v>4977</v>
      </c>
      <c r="E855" s="91" t="s">
        <v>5569</v>
      </c>
      <c r="F855" s="49" t="s">
        <v>5243</v>
      </c>
    </row>
    <row r="856" spans="1:6">
      <c r="A856" s="43"/>
      <c r="B856" s="34" t="s">
        <v>3037</v>
      </c>
      <c r="C856" s="35" t="s">
        <v>1489</v>
      </c>
      <c r="D856" s="44" t="s">
        <v>4982</v>
      </c>
      <c r="E856" s="91" t="s">
        <v>5575</v>
      </c>
      <c r="F856" s="49" t="s">
        <v>5248</v>
      </c>
    </row>
    <row r="857" spans="1:6">
      <c r="A857" s="43"/>
      <c r="B857" s="34" t="s">
        <v>3037</v>
      </c>
      <c r="C857" s="35" t="s">
        <v>1489</v>
      </c>
      <c r="D857" s="44" t="s">
        <v>3205</v>
      </c>
      <c r="E857" s="91" t="s">
        <v>5567</v>
      </c>
      <c r="F857" s="49" t="s">
        <v>3206</v>
      </c>
    </row>
    <row r="858" spans="1:6">
      <c r="A858" s="43"/>
      <c r="B858" s="34" t="s">
        <v>3037</v>
      </c>
      <c r="C858" s="35" t="s">
        <v>1489</v>
      </c>
      <c r="D858" s="44" t="s">
        <v>4978</v>
      </c>
      <c r="E858" s="91" t="s">
        <v>5570</v>
      </c>
      <c r="F858" s="49" t="s">
        <v>5244</v>
      </c>
    </row>
    <row r="859" spans="1:6">
      <c r="A859" s="43"/>
      <c r="B859" s="34" t="s">
        <v>3037</v>
      </c>
      <c r="C859" s="35" t="s">
        <v>1489</v>
      </c>
      <c r="D859" s="44" t="s">
        <v>4976</v>
      </c>
      <c r="E859" s="91" t="s">
        <v>5568</v>
      </c>
      <c r="F859" s="49" t="s">
        <v>5242</v>
      </c>
    </row>
    <row r="860" spans="1:6">
      <c r="A860" s="43"/>
      <c r="B860" s="34" t="s">
        <v>3037</v>
      </c>
      <c r="C860" s="35" t="s">
        <v>1489</v>
      </c>
      <c r="D860" s="44" t="s">
        <v>4986</v>
      </c>
      <c r="E860" s="91" t="s">
        <v>5585</v>
      </c>
      <c r="F860" s="49" t="s">
        <v>5252</v>
      </c>
    </row>
    <row r="861" spans="1:6">
      <c r="A861" s="43"/>
      <c r="B861" s="34" t="s">
        <v>3037</v>
      </c>
      <c r="C861" s="35" t="s">
        <v>1489</v>
      </c>
      <c r="D861" s="44" t="s">
        <v>4980</v>
      </c>
      <c r="E861" s="91" t="s">
        <v>5572</v>
      </c>
      <c r="F861" s="49" t="s">
        <v>5246</v>
      </c>
    </row>
    <row r="862" spans="1:6">
      <c r="A862" s="43"/>
      <c r="B862" s="34" t="s">
        <v>3037</v>
      </c>
      <c r="C862" s="35" t="s">
        <v>1489</v>
      </c>
      <c r="D862" s="44" t="s">
        <v>3207</v>
      </c>
      <c r="E862" s="91" t="s">
        <v>5574</v>
      </c>
      <c r="F862" s="49" t="s">
        <v>1513</v>
      </c>
    </row>
    <row r="863" spans="1:6">
      <c r="A863" s="43"/>
      <c r="B863" s="34" t="s">
        <v>3037</v>
      </c>
      <c r="C863" s="35" t="s">
        <v>1489</v>
      </c>
      <c r="D863" s="44" t="s">
        <v>4990</v>
      </c>
      <c r="E863" s="91" t="s">
        <v>2208</v>
      </c>
      <c r="F863" s="49" t="s">
        <v>5256</v>
      </c>
    </row>
    <row r="864" spans="1:6">
      <c r="A864" s="43"/>
      <c r="B864" s="34" t="s">
        <v>3037</v>
      </c>
      <c r="C864" s="35" t="s">
        <v>1489</v>
      </c>
      <c r="D864" s="44" t="s">
        <v>3208</v>
      </c>
      <c r="E864" s="91" t="s">
        <v>1767</v>
      </c>
      <c r="F864" s="49" t="s">
        <v>1514</v>
      </c>
    </row>
    <row r="865" spans="1:6">
      <c r="A865" s="43"/>
      <c r="B865" s="34" t="s">
        <v>3037</v>
      </c>
      <c r="C865" s="35" t="s">
        <v>1489</v>
      </c>
      <c r="D865" s="44" t="s">
        <v>3213</v>
      </c>
      <c r="E865" s="91" t="s">
        <v>2217</v>
      </c>
      <c r="F865" s="49" t="s">
        <v>3214</v>
      </c>
    </row>
    <row r="866" spans="1:6">
      <c r="A866" s="43"/>
      <c r="B866" s="34" t="s">
        <v>3037</v>
      </c>
      <c r="C866" s="35" t="s">
        <v>1489</v>
      </c>
      <c r="D866" s="44" t="s">
        <v>4984</v>
      </c>
      <c r="E866" s="91" t="s">
        <v>5579</v>
      </c>
      <c r="F866" s="49" t="s">
        <v>5250</v>
      </c>
    </row>
    <row r="867" spans="1:6">
      <c r="A867" s="43"/>
      <c r="B867" s="34" t="s">
        <v>3037</v>
      </c>
      <c r="C867" s="35" t="s">
        <v>1489</v>
      </c>
      <c r="D867" s="44" t="s">
        <v>5022</v>
      </c>
      <c r="E867" s="91" t="s">
        <v>5627</v>
      </c>
      <c r="F867" s="49" t="s">
        <v>5288</v>
      </c>
    </row>
    <row r="868" spans="1:6">
      <c r="A868" s="43"/>
      <c r="B868" s="34" t="s">
        <v>3037</v>
      </c>
      <c r="C868" s="35" t="s">
        <v>1489</v>
      </c>
      <c r="D868" s="44" t="s">
        <v>4972</v>
      </c>
      <c r="E868" s="91" t="s">
        <v>5563</v>
      </c>
      <c r="F868" s="49" t="s">
        <v>5238</v>
      </c>
    </row>
    <row r="869" spans="1:6">
      <c r="A869" s="43"/>
      <c r="B869" s="34" t="s">
        <v>3037</v>
      </c>
      <c r="C869" s="35" t="s">
        <v>1489</v>
      </c>
      <c r="D869" s="44" t="s">
        <v>4966</v>
      </c>
      <c r="E869" s="91" t="s">
        <v>5557</v>
      </c>
      <c r="F869" s="49" t="s">
        <v>5232</v>
      </c>
    </row>
    <row r="870" spans="1:6">
      <c r="A870" s="43"/>
      <c r="B870" s="34" t="s">
        <v>3037</v>
      </c>
      <c r="C870" s="35" t="s">
        <v>1489</v>
      </c>
      <c r="D870" s="44" t="s">
        <v>4969</v>
      </c>
      <c r="E870" s="91" t="s">
        <v>5560</v>
      </c>
      <c r="F870" s="49" t="s">
        <v>5235</v>
      </c>
    </row>
    <row r="871" spans="1:6">
      <c r="A871" s="43"/>
      <c r="B871" s="34" t="s">
        <v>3037</v>
      </c>
      <c r="C871" s="35" t="s">
        <v>1489</v>
      </c>
      <c r="D871" s="44" t="s">
        <v>3215</v>
      </c>
      <c r="E871" s="91" t="s">
        <v>5580</v>
      </c>
      <c r="F871" s="49" t="s">
        <v>3216</v>
      </c>
    </row>
    <row r="872" spans="1:6">
      <c r="A872" s="43"/>
      <c r="B872" s="34" t="s">
        <v>3037</v>
      </c>
      <c r="C872" s="35" t="s">
        <v>1489</v>
      </c>
      <c r="D872" s="44" t="s">
        <v>3172</v>
      </c>
      <c r="E872" s="91" t="s">
        <v>5507</v>
      </c>
      <c r="F872" s="49" t="s">
        <v>3173</v>
      </c>
    </row>
    <row r="873" spans="1:6">
      <c r="A873" s="43"/>
      <c r="B873" s="34" t="s">
        <v>3037</v>
      </c>
      <c r="C873" s="35" t="s">
        <v>1489</v>
      </c>
      <c r="D873" s="44" t="s">
        <v>3217</v>
      </c>
      <c r="E873" s="91" t="s">
        <v>5581</v>
      </c>
      <c r="F873" s="49" t="s">
        <v>1496</v>
      </c>
    </row>
    <row r="874" spans="1:6">
      <c r="A874" s="43"/>
      <c r="B874" s="34" t="s">
        <v>3037</v>
      </c>
      <c r="C874" s="35" t="s">
        <v>1489</v>
      </c>
      <c r="D874" s="44" t="s">
        <v>4988</v>
      </c>
      <c r="E874" s="91" t="s">
        <v>5587</v>
      </c>
      <c r="F874" s="49" t="s">
        <v>5254</v>
      </c>
    </row>
    <row r="875" spans="1:6">
      <c r="A875" s="43"/>
      <c r="B875" s="34" t="s">
        <v>3037</v>
      </c>
      <c r="C875" s="35" t="s">
        <v>1489</v>
      </c>
      <c r="D875" s="44" t="s">
        <v>4985</v>
      </c>
      <c r="E875" s="91" t="s">
        <v>5583</v>
      </c>
      <c r="F875" s="49" t="s">
        <v>5251</v>
      </c>
    </row>
    <row r="876" spans="1:6">
      <c r="A876" s="43"/>
      <c r="B876" s="34" t="s">
        <v>3037</v>
      </c>
      <c r="C876" s="35" t="s">
        <v>1489</v>
      </c>
      <c r="D876" s="44" t="s">
        <v>3224</v>
      </c>
      <c r="E876" s="91" t="s">
        <v>5590</v>
      </c>
      <c r="F876" s="49" t="s">
        <v>3225</v>
      </c>
    </row>
    <row r="877" spans="1:6">
      <c r="A877" s="43"/>
      <c r="B877" s="34" t="s">
        <v>3037</v>
      </c>
      <c r="C877" s="35" t="s">
        <v>1489</v>
      </c>
      <c r="D877" s="44" t="s">
        <v>3222</v>
      </c>
      <c r="E877" s="91" t="s">
        <v>5589</v>
      </c>
      <c r="F877" s="49" t="s">
        <v>3223</v>
      </c>
    </row>
    <row r="878" spans="1:6">
      <c r="A878" s="43"/>
      <c r="B878" s="34" t="s">
        <v>3037</v>
      </c>
      <c r="C878" s="35" t="s">
        <v>1489</v>
      </c>
      <c r="D878" s="44" t="s">
        <v>3226</v>
      </c>
      <c r="E878" s="91" t="s">
        <v>2253</v>
      </c>
      <c r="F878" s="49" t="s">
        <v>1515</v>
      </c>
    </row>
    <row r="879" spans="1:6">
      <c r="A879" s="43"/>
      <c r="B879" s="34" t="s">
        <v>3037</v>
      </c>
      <c r="C879" s="35" t="s">
        <v>1489</v>
      </c>
      <c r="D879" s="44" t="s">
        <v>4992</v>
      </c>
      <c r="E879" s="91" t="s">
        <v>5592</v>
      </c>
      <c r="F879" s="49" t="s">
        <v>5258</v>
      </c>
    </row>
    <row r="880" spans="1:6">
      <c r="A880" s="43"/>
      <c r="B880" s="34" t="s">
        <v>3037</v>
      </c>
      <c r="C880" s="35" t="s">
        <v>1489</v>
      </c>
      <c r="D880" s="44" t="s">
        <v>4989</v>
      </c>
      <c r="E880" s="91" t="s">
        <v>5588</v>
      </c>
      <c r="F880" s="49" t="s">
        <v>5255</v>
      </c>
    </row>
    <row r="881" spans="1:6">
      <c r="A881" s="43"/>
      <c r="B881" s="34" t="s">
        <v>3037</v>
      </c>
      <c r="C881" s="35" t="s">
        <v>1489</v>
      </c>
      <c r="D881" s="44" t="s">
        <v>4973</v>
      </c>
      <c r="E881" s="91" t="s">
        <v>5564</v>
      </c>
      <c r="F881" s="49" t="s">
        <v>5239</v>
      </c>
    </row>
    <row r="882" spans="1:6">
      <c r="A882" s="43"/>
      <c r="B882" s="34" t="s">
        <v>3037</v>
      </c>
      <c r="C882" s="35" t="s">
        <v>1489</v>
      </c>
      <c r="D882" s="44" t="s">
        <v>4981</v>
      </c>
      <c r="E882" s="91" t="s">
        <v>5573</v>
      </c>
      <c r="F882" s="49" t="s">
        <v>5247</v>
      </c>
    </row>
    <row r="883" spans="1:6">
      <c r="A883" s="43"/>
      <c r="B883" s="34" t="s">
        <v>3037</v>
      </c>
      <c r="C883" s="35" t="s">
        <v>1489</v>
      </c>
      <c r="D883" s="44" t="s">
        <v>4997</v>
      </c>
      <c r="E883" s="91" t="s">
        <v>5599</v>
      </c>
      <c r="F883" s="49" t="s">
        <v>5263</v>
      </c>
    </row>
    <row r="884" spans="1:6">
      <c r="A884" s="43"/>
      <c r="B884" s="34" t="s">
        <v>3037</v>
      </c>
      <c r="C884" s="35" t="s">
        <v>1489</v>
      </c>
      <c r="D884" s="44" t="s">
        <v>4994</v>
      </c>
      <c r="E884" s="91" t="s">
        <v>5594</v>
      </c>
      <c r="F884" s="49" t="s">
        <v>5260</v>
      </c>
    </row>
    <row r="885" spans="1:6">
      <c r="A885" s="43"/>
      <c r="B885" s="34" t="s">
        <v>3037</v>
      </c>
      <c r="C885" s="35" t="s">
        <v>1489</v>
      </c>
      <c r="D885" s="44" t="s">
        <v>5005</v>
      </c>
      <c r="E885" s="91" t="s">
        <v>5609</v>
      </c>
      <c r="F885" s="49" t="s">
        <v>5271</v>
      </c>
    </row>
    <row r="886" spans="1:6">
      <c r="A886" s="43"/>
      <c r="B886" s="34" t="s">
        <v>3037</v>
      </c>
      <c r="C886" s="35" t="s">
        <v>1489</v>
      </c>
      <c r="D886" s="44" t="s">
        <v>3229</v>
      </c>
      <c r="E886" s="91" t="s">
        <v>5597</v>
      </c>
      <c r="F886" s="49" t="s">
        <v>3230</v>
      </c>
    </row>
    <row r="887" spans="1:6">
      <c r="A887" s="43"/>
      <c r="B887" s="34" t="s">
        <v>3037</v>
      </c>
      <c r="C887" s="35" t="s">
        <v>1489</v>
      </c>
      <c r="D887" s="44" t="s">
        <v>3227</v>
      </c>
      <c r="E887" s="91" t="s">
        <v>5595</v>
      </c>
      <c r="F887" s="49" t="s">
        <v>3228</v>
      </c>
    </row>
    <row r="888" spans="1:6">
      <c r="A888" s="43"/>
      <c r="B888" s="34" t="s">
        <v>3037</v>
      </c>
      <c r="C888" s="35" t="s">
        <v>1489</v>
      </c>
      <c r="D888" s="44" t="s">
        <v>5010</v>
      </c>
      <c r="E888" s="91" t="s">
        <v>2268</v>
      </c>
      <c r="F888" s="49" t="s">
        <v>5276</v>
      </c>
    </row>
    <row r="889" spans="1:6">
      <c r="A889" s="43"/>
      <c r="B889" s="34" t="s">
        <v>3037</v>
      </c>
      <c r="C889" s="35" t="s">
        <v>1489</v>
      </c>
      <c r="D889" s="44" t="s">
        <v>5000</v>
      </c>
      <c r="E889" s="91" t="s">
        <v>5602</v>
      </c>
      <c r="F889" s="49" t="s">
        <v>5266</v>
      </c>
    </row>
    <row r="890" spans="1:6">
      <c r="A890" s="43"/>
      <c r="B890" s="34" t="s">
        <v>3037</v>
      </c>
      <c r="C890" s="35" t="s">
        <v>1489</v>
      </c>
      <c r="D890" s="44" t="s">
        <v>5006</v>
      </c>
      <c r="E890" s="91" t="s">
        <v>5610</v>
      </c>
      <c r="F890" s="49" t="s">
        <v>5272</v>
      </c>
    </row>
    <row r="891" spans="1:6">
      <c r="A891" s="43"/>
      <c r="B891" s="34" t="s">
        <v>3037</v>
      </c>
      <c r="C891" s="35" t="s">
        <v>1489</v>
      </c>
      <c r="D891" s="44" t="s">
        <v>4995</v>
      </c>
      <c r="E891" s="91" t="s">
        <v>5596</v>
      </c>
      <c r="F891" s="49" t="s">
        <v>5261</v>
      </c>
    </row>
    <row r="892" spans="1:6">
      <c r="A892" s="43"/>
      <c r="B892" s="34" t="s">
        <v>3037</v>
      </c>
      <c r="C892" s="35" t="s">
        <v>1489</v>
      </c>
      <c r="D892" s="44" t="s">
        <v>3231</v>
      </c>
      <c r="E892" s="91" t="s">
        <v>2271</v>
      </c>
      <c r="F892" s="49" t="s">
        <v>3232</v>
      </c>
    </row>
    <row r="893" spans="1:6">
      <c r="A893" s="43"/>
      <c r="B893" s="34" t="s">
        <v>3037</v>
      </c>
      <c r="C893" s="35" t="s">
        <v>1489</v>
      </c>
      <c r="D893" s="44" t="s">
        <v>5004</v>
      </c>
      <c r="E893" s="91" t="s">
        <v>5608</v>
      </c>
      <c r="F893" s="49" t="s">
        <v>5270</v>
      </c>
    </row>
    <row r="894" spans="1:6">
      <c r="A894" s="43"/>
      <c r="B894" s="34" t="s">
        <v>3037</v>
      </c>
      <c r="C894" s="35" t="s">
        <v>1489</v>
      </c>
      <c r="D894" s="44" t="s">
        <v>3054</v>
      </c>
      <c r="E894" s="91" t="s">
        <v>5330</v>
      </c>
      <c r="F894" s="49" t="s">
        <v>3055</v>
      </c>
    </row>
    <row r="895" spans="1:6">
      <c r="A895" s="43"/>
      <c r="B895" s="34" t="s">
        <v>3037</v>
      </c>
      <c r="C895" s="35" t="s">
        <v>1489</v>
      </c>
      <c r="D895" s="44" t="s">
        <v>3233</v>
      </c>
      <c r="E895" s="91" t="s">
        <v>5598</v>
      </c>
      <c r="F895" s="49" t="s">
        <v>3234</v>
      </c>
    </row>
    <row r="896" spans="1:6">
      <c r="A896" s="43"/>
      <c r="B896" s="34" t="s">
        <v>3037</v>
      </c>
      <c r="C896" s="35" t="s">
        <v>1489</v>
      </c>
      <c r="D896" s="44" t="s">
        <v>4999</v>
      </c>
      <c r="E896" s="91" t="s">
        <v>5601</v>
      </c>
      <c r="F896" s="49" t="s">
        <v>5265</v>
      </c>
    </row>
    <row r="897" spans="1:6">
      <c r="A897" s="43"/>
      <c r="B897" s="34" t="s">
        <v>3037</v>
      </c>
      <c r="C897" s="35" t="s">
        <v>1489</v>
      </c>
      <c r="D897" s="44" t="s">
        <v>4996</v>
      </c>
      <c r="E897" s="91" t="s">
        <v>2283</v>
      </c>
      <c r="F897" s="49" t="s">
        <v>5262</v>
      </c>
    </row>
    <row r="898" spans="1:6">
      <c r="A898" s="43"/>
      <c r="B898" s="34" t="s">
        <v>3037</v>
      </c>
      <c r="C898" s="35" t="s">
        <v>1489</v>
      </c>
      <c r="D898" s="44" t="s">
        <v>3235</v>
      </c>
      <c r="E898" s="91" t="s">
        <v>2286</v>
      </c>
      <c r="F898" s="49" t="s">
        <v>3236</v>
      </c>
    </row>
    <row r="899" spans="1:6">
      <c r="A899" s="43"/>
      <c r="B899" s="34" t="s">
        <v>3037</v>
      </c>
      <c r="C899" s="35" t="s">
        <v>1489</v>
      </c>
      <c r="D899" s="44" t="s">
        <v>4998</v>
      </c>
      <c r="E899" s="91" t="s">
        <v>5600</v>
      </c>
      <c r="F899" s="49" t="s">
        <v>5264</v>
      </c>
    </row>
    <row r="900" spans="1:6">
      <c r="A900" s="43"/>
      <c r="B900" s="34" t="s">
        <v>3037</v>
      </c>
      <c r="C900" s="35" t="s">
        <v>1489</v>
      </c>
      <c r="D900" s="44" t="s">
        <v>4902</v>
      </c>
      <c r="E900" s="91" t="s">
        <v>5475</v>
      </c>
      <c r="F900" s="49" t="s">
        <v>5168</v>
      </c>
    </row>
    <row r="901" spans="1:6">
      <c r="A901" s="43"/>
      <c r="B901" s="34" t="s">
        <v>3037</v>
      </c>
      <c r="C901" s="35" t="s">
        <v>1489</v>
      </c>
      <c r="D901" s="44" t="s">
        <v>5001</v>
      </c>
      <c r="E901" s="91" t="s">
        <v>5603</v>
      </c>
      <c r="F901" s="49" t="s">
        <v>5267</v>
      </c>
    </row>
    <row r="902" spans="1:6">
      <c r="A902" s="43"/>
      <c r="B902" s="34" t="s">
        <v>3037</v>
      </c>
      <c r="C902" s="35" t="s">
        <v>1489</v>
      </c>
      <c r="D902" s="44" t="s">
        <v>3239</v>
      </c>
      <c r="E902" s="91" t="s">
        <v>5607</v>
      </c>
      <c r="F902" s="49" t="s">
        <v>3240</v>
      </c>
    </row>
    <row r="903" spans="1:6">
      <c r="A903" s="43"/>
      <c r="B903" s="34" t="s">
        <v>3037</v>
      </c>
      <c r="C903" s="35" t="s">
        <v>1489</v>
      </c>
      <c r="D903" s="44" t="s">
        <v>3237</v>
      </c>
      <c r="E903" s="91" t="s">
        <v>5606</v>
      </c>
      <c r="F903" s="49" t="s">
        <v>3238</v>
      </c>
    </row>
    <row r="904" spans="1:6">
      <c r="A904" s="43"/>
      <c r="B904" s="34" t="s">
        <v>3037</v>
      </c>
      <c r="C904" s="35" t="s">
        <v>1489</v>
      </c>
      <c r="D904" s="44" t="s">
        <v>5002</v>
      </c>
      <c r="E904" s="91" t="s">
        <v>5604</v>
      </c>
      <c r="F904" s="49" t="s">
        <v>5268</v>
      </c>
    </row>
    <row r="905" spans="1:6">
      <c r="A905" s="43"/>
      <c r="B905" s="34" t="s">
        <v>3037</v>
      </c>
      <c r="C905" s="35" t="s">
        <v>1489</v>
      </c>
      <c r="D905" s="44" t="s">
        <v>5007</v>
      </c>
      <c r="E905" s="91" t="s">
        <v>5612</v>
      </c>
      <c r="F905" s="49" t="s">
        <v>5273</v>
      </c>
    </row>
    <row r="906" spans="1:6">
      <c r="A906" s="43"/>
      <c r="B906" s="34" t="s">
        <v>3037</v>
      </c>
      <c r="C906" s="35" t="s">
        <v>1489</v>
      </c>
      <c r="D906" s="44" t="s">
        <v>3243</v>
      </c>
      <c r="E906" s="91" t="s">
        <v>2298</v>
      </c>
      <c r="F906" s="49" t="s">
        <v>3244</v>
      </c>
    </row>
    <row r="907" spans="1:6">
      <c r="A907" s="43"/>
      <c r="B907" s="34" t="s">
        <v>3037</v>
      </c>
      <c r="C907" s="35" t="s">
        <v>1489</v>
      </c>
      <c r="D907" s="44" t="s">
        <v>5003</v>
      </c>
      <c r="E907" s="91" t="s">
        <v>5605</v>
      </c>
      <c r="F907" s="49" t="s">
        <v>5269</v>
      </c>
    </row>
    <row r="908" spans="1:6">
      <c r="A908" s="43"/>
      <c r="B908" s="34" t="s">
        <v>3037</v>
      </c>
      <c r="C908" s="35" t="s">
        <v>1489</v>
      </c>
      <c r="D908" s="44" t="s">
        <v>3241</v>
      </c>
      <c r="E908" s="91" t="s">
        <v>5611</v>
      </c>
      <c r="F908" s="49" t="s">
        <v>3242</v>
      </c>
    </row>
    <row r="909" spans="1:6">
      <c r="A909" s="43"/>
      <c r="B909" s="34" t="s">
        <v>3037</v>
      </c>
      <c r="C909" s="35" t="s">
        <v>1489</v>
      </c>
      <c r="D909" s="44" t="s">
        <v>5009</v>
      </c>
      <c r="E909" s="91" t="s">
        <v>5614</v>
      </c>
      <c r="F909" s="49" t="s">
        <v>5275</v>
      </c>
    </row>
    <row r="910" spans="1:6">
      <c r="A910" s="43"/>
      <c r="B910" s="34" t="s">
        <v>3037</v>
      </c>
      <c r="C910" s="35" t="s">
        <v>1489</v>
      </c>
      <c r="D910" s="44" t="s">
        <v>5011</v>
      </c>
      <c r="E910" s="91" t="s">
        <v>5615</v>
      </c>
      <c r="F910" s="49" t="s">
        <v>5277</v>
      </c>
    </row>
    <row r="911" spans="1:6">
      <c r="A911" s="43"/>
      <c r="B911" s="34" t="s">
        <v>3037</v>
      </c>
      <c r="C911" s="35" t="s">
        <v>1489</v>
      </c>
      <c r="D911" s="44" t="s">
        <v>3245</v>
      </c>
      <c r="E911" s="91" t="s">
        <v>2313</v>
      </c>
      <c r="F911" s="49" t="s">
        <v>3246</v>
      </c>
    </row>
    <row r="912" spans="1:6">
      <c r="A912" s="43"/>
      <c r="B912" s="34" t="s">
        <v>3037</v>
      </c>
      <c r="C912" s="35" t="s">
        <v>1489</v>
      </c>
      <c r="D912" s="44" t="s">
        <v>5013</v>
      </c>
      <c r="E912" s="91" t="s">
        <v>5617</v>
      </c>
      <c r="F912" s="49" t="s">
        <v>5279</v>
      </c>
    </row>
    <row r="913" spans="1:6">
      <c r="A913" s="43"/>
      <c r="B913" s="34" t="s">
        <v>3037</v>
      </c>
      <c r="C913" s="35" t="s">
        <v>1489</v>
      </c>
      <c r="D913" s="44" t="s">
        <v>4909</v>
      </c>
      <c r="E913" s="91" t="s">
        <v>5484</v>
      </c>
      <c r="F913" s="49" t="s">
        <v>5175</v>
      </c>
    </row>
    <row r="914" spans="1:6">
      <c r="A914" s="43"/>
      <c r="B914" s="34" t="s">
        <v>3037</v>
      </c>
      <c r="C914" s="35" t="s">
        <v>1489</v>
      </c>
      <c r="D914" s="44" t="s">
        <v>5015</v>
      </c>
      <c r="E914" s="91" t="s">
        <v>5619</v>
      </c>
      <c r="F914" s="49" t="s">
        <v>5281</v>
      </c>
    </row>
    <row r="915" spans="1:6">
      <c r="A915" s="43"/>
      <c r="B915" s="34" t="s">
        <v>3037</v>
      </c>
      <c r="C915" s="35" t="s">
        <v>1489</v>
      </c>
      <c r="D915" s="44" t="s">
        <v>4866</v>
      </c>
      <c r="E915" s="91" t="s">
        <v>5429</v>
      </c>
      <c r="F915" s="49" t="s">
        <v>5132</v>
      </c>
    </row>
    <row r="916" spans="1:6">
      <c r="A916" s="43"/>
      <c r="B916" s="34" t="s">
        <v>3037</v>
      </c>
      <c r="C916" s="35" t="s">
        <v>1489</v>
      </c>
      <c r="D916" s="44" t="s">
        <v>3247</v>
      </c>
      <c r="E916" s="91" t="s">
        <v>5620</v>
      </c>
      <c r="F916" s="49" t="s">
        <v>3248</v>
      </c>
    </row>
    <row r="917" spans="1:6">
      <c r="A917" s="43"/>
      <c r="B917" s="34" t="s">
        <v>3037</v>
      </c>
      <c r="C917" s="35" t="s">
        <v>1489</v>
      </c>
      <c r="D917" s="44" t="s">
        <v>5016</v>
      </c>
      <c r="E917" s="91" t="s">
        <v>5621</v>
      </c>
      <c r="F917" s="49" t="s">
        <v>5282</v>
      </c>
    </row>
    <row r="918" spans="1:6">
      <c r="A918" s="43"/>
      <c r="B918" s="34" t="s">
        <v>3037</v>
      </c>
      <c r="C918" s="35" t="s">
        <v>1489</v>
      </c>
      <c r="D918" s="44" t="s">
        <v>5014</v>
      </c>
      <c r="E918" s="91" t="s">
        <v>5618</v>
      </c>
      <c r="F918" s="49" t="s">
        <v>5280</v>
      </c>
    </row>
    <row r="919" spans="1:6">
      <c r="A919" s="43"/>
      <c r="B919" s="34" t="s">
        <v>3037</v>
      </c>
      <c r="C919" s="35" t="s">
        <v>1489</v>
      </c>
      <c r="D919" s="44" t="s">
        <v>5012</v>
      </c>
      <c r="E919" s="91" t="s">
        <v>5616</v>
      </c>
      <c r="F919" s="49" t="s">
        <v>5278</v>
      </c>
    </row>
    <row r="920" spans="1:6">
      <c r="A920" s="43"/>
      <c r="B920" s="34" t="s">
        <v>3037</v>
      </c>
      <c r="C920" s="35" t="s">
        <v>1489</v>
      </c>
      <c r="D920" s="44" t="s">
        <v>3249</v>
      </c>
      <c r="E920" s="91" t="s">
        <v>2340</v>
      </c>
      <c r="F920" s="49" t="s">
        <v>3250</v>
      </c>
    </row>
    <row r="921" spans="1:6">
      <c r="A921" s="43"/>
      <c r="B921" s="34" t="s">
        <v>3037</v>
      </c>
      <c r="C921" s="35" t="s">
        <v>1489</v>
      </c>
      <c r="D921" s="44" t="s">
        <v>5020</v>
      </c>
      <c r="E921" s="91" t="s">
        <v>5626</v>
      </c>
      <c r="F921" s="49" t="s">
        <v>5286</v>
      </c>
    </row>
    <row r="922" spans="1:6">
      <c r="A922" s="43"/>
      <c r="B922" s="34" t="s">
        <v>3037</v>
      </c>
      <c r="C922" s="35" t="s">
        <v>1489</v>
      </c>
      <c r="D922" s="44" t="s">
        <v>3251</v>
      </c>
      <c r="E922" s="91" t="s">
        <v>2349</v>
      </c>
      <c r="F922" s="49" t="s">
        <v>3252</v>
      </c>
    </row>
    <row r="923" spans="1:6">
      <c r="A923" s="43"/>
      <c r="B923" s="34" t="s">
        <v>3037</v>
      </c>
      <c r="C923" s="35" t="s">
        <v>1489</v>
      </c>
      <c r="D923" s="44" t="s">
        <v>5019</v>
      </c>
      <c r="E923" s="91" t="s">
        <v>5625</v>
      </c>
      <c r="F923" s="49" t="s">
        <v>5285</v>
      </c>
    </row>
    <row r="924" spans="1:6">
      <c r="A924" s="43"/>
      <c r="B924" s="34" t="s">
        <v>3037</v>
      </c>
      <c r="C924" s="35" t="s">
        <v>1489</v>
      </c>
      <c r="D924" s="44" t="s">
        <v>3253</v>
      </c>
      <c r="E924" s="91" t="s">
        <v>5622</v>
      </c>
      <c r="F924" s="49" t="s">
        <v>3254</v>
      </c>
    </row>
    <row r="925" spans="1:6">
      <c r="A925" s="43"/>
      <c r="B925" s="34" t="s">
        <v>3037</v>
      </c>
      <c r="C925" s="35" t="s">
        <v>1489</v>
      </c>
      <c r="D925" s="44" t="s">
        <v>5021</v>
      </c>
      <c r="E925" s="91" t="s">
        <v>2355</v>
      </c>
      <c r="F925" s="49" t="s">
        <v>5287</v>
      </c>
    </row>
    <row r="926" spans="1:6">
      <c r="A926" s="43"/>
      <c r="B926" s="34" t="s">
        <v>3037</v>
      </c>
      <c r="C926" s="35" t="s">
        <v>1489</v>
      </c>
      <c r="D926" s="44" t="s">
        <v>3255</v>
      </c>
      <c r="E926" s="91" t="s">
        <v>5628</v>
      </c>
      <c r="F926" s="49" t="s">
        <v>3256</v>
      </c>
    </row>
    <row r="927" spans="1:6">
      <c r="A927" s="43"/>
      <c r="B927" s="34" t="s">
        <v>3037</v>
      </c>
      <c r="C927" s="35" t="s">
        <v>1489</v>
      </c>
      <c r="D927" s="44" t="s">
        <v>3070</v>
      </c>
      <c r="E927" s="91" t="s">
        <v>1671</v>
      </c>
      <c r="F927" s="49" t="s">
        <v>3071</v>
      </c>
    </row>
    <row r="928" spans="1:6">
      <c r="A928" s="43"/>
      <c r="B928" s="34" t="s">
        <v>3037</v>
      </c>
      <c r="C928" s="35" t="s">
        <v>1489</v>
      </c>
      <c r="D928" s="44" t="s">
        <v>4917</v>
      </c>
      <c r="E928" s="91" t="s">
        <v>5495</v>
      </c>
      <c r="F928" s="49" t="s">
        <v>5183</v>
      </c>
    </row>
    <row r="929" spans="1:6">
      <c r="A929" s="43"/>
      <c r="B929" s="34" t="s">
        <v>3037</v>
      </c>
      <c r="C929" s="35" t="s">
        <v>1489</v>
      </c>
      <c r="D929" s="44" t="s">
        <v>3257</v>
      </c>
      <c r="E929" s="91" t="s">
        <v>5629</v>
      </c>
      <c r="F929" s="49" t="s">
        <v>3258</v>
      </c>
    </row>
    <row r="930" spans="1:6">
      <c r="A930" s="43"/>
      <c r="B930" s="34" t="s">
        <v>3037</v>
      </c>
      <c r="C930" s="35" t="s">
        <v>1489</v>
      </c>
      <c r="D930" s="44" t="s">
        <v>3259</v>
      </c>
      <c r="E930" s="91" t="s">
        <v>5630</v>
      </c>
      <c r="F930" s="49" t="s">
        <v>3260</v>
      </c>
    </row>
    <row r="931" spans="1:6">
      <c r="A931" s="43"/>
      <c r="B931" s="34" t="s">
        <v>3037</v>
      </c>
      <c r="C931" s="35" t="s">
        <v>1489</v>
      </c>
      <c r="D931" s="44" t="s">
        <v>5026</v>
      </c>
      <c r="E931" s="91" t="s">
        <v>5634</v>
      </c>
      <c r="F931" s="49" t="s">
        <v>5292</v>
      </c>
    </row>
    <row r="932" spans="1:6">
      <c r="A932" s="43"/>
      <c r="B932" s="34" t="s">
        <v>3037</v>
      </c>
      <c r="C932" s="35" t="s">
        <v>1489</v>
      </c>
      <c r="D932" s="44" t="s">
        <v>3261</v>
      </c>
      <c r="E932" s="91" t="s">
        <v>5635</v>
      </c>
      <c r="F932" s="49" t="s">
        <v>3262</v>
      </c>
    </row>
    <row r="933" spans="1:6">
      <c r="A933" s="43"/>
      <c r="B933" s="34" t="s">
        <v>3037</v>
      </c>
      <c r="C933" s="35" t="s">
        <v>1489</v>
      </c>
      <c r="D933" s="44" t="s">
        <v>4915</v>
      </c>
      <c r="E933" s="91" t="s">
        <v>5494</v>
      </c>
      <c r="F933" s="49" t="s">
        <v>5181</v>
      </c>
    </row>
    <row r="934" spans="1:6">
      <c r="A934" s="43"/>
      <c r="B934" s="34" t="s">
        <v>3037</v>
      </c>
      <c r="C934" s="35" t="s">
        <v>1489</v>
      </c>
      <c r="D934" s="44" t="s">
        <v>5029</v>
      </c>
      <c r="E934" s="91" t="s">
        <v>5638</v>
      </c>
      <c r="F934" s="49" t="s">
        <v>5295</v>
      </c>
    </row>
    <row r="935" spans="1:6">
      <c r="A935" s="43"/>
      <c r="B935" s="34" t="s">
        <v>3037</v>
      </c>
      <c r="C935" s="35" t="s">
        <v>1489</v>
      </c>
      <c r="D935" s="44" t="s">
        <v>5028</v>
      </c>
      <c r="E935" s="91" t="s">
        <v>5637</v>
      </c>
      <c r="F935" s="49" t="s">
        <v>5294</v>
      </c>
    </row>
    <row r="936" spans="1:6">
      <c r="A936" s="43"/>
      <c r="B936" s="34" t="s">
        <v>3037</v>
      </c>
      <c r="C936" s="35" t="s">
        <v>1489</v>
      </c>
      <c r="D936" s="44" t="s">
        <v>5027</v>
      </c>
      <c r="E936" s="91" t="s">
        <v>5636</v>
      </c>
      <c r="F936" s="49" t="s">
        <v>5293</v>
      </c>
    </row>
    <row r="937" spans="1:6">
      <c r="A937" s="43"/>
      <c r="B937" s="34" t="s">
        <v>3037</v>
      </c>
      <c r="C937" s="35" t="s">
        <v>1489</v>
      </c>
      <c r="D937" s="44" t="s">
        <v>5030</v>
      </c>
      <c r="E937" s="91" t="s">
        <v>5639</v>
      </c>
      <c r="F937" s="49" t="s">
        <v>5296</v>
      </c>
    </row>
    <row r="938" spans="1:6">
      <c r="A938" s="43"/>
      <c r="B938" s="34" t="s">
        <v>3037</v>
      </c>
      <c r="C938" s="35" t="s">
        <v>1489</v>
      </c>
      <c r="D938" s="44" t="s">
        <v>5031</v>
      </c>
      <c r="E938" s="91" t="s">
        <v>5640</v>
      </c>
      <c r="F938" s="49" t="s">
        <v>5297</v>
      </c>
    </row>
    <row r="939" spans="1:6">
      <c r="A939" s="43"/>
      <c r="B939" s="34" t="s">
        <v>3037</v>
      </c>
      <c r="C939" s="35" t="s">
        <v>1489</v>
      </c>
      <c r="D939" s="44" t="s">
        <v>5035</v>
      </c>
      <c r="E939" s="91" t="s">
        <v>5645</v>
      </c>
      <c r="F939" s="49" t="s">
        <v>5301</v>
      </c>
    </row>
    <row r="940" spans="1:6">
      <c r="A940" s="43"/>
      <c r="B940" s="34" t="s">
        <v>3037</v>
      </c>
      <c r="C940" s="35" t="s">
        <v>1489</v>
      </c>
      <c r="D940" s="44" t="s">
        <v>5034</v>
      </c>
      <c r="E940" s="91" t="s">
        <v>5644</v>
      </c>
      <c r="F940" s="49" t="s">
        <v>5300</v>
      </c>
    </row>
    <row r="941" spans="1:6">
      <c r="A941" s="43"/>
      <c r="B941" s="34" t="s">
        <v>3037</v>
      </c>
      <c r="C941" s="35" t="s">
        <v>1489</v>
      </c>
      <c r="D941" s="44" t="s">
        <v>5032</v>
      </c>
      <c r="E941" s="91" t="s">
        <v>5642</v>
      </c>
      <c r="F941" s="49" t="s">
        <v>5298</v>
      </c>
    </row>
    <row r="942" spans="1:6">
      <c r="A942" s="34"/>
      <c r="B942" s="34" t="s">
        <v>3037</v>
      </c>
      <c r="C942" s="35" t="s">
        <v>1489</v>
      </c>
      <c r="D942" s="35" t="s">
        <v>3265</v>
      </c>
      <c r="E942" s="91" t="s">
        <v>5646</v>
      </c>
      <c r="F942" s="36" t="s">
        <v>3266</v>
      </c>
    </row>
    <row r="943" spans="1:6">
      <c r="A943" s="37" t="s">
        <v>3267</v>
      </c>
      <c r="B943" s="37" t="s">
        <v>3268</v>
      </c>
      <c r="C943" s="39" t="s">
        <v>3269</v>
      </c>
      <c r="D943" s="38" t="s">
        <v>3267</v>
      </c>
      <c r="E943" s="39"/>
      <c r="F943" s="51" t="s">
        <v>3270</v>
      </c>
    </row>
    <row r="944" spans="1:6">
      <c r="A944" s="40" t="s">
        <v>3271</v>
      </c>
      <c r="B944" s="40" t="s">
        <v>3268</v>
      </c>
      <c r="C944" s="41" t="s">
        <v>3269</v>
      </c>
      <c r="D944" s="41" t="s">
        <v>3271</v>
      </c>
      <c r="E944" s="41"/>
      <c r="F944" s="42" t="s">
        <v>3272</v>
      </c>
    </row>
    <row r="945" spans="1:7">
      <c r="A945" s="37" t="s">
        <v>3273</v>
      </c>
      <c r="B945" s="37" t="s">
        <v>3268</v>
      </c>
      <c r="C945" s="39" t="s">
        <v>3269</v>
      </c>
      <c r="D945" s="39" t="s">
        <v>3273</v>
      </c>
      <c r="E945" s="39"/>
      <c r="F945" s="51" t="s">
        <v>3274</v>
      </c>
    </row>
    <row r="946" spans="1:7">
      <c r="A946" s="40" t="s">
        <v>3275</v>
      </c>
      <c r="B946" s="40" t="s">
        <v>3268</v>
      </c>
      <c r="C946" s="41" t="s">
        <v>3269</v>
      </c>
      <c r="D946" s="54" t="s">
        <v>3275</v>
      </c>
      <c r="E946" s="41"/>
      <c r="F946" s="42" t="s">
        <v>3276</v>
      </c>
    </row>
    <row r="947" spans="1:7">
      <c r="A947" s="37" t="s">
        <v>3277</v>
      </c>
      <c r="B947" s="37" t="s">
        <v>3268</v>
      </c>
      <c r="C947" s="39" t="s">
        <v>3269</v>
      </c>
      <c r="D947" s="38" t="s">
        <v>3277</v>
      </c>
      <c r="E947" s="39"/>
      <c r="F947" s="51" t="s">
        <v>3278</v>
      </c>
    </row>
    <row r="948" spans="1:7">
      <c r="A948" s="225" t="s">
        <v>3279</v>
      </c>
      <c r="B948" s="29" t="s">
        <v>3268</v>
      </c>
      <c r="C948" s="30" t="s">
        <v>3269</v>
      </c>
      <c r="D948" s="55" t="s">
        <v>3279</v>
      </c>
      <c r="E948" s="30"/>
      <c r="F948" s="31" t="s">
        <v>3280</v>
      </c>
    </row>
    <row r="949" spans="1:7" ht="75">
      <c r="A949" s="56" t="s">
        <v>3281</v>
      </c>
      <c r="B949" s="56" t="s">
        <v>3282</v>
      </c>
      <c r="C949" s="57" t="s">
        <v>3283</v>
      </c>
      <c r="D949" s="57" t="s">
        <v>3281</v>
      </c>
      <c r="E949" s="57" t="s">
        <v>3284</v>
      </c>
      <c r="F949" s="57" t="s">
        <v>3285</v>
      </c>
      <c r="G949" s="58" t="s">
        <v>3286</v>
      </c>
    </row>
    <row r="950" spans="1:7" ht="150">
      <c r="A950" s="59" t="s">
        <v>3287</v>
      </c>
      <c r="B950" s="59" t="s">
        <v>3282</v>
      </c>
      <c r="C950" s="60" t="s">
        <v>3283</v>
      </c>
      <c r="D950" s="60" t="s">
        <v>3287</v>
      </c>
      <c r="E950" s="60" t="s">
        <v>3288</v>
      </c>
      <c r="F950" s="60" t="s">
        <v>3289</v>
      </c>
      <c r="G950" s="61" t="s">
        <v>3290</v>
      </c>
    </row>
    <row r="951" spans="1:7">
      <c r="A951" s="37" t="s">
        <v>3291</v>
      </c>
      <c r="B951" s="37" t="s">
        <v>3292</v>
      </c>
      <c r="C951" s="39" t="s">
        <v>3293</v>
      </c>
      <c r="D951" s="38" t="s">
        <v>3291</v>
      </c>
      <c r="E951" s="39"/>
      <c r="F951" s="223" t="s">
        <v>3294</v>
      </c>
    </row>
    <row r="952" spans="1:7">
      <c r="A952" s="40" t="s">
        <v>3295</v>
      </c>
      <c r="B952" s="40" t="s">
        <v>3292</v>
      </c>
      <c r="C952" s="41" t="s">
        <v>3293</v>
      </c>
      <c r="D952" s="41" t="s">
        <v>3296</v>
      </c>
      <c r="E952" s="41"/>
      <c r="F952" s="63" t="s">
        <v>3297</v>
      </c>
    </row>
    <row r="953" spans="1:7">
      <c r="A953" s="37" t="s">
        <v>3298</v>
      </c>
      <c r="B953" s="37" t="s">
        <v>3292</v>
      </c>
      <c r="C953" s="222" t="s">
        <v>3293</v>
      </c>
      <c r="D953" s="39" t="s">
        <v>3298</v>
      </c>
      <c r="E953" s="39"/>
      <c r="F953" s="223" t="s">
        <v>3299</v>
      </c>
    </row>
    <row r="954" spans="1:7">
      <c r="A954" s="227" t="s">
        <v>3300</v>
      </c>
      <c r="B954" s="40" t="s">
        <v>3292</v>
      </c>
      <c r="C954" s="41" t="s">
        <v>3293</v>
      </c>
      <c r="D954" s="41" t="s">
        <v>3300</v>
      </c>
      <c r="E954" s="41"/>
      <c r="F954" s="63" t="s">
        <v>3301</v>
      </c>
    </row>
    <row r="955" spans="1:7">
      <c r="A955" s="37" t="s">
        <v>3302</v>
      </c>
      <c r="B955" s="37" t="s">
        <v>3292</v>
      </c>
      <c r="C955" s="39" t="s">
        <v>3293</v>
      </c>
      <c r="D955" s="39" t="s">
        <v>3302</v>
      </c>
      <c r="E955" s="39"/>
      <c r="F955" s="223" t="s">
        <v>3303</v>
      </c>
    </row>
    <row r="956" spans="1:7">
      <c r="A956" s="40" t="s">
        <v>3304</v>
      </c>
      <c r="B956" s="40" t="s">
        <v>3292</v>
      </c>
      <c r="C956" s="41" t="s">
        <v>3293</v>
      </c>
      <c r="D956" s="41" t="s">
        <v>3304</v>
      </c>
      <c r="E956" s="41"/>
      <c r="F956" s="63" t="s">
        <v>3305</v>
      </c>
    </row>
    <row r="957" spans="1:7">
      <c r="A957" s="37" t="s">
        <v>3306</v>
      </c>
      <c r="B957" s="37" t="s">
        <v>3292</v>
      </c>
      <c r="C957" s="39" t="s">
        <v>3293</v>
      </c>
      <c r="D957" s="39" t="s">
        <v>3306</v>
      </c>
      <c r="E957" s="39"/>
      <c r="F957" s="223" t="s">
        <v>3307</v>
      </c>
    </row>
    <row r="958" spans="1:7">
      <c r="A958" s="40" t="s">
        <v>3308</v>
      </c>
      <c r="B958" s="40" t="s">
        <v>3292</v>
      </c>
      <c r="C958" s="41" t="s">
        <v>3293</v>
      </c>
      <c r="D958" s="41" t="s">
        <v>3308</v>
      </c>
      <c r="E958" s="41"/>
      <c r="F958" s="63" t="s">
        <v>3309</v>
      </c>
    </row>
    <row r="959" spans="1:7">
      <c r="A959" s="37" t="s">
        <v>3310</v>
      </c>
      <c r="B959" s="37" t="s">
        <v>3292</v>
      </c>
      <c r="C959" s="39" t="s">
        <v>3293</v>
      </c>
      <c r="D959" s="39" t="s">
        <v>3310</v>
      </c>
      <c r="E959" s="39"/>
      <c r="F959" s="223" t="s">
        <v>3311</v>
      </c>
    </row>
    <row r="960" spans="1:7">
      <c r="A960" s="40" t="s">
        <v>3312</v>
      </c>
      <c r="B960" s="40" t="s">
        <v>3292</v>
      </c>
      <c r="C960" s="41" t="s">
        <v>3293</v>
      </c>
      <c r="D960" s="41" t="s">
        <v>3312</v>
      </c>
      <c r="E960" s="41"/>
      <c r="F960" s="63" t="s">
        <v>3313</v>
      </c>
    </row>
    <row r="961" spans="1:6">
      <c r="A961" s="37" t="s">
        <v>3314</v>
      </c>
      <c r="B961" s="37" t="s">
        <v>3292</v>
      </c>
      <c r="C961" s="39" t="s">
        <v>3293</v>
      </c>
      <c r="D961" s="39" t="s">
        <v>3314</v>
      </c>
      <c r="E961" s="39"/>
      <c r="F961" s="223" t="s">
        <v>3315</v>
      </c>
    </row>
    <row r="962" spans="1:6">
      <c r="A962" s="40" t="s">
        <v>3316</v>
      </c>
      <c r="B962" s="40" t="s">
        <v>3292</v>
      </c>
      <c r="C962" s="41" t="s">
        <v>3293</v>
      </c>
      <c r="D962" s="41" t="s">
        <v>3316</v>
      </c>
      <c r="E962" s="41"/>
      <c r="F962" s="63" t="s">
        <v>3317</v>
      </c>
    </row>
    <row r="963" spans="1:6">
      <c r="A963" s="37" t="s">
        <v>3318</v>
      </c>
      <c r="B963" s="37" t="s">
        <v>3292</v>
      </c>
      <c r="C963" s="39" t="s">
        <v>3293</v>
      </c>
      <c r="D963" s="39" t="s">
        <v>3318</v>
      </c>
      <c r="E963" s="39"/>
      <c r="F963" s="223" t="s">
        <v>3319</v>
      </c>
    </row>
    <row r="964" spans="1:6">
      <c r="A964" s="40" t="s">
        <v>3320</v>
      </c>
      <c r="B964" s="40" t="s">
        <v>3292</v>
      </c>
      <c r="C964" s="41" t="s">
        <v>3293</v>
      </c>
      <c r="D964" s="41" t="s">
        <v>3320</v>
      </c>
      <c r="E964" s="41"/>
      <c r="F964" s="63" t="s">
        <v>3321</v>
      </c>
    </row>
    <row r="965" spans="1:6">
      <c r="A965" s="37" t="s">
        <v>3322</v>
      </c>
      <c r="B965" s="37" t="s">
        <v>3292</v>
      </c>
      <c r="C965" s="39" t="s">
        <v>3293</v>
      </c>
      <c r="D965" s="39" t="s">
        <v>3322</v>
      </c>
      <c r="E965" s="39"/>
      <c r="F965" s="223" t="s">
        <v>3323</v>
      </c>
    </row>
    <row r="966" spans="1:6">
      <c r="A966" s="40" t="s">
        <v>3324</v>
      </c>
      <c r="B966" s="40" t="s">
        <v>3292</v>
      </c>
      <c r="C966" s="41" t="s">
        <v>3293</v>
      </c>
      <c r="D966" s="41" t="s">
        <v>3324</v>
      </c>
      <c r="E966" s="41"/>
      <c r="F966" s="63" t="s">
        <v>3325</v>
      </c>
    </row>
    <row r="967" spans="1:6">
      <c r="A967" s="37" t="s">
        <v>3326</v>
      </c>
      <c r="B967" s="37" t="s">
        <v>3292</v>
      </c>
      <c r="C967" s="39" t="s">
        <v>3293</v>
      </c>
      <c r="D967" s="39" t="s">
        <v>3326</v>
      </c>
      <c r="E967" s="39"/>
      <c r="F967" s="223" t="s">
        <v>3327</v>
      </c>
    </row>
    <row r="968" spans="1:6">
      <c r="A968" s="40" t="s">
        <v>3328</v>
      </c>
      <c r="B968" s="40" t="s">
        <v>3292</v>
      </c>
      <c r="C968" s="41" t="s">
        <v>3293</v>
      </c>
      <c r="D968" s="41" t="s">
        <v>3328</v>
      </c>
      <c r="E968" s="41"/>
      <c r="F968" s="63" t="s">
        <v>3329</v>
      </c>
    </row>
    <row r="969" spans="1:6">
      <c r="A969" s="37" t="s">
        <v>3330</v>
      </c>
      <c r="B969" s="37" t="s">
        <v>3292</v>
      </c>
      <c r="C969" s="39" t="s">
        <v>3293</v>
      </c>
      <c r="D969" s="39" t="s">
        <v>3330</v>
      </c>
      <c r="E969" s="39"/>
      <c r="F969" s="223" t="s">
        <v>3331</v>
      </c>
    </row>
    <row r="970" spans="1:6">
      <c r="A970" s="29" t="s">
        <v>3332</v>
      </c>
      <c r="B970" s="29" t="s">
        <v>3292</v>
      </c>
      <c r="C970" s="30" t="s">
        <v>3293</v>
      </c>
      <c r="D970" s="30" t="s">
        <v>3332</v>
      </c>
      <c r="E970" s="30"/>
      <c r="F970" s="226" t="s">
        <v>3333</v>
      </c>
    </row>
    <row r="971" spans="1:6">
      <c r="A971" s="43" t="s">
        <v>3334</v>
      </c>
      <c r="B971" s="43" t="s">
        <v>3335</v>
      </c>
      <c r="C971" s="44" t="s">
        <v>3336</v>
      </c>
      <c r="D971" s="228" t="s">
        <v>3334</v>
      </c>
      <c r="E971" s="44">
        <v>1</v>
      </c>
      <c r="F971" s="221" t="s">
        <v>3337</v>
      </c>
    </row>
    <row r="972" spans="1:6">
      <c r="A972" s="46" t="s">
        <v>3338</v>
      </c>
      <c r="B972" s="46" t="s">
        <v>3335</v>
      </c>
      <c r="C972" s="47" t="s">
        <v>3336</v>
      </c>
      <c r="D972" s="229" t="s">
        <v>3338</v>
      </c>
      <c r="E972" s="47">
        <v>2</v>
      </c>
      <c r="F972" s="231" t="s">
        <v>3339</v>
      </c>
    </row>
    <row r="973" spans="1:6">
      <c r="A973" s="43" t="s">
        <v>3340</v>
      </c>
      <c r="B973" s="43" t="s">
        <v>3335</v>
      </c>
      <c r="C973" s="44" t="s">
        <v>3336</v>
      </c>
      <c r="D973" s="228" t="s">
        <v>3340</v>
      </c>
      <c r="E973" s="44">
        <v>3</v>
      </c>
      <c r="F973" s="221" t="s">
        <v>3341</v>
      </c>
    </row>
    <row r="974" spans="1:6">
      <c r="A974" s="46" t="s">
        <v>3342</v>
      </c>
      <c r="B974" s="46" t="s">
        <v>3335</v>
      </c>
      <c r="C974" s="47" t="s">
        <v>3336</v>
      </c>
      <c r="D974" s="229" t="s">
        <v>3342</v>
      </c>
      <c r="E974" s="47">
        <v>4</v>
      </c>
      <c r="F974" s="231" t="s">
        <v>3343</v>
      </c>
    </row>
    <row r="975" spans="1:6">
      <c r="A975" s="43" t="s">
        <v>3344</v>
      </c>
      <c r="B975" s="43" t="s">
        <v>3335</v>
      </c>
      <c r="C975" s="44" t="s">
        <v>3336</v>
      </c>
      <c r="D975" s="228" t="s">
        <v>3344</v>
      </c>
      <c r="E975" s="44">
        <v>5</v>
      </c>
      <c r="F975" s="221" t="s">
        <v>3345</v>
      </c>
    </row>
    <row r="976" spans="1:6">
      <c r="A976" s="46" t="s">
        <v>3346</v>
      </c>
      <c r="B976" s="46" t="s">
        <v>3335</v>
      </c>
      <c r="C976" s="47" t="s">
        <v>3336</v>
      </c>
      <c r="D976" s="229" t="s">
        <v>3346</v>
      </c>
      <c r="E976" s="47">
        <v>6</v>
      </c>
      <c r="F976" s="231" t="s">
        <v>3347</v>
      </c>
    </row>
    <row r="977" spans="1:6">
      <c r="A977" s="43" t="s">
        <v>3348</v>
      </c>
      <c r="B977" s="43" t="s">
        <v>3335</v>
      </c>
      <c r="C977" s="44" t="s">
        <v>3336</v>
      </c>
      <c r="D977" s="228" t="s">
        <v>3348</v>
      </c>
      <c r="E977" s="44">
        <v>7</v>
      </c>
      <c r="F977" s="221" t="s">
        <v>3349</v>
      </c>
    </row>
    <row r="978" spans="1:6">
      <c r="A978" s="34" t="s">
        <v>3350</v>
      </c>
      <c r="B978" s="34" t="s">
        <v>3335</v>
      </c>
      <c r="C978" s="35" t="s">
        <v>3336</v>
      </c>
      <c r="D978" s="230" t="s">
        <v>3350</v>
      </c>
      <c r="E978" s="35">
        <v>8</v>
      </c>
      <c r="F978" s="232" t="s">
        <v>3351</v>
      </c>
    </row>
    <row r="979" spans="1:6" s="68" customFormat="1">
      <c r="A979" s="238" t="s">
        <v>3352</v>
      </c>
      <c r="B979" s="239" t="s">
        <v>3353</v>
      </c>
      <c r="C979" s="238" t="s">
        <v>3354</v>
      </c>
      <c r="D979" s="238" t="s">
        <v>3352</v>
      </c>
      <c r="E979" s="238"/>
      <c r="F979" s="240" t="s">
        <v>3355</v>
      </c>
    </row>
    <row r="980" spans="1:6" s="68" customFormat="1">
      <c r="A980" s="238" t="s">
        <v>3356</v>
      </c>
      <c r="B980" s="239" t="s">
        <v>3353</v>
      </c>
      <c r="C980" s="238" t="s">
        <v>3354</v>
      </c>
      <c r="D980" s="238" t="s">
        <v>3357</v>
      </c>
      <c r="E980" s="238"/>
      <c r="F980" s="241" t="s">
        <v>3358</v>
      </c>
    </row>
    <row r="981" spans="1:6" s="68" customFormat="1">
      <c r="A981" s="238" t="s">
        <v>3359</v>
      </c>
      <c r="B981" s="239" t="s">
        <v>3353</v>
      </c>
      <c r="C981" s="238" t="s">
        <v>3354</v>
      </c>
      <c r="D981" s="238" t="s">
        <v>3360</v>
      </c>
      <c r="E981" s="238"/>
      <c r="F981" s="242" t="s">
        <v>3361</v>
      </c>
    </row>
    <row r="982" spans="1:6" s="68" customFormat="1">
      <c r="A982" s="238" t="s">
        <v>3362</v>
      </c>
      <c r="B982" s="239" t="s">
        <v>3353</v>
      </c>
      <c r="C982" s="238" t="s">
        <v>3354</v>
      </c>
      <c r="D982" s="238" t="s">
        <v>3363</v>
      </c>
      <c r="E982" s="238"/>
      <c r="F982" s="242" t="s">
        <v>3364</v>
      </c>
    </row>
    <row r="983" spans="1:6" s="68" customFormat="1">
      <c r="A983" s="238" t="s">
        <v>3365</v>
      </c>
      <c r="B983" s="239" t="s">
        <v>3353</v>
      </c>
      <c r="C983" s="238" t="s">
        <v>3354</v>
      </c>
      <c r="D983" s="238" t="s">
        <v>3366</v>
      </c>
      <c r="E983" s="238"/>
      <c r="F983" s="242" t="s">
        <v>3367</v>
      </c>
    </row>
    <row r="984" spans="1:6" s="68" customFormat="1">
      <c r="A984" s="238" t="s">
        <v>3368</v>
      </c>
      <c r="B984" s="239" t="s">
        <v>3353</v>
      </c>
      <c r="C984" s="238" t="s">
        <v>3354</v>
      </c>
      <c r="D984" s="238" t="s">
        <v>3368</v>
      </c>
      <c r="E984" s="238"/>
      <c r="F984" s="242" t="s">
        <v>3369</v>
      </c>
    </row>
    <row r="985" spans="1:6" s="68" customFormat="1">
      <c r="A985" s="238" t="s">
        <v>3370</v>
      </c>
      <c r="B985" s="239" t="s">
        <v>3353</v>
      </c>
      <c r="C985" s="238" t="s">
        <v>3354</v>
      </c>
      <c r="D985" s="238" t="s">
        <v>3370</v>
      </c>
      <c r="E985" s="238"/>
      <c r="F985" s="242" t="s">
        <v>3371</v>
      </c>
    </row>
    <row r="986" spans="1:6" s="68" customFormat="1">
      <c r="A986" s="238" t="s">
        <v>3372</v>
      </c>
      <c r="B986" s="239" t="s">
        <v>3353</v>
      </c>
      <c r="C986" s="238" t="s">
        <v>3354</v>
      </c>
      <c r="D986" s="238" t="s">
        <v>3372</v>
      </c>
      <c r="E986" s="238"/>
      <c r="F986" s="242" t="s">
        <v>3373</v>
      </c>
    </row>
    <row r="987" spans="1:6" s="68" customFormat="1">
      <c r="A987" s="238" t="s">
        <v>3374</v>
      </c>
      <c r="B987" s="239" t="s">
        <v>3353</v>
      </c>
      <c r="C987" s="238" t="s">
        <v>3354</v>
      </c>
      <c r="D987" s="238" t="s">
        <v>3375</v>
      </c>
      <c r="E987" s="238"/>
      <c r="F987" s="242" t="s">
        <v>3376</v>
      </c>
    </row>
    <row r="988" spans="1:6" s="68" customFormat="1">
      <c r="A988" s="238" t="s">
        <v>3377</v>
      </c>
      <c r="B988" s="239" t="s">
        <v>3353</v>
      </c>
      <c r="C988" s="238" t="s">
        <v>3354</v>
      </c>
      <c r="D988" s="238" t="s">
        <v>3378</v>
      </c>
      <c r="E988" s="238"/>
      <c r="F988" s="242" t="s">
        <v>3379</v>
      </c>
    </row>
    <row r="989" spans="1:6" s="68" customFormat="1">
      <c r="A989" s="238" t="s">
        <v>3380</v>
      </c>
      <c r="B989" s="239" t="s">
        <v>3353</v>
      </c>
      <c r="C989" s="238" t="s">
        <v>3354</v>
      </c>
      <c r="D989" s="238" t="s">
        <v>3381</v>
      </c>
      <c r="E989" s="238"/>
      <c r="F989" s="242" t="s">
        <v>3382</v>
      </c>
    </row>
    <row r="990" spans="1:6" s="68" customFormat="1">
      <c r="A990" s="238" t="s">
        <v>3383</v>
      </c>
      <c r="B990" s="239" t="s">
        <v>3353</v>
      </c>
      <c r="C990" s="238" t="s">
        <v>3354</v>
      </c>
      <c r="D990" s="238" t="s">
        <v>3384</v>
      </c>
      <c r="E990" s="238"/>
      <c r="F990" s="242" t="s">
        <v>3385</v>
      </c>
    </row>
    <row r="991" spans="1:6" s="68" customFormat="1">
      <c r="A991" s="238" t="s">
        <v>3386</v>
      </c>
      <c r="B991" s="239" t="s">
        <v>3353</v>
      </c>
      <c r="C991" s="238" t="s">
        <v>3354</v>
      </c>
      <c r="D991" s="238" t="s">
        <v>3386</v>
      </c>
      <c r="E991" s="238"/>
      <c r="F991" s="242" t="s">
        <v>3387</v>
      </c>
    </row>
    <row r="992" spans="1:6" s="68" customFormat="1">
      <c r="A992" s="238" t="s">
        <v>3388</v>
      </c>
      <c r="B992" s="239" t="s">
        <v>3353</v>
      </c>
      <c r="C992" s="238" t="s">
        <v>3354</v>
      </c>
      <c r="D992" s="238" t="s">
        <v>3389</v>
      </c>
      <c r="E992" s="238"/>
      <c r="F992" s="242" t="s">
        <v>3390</v>
      </c>
    </row>
    <row r="993" spans="1:6" s="68" customFormat="1">
      <c r="A993" s="238" t="s">
        <v>3391</v>
      </c>
      <c r="B993" s="239" t="s">
        <v>3353</v>
      </c>
      <c r="C993" s="238" t="s">
        <v>3354</v>
      </c>
      <c r="D993" s="238" t="s">
        <v>3392</v>
      </c>
      <c r="E993" s="238"/>
      <c r="F993" s="242" t="s">
        <v>3393</v>
      </c>
    </row>
    <row r="994" spans="1:6" s="68" customFormat="1">
      <c r="A994" s="238" t="s">
        <v>3394</v>
      </c>
      <c r="B994" s="239" t="s">
        <v>3353</v>
      </c>
      <c r="C994" s="238" t="s">
        <v>3354</v>
      </c>
      <c r="D994" s="238" t="s">
        <v>3395</v>
      </c>
      <c r="E994" s="238"/>
      <c r="F994" s="242" t="s">
        <v>3396</v>
      </c>
    </row>
    <row r="995" spans="1:6" s="68" customFormat="1">
      <c r="A995" s="238" t="s">
        <v>3397</v>
      </c>
      <c r="B995" s="239" t="s">
        <v>3353</v>
      </c>
      <c r="C995" s="238" t="s">
        <v>3354</v>
      </c>
      <c r="D995" s="238" t="s">
        <v>3398</v>
      </c>
      <c r="E995" s="238"/>
      <c r="F995" s="242" t="s">
        <v>3399</v>
      </c>
    </row>
    <row r="996" spans="1:6" s="68" customFormat="1">
      <c r="A996" s="238" t="s">
        <v>3400</v>
      </c>
      <c r="B996" s="239" t="s">
        <v>3353</v>
      </c>
      <c r="C996" s="238" t="s">
        <v>3354</v>
      </c>
      <c r="D996" s="238" t="s">
        <v>3401</v>
      </c>
      <c r="E996" s="238"/>
      <c r="F996" s="242" t="s">
        <v>3402</v>
      </c>
    </row>
    <row r="997" spans="1:6" s="68" customFormat="1">
      <c r="A997" s="238" t="s">
        <v>3403</v>
      </c>
      <c r="B997" s="239" t="s">
        <v>3353</v>
      </c>
      <c r="C997" s="238" t="s">
        <v>3354</v>
      </c>
      <c r="D997" s="238" t="s">
        <v>3403</v>
      </c>
      <c r="E997" s="238"/>
      <c r="F997" s="242" t="s">
        <v>3404</v>
      </c>
    </row>
    <row r="998" spans="1:6" s="68" customFormat="1">
      <c r="A998" s="238" t="s">
        <v>3405</v>
      </c>
      <c r="B998" s="239" t="s">
        <v>3353</v>
      </c>
      <c r="C998" s="238" t="s">
        <v>3354</v>
      </c>
      <c r="D998" s="238" t="s">
        <v>3406</v>
      </c>
      <c r="E998" s="238"/>
      <c r="F998" s="242" t="s">
        <v>3407</v>
      </c>
    </row>
    <row r="999" spans="1:6" s="68" customFormat="1">
      <c r="A999" s="238" t="s">
        <v>3408</v>
      </c>
      <c r="B999" s="239" t="s">
        <v>3353</v>
      </c>
      <c r="C999" s="238" t="s">
        <v>3354</v>
      </c>
      <c r="D999" s="238" t="s">
        <v>3408</v>
      </c>
      <c r="E999" s="238"/>
      <c r="F999" s="242" t="s">
        <v>3409</v>
      </c>
    </row>
    <row r="1000" spans="1:6" s="68" customFormat="1">
      <c r="A1000" s="238" t="s">
        <v>3410</v>
      </c>
      <c r="B1000" s="239" t="s">
        <v>3353</v>
      </c>
      <c r="C1000" s="238" t="s">
        <v>3354</v>
      </c>
      <c r="D1000" s="238" t="s">
        <v>3411</v>
      </c>
      <c r="E1000" s="238"/>
      <c r="F1000" s="242" t="s">
        <v>3412</v>
      </c>
    </row>
    <row r="1001" spans="1:6" s="68" customFormat="1">
      <c r="A1001" s="238" t="s">
        <v>3413</v>
      </c>
      <c r="B1001" s="239" t="s">
        <v>3353</v>
      </c>
      <c r="C1001" s="238" t="s">
        <v>3354</v>
      </c>
      <c r="D1001" s="238" t="s">
        <v>3413</v>
      </c>
      <c r="E1001" s="238"/>
      <c r="F1001" s="242" t="s">
        <v>3414</v>
      </c>
    </row>
    <row r="1002" spans="1:6" s="68" customFormat="1">
      <c r="A1002" s="238" t="s">
        <v>5666</v>
      </c>
      <c r="B1002" s="239" t="s">
        <v>3353</v>
      </c>
      <c r="C1002" s="238" t="s">
        <v>3354</v>
      </c>
      <c r="D1002" s="238" t="s">
        <v>5667</v>
      </c>
      <c r="E1002" s="238"/>
      <c r="F1002" s="242" t="s">
        <v>3415</v>
      </c>
    </row>
    <row r="1003" spans="1:6" s="68" customFormat="1">
      <c r="A1003" s="238" t="s">
        <v>3416</v>
      </c>
      <c r="B1003" s="239" t="s">
        <v>3353</v>
      </c>
      <c r="C1003" s="238" t="s">
        <v>3354</v>
      </c>
      <c r="D1003" s="238" t="s">
        <v>3417</v>
      </c>
      <c r="E1003" s="238"/>
      <c r="F1003" s="242" t="s">
        <v>3418</v>
      </c>
    </row>
    <row r="1004" spans="1:6" s="68" customFormat="1">
      <c r="A1004" s="238" t="s">
        <v>3419</v>
      </c>
      <c r="B1004" s="239" t="s">
        <v>3353</v>
      </c>
      <c r="C1004" s="238" t="s">
        <v>3354</v>
      </c>
      <c r="D1004" s="238" t="s">
        <v>3419</v>
      </c>
      <c r="E1004" s="238"/>
      <c r="F1004" s="242" t="s">
        <v>3420</v>
      </c>
    </row>
    <row r="1005" spans="1:6" s="68" customFormat="1">
      <c r="A1005" s="238" t="s">
        <v>3421</v>
      </c>
      <c r="B1005" s="239" t="s">
        <v>3353</v>
      </c>
      <c r="C1005" s="238" t="s">
        <v>3354</v>
      </c>
      <c r="D1005" s="238" t="s">
        <v>3422</v>
      </c>
      <c r="E1005" s="238"/>
      <c r="F1005" s="242" t="s">
        <v>3423</v>
      </c>
    </row>
    <row r="1006" spans="1:6" s="68" customFormat="1">
      <c r="A1006" s="238" t="s">
        <v>3424</v>
      </c>
      <c r="B1006" s="239" t="s">
        <v>3353</v>
      </c>
      <c r="C1006" s="238" t="s">
        <v>3354</v>
      </c>
      <c r="D1006" s="238" t="s">
        <v>3425</v>
      </c>
      <c r="E1006" s="238"/>
      <c r="F1006" s="242" t="s">
        <v>3426</v>
      </c>
    </row>
    <row r="1007" spans="1:6" s="68" customFormat="1">
      <c r="A1007" s="238" t="s">
        <v>3427</v>
      </c>
      <c r="B1007" s="239" t="s">
        <v>3353</v>
      </c>
      <c r="C1007" s="238" t="s">
        <v>3354</v>
      </c>
      <c r="D1007" s="238" t="s">
        <v>3427</v>
      </c>
      <c r="E1007" s="238"/>
      <c r="F1007" s="242" t="s">
        <v>3428</v>
      </c>
    </row>
    <row r="1008" spans="1:6" s="68" customFormat="1">
      <c r="A1008" s="238" t="s">
        <v>3429</v>
      </c>
      <c r="B1008" s="239" t="s">
        <v>3353</v>
      </c>
      <c r="C1008" s="238" t="s">
        <v>3354</v>
      </c>
      <c r="D1008" s="238" t="s">
        <v>3429</v>
      </c>
      <c r="E1008" s="238"/>
      <c r="F1008" s="242" t="s">
        <v>3430</v>
      </c>
    </row>
    <row r="1009" spans="1:6" s="68" customFormat="1">
      <c r="A1009" s="238" t="s">
        <v>3431</v>
      </c>
      <c r="B1009" s="239" t="s">
        <v>3353</v>
      </c>
      <c r="C1009" s="238" t="s">
        <v>3354</v>
      </c>
      <c r="D1009" s="238" t="s">
        <v>3432</v>
      </c>
      <c r="E1009" s="238"/>
      <c r="F1009" s="242" t="s">
        <v>3433</v>
      </c>
    </row>
    <row r="1010" spans="1:6" s="68" customFormat="1">
      <c r="A1010" s="238" t="s">
        <v>3434</v>
      </c>
      <c r="B1010" s="239" t="s">
        <v>3353</v>
      </c>
      <c r="C1010" s="238" t="s">
        <v>3354</v>
      </c>
      <c r="D1010" s="238" t="s">
        <v>3435</v>
      </c>
      <c r="E1010" s="238"/>
      <c r="F1010" s="242" t="s">
        <v>3436</v>
      </c>
    </row>
    <row r="1011" spans="1:6" s="68" customFormat="1">
      <c r="A1011" s="238" t="s">
        <v>3437</v>
      </c>
      <c r="B1011" s="239" t="s">
        <v>3353</v>
      </c>
      <c r="C1011" s="238" t="s">
        <v>3354</v>
      </c>
      <c r="D1011" s="238" t="s">
        <v>3438</v>
      </c>
      <c r="E1011" s="238"/>
      <c r="F1011" s="242" t="s">
        <v>3439</v>
      </c>
    </row>
    <row r="1012" spans="1:6" s="68" customFormat="1">
      <c r="A1012" s="238" t="s">
        <v>3440</v>
      </c>
      <c r="B1012" s="239" t="s">
        <v>3353</v>
      </c>
      <c r="C1012" s="238" t="s">
        <v>3354</v>
      </c>
      <c r="D1012" s="238" t="s">
        <v>3440</v>
      </c>
      <c r="E1012" s="238"/>
      <c r="F1012" s="242" t="s">
        <v>3441</v>
      </c>
    </row>
    <row r="1013" spans="1:6" s="68" customFormat="1">
      <c r="A1013" s="238" t="s">
        <v>3442</v>
      </c>
      <c r="B1013" s="239" t="s">
        <v>3353</v>
      </c>
      <c r="C1013" s="238" t="s">
        <v>3354</v>
      </c>
      <c r="D1013" s="238" t="s">
        <v>3443</v>
      </c>
      <c r="E1013" s="238"/>
      <c r="F1013" s="242" t="s">
        <v>3444</v>
      </c>
    </row>
    <row r="1014" spans="1:6" s="68" customFormat="1">
      <c r="A1014" s="238" t="s">
        <v>3445</v>
      </c>
      <c r="B1014" s="239" t="s">
        <v>3353</v>
      </c>
      <c r="C1014" s="238" t="s">
        <v>3354</v>
      </c>
      <c r="D1014" s="238" t="s">
        <v>3445</v>
      </c>
      <c r="E1014" s="238"/>
      <c r="F1014" s="242" t="s">
        <v>3446</v>
      </c>
    </row>
    <row r="1015" spans="1:6" s="68" customFormat="1">
      <c r="A1015" s="238" t="s">
        <v>3447</v>
      </c>
      <c r="B1015" s="239" t="s">
        <v>3353</v>
      </c>
      <c r="C1015" s="238" t="s">
        <v>3354</v>
      </c>
      <c r="D1015" s="238" t="s">
        <v>3448</v>
      </c>
      <c r="E1015" s="238"/>
      <c r="F1015" s="242" t="s">
        <v>3449</v>
      </c>
    </row>
    <row r="1016" spans="1:6" s="68" customFormat="1">
      <c r="A1016" s="238" t="s">
        <v>3450</v>
      </c>
      <c r="B1016" s="239" t="s">
        <v>3353</v>
      </c>
      <c r="C1016" s="238" t="s">
        <v>3354</v>
      </c>
      <c r="D1016" s="238" t="s">
        <v>3451</v>
      </c>
      <c r="E1016" s="238"/>
      <c r="F1016" s="242" t="s">
        <v>3452</v>
      </c>
    </row>
    <row r="1017" spans="1:6" s="68" customFormat="1">
      <c r="A1017" s="238" t="s">
        <v>3453</v>
      </c>
      <c r="B1017" s="239" t="s">
        <v>3353</v>
      </c>
      <c r="C1017" s="238" t="s">
        <v>3354</v>
      </c>
      <c r="D1017" s="238" t="s">
        <v>3454</v>
      </c>
      <c r="E1017" s="238"/>
      <c r="F1017" s="242" t="s">
        <v>3455</v>
      </c>
    </row>
    <row r="1018" spans="1:6" s="68" customFormat="1">
      <c r="A1018" s="238" t="s">
        <v>3456</v>
      </c>
      <c r="B1018" s="239" t="s">
        <v>3353</v>
      </c>
      <c r="C1018" s="238" t="s">
        <v>3354</v>
      </c>
      <c r="D1018" s="238" t="s">
        <v>3456</v>
      </c>
      <c r="E1018" s="238"/>
      <c r="F1018" s="242" t="s">
        <v>3457</v>
      </c>
    </row>
    <row r="1019" spans="1:6" s="68" customFormat="1">
      <c r="A1019" s="238" t="s">
        <v>3458</v>
      </c>
      <c r="B1019" s="239" t="s">
        <v>3353</v>
      </c>
      <c r="C1019" s="238" t="s">
        <v>3354</v>
      </c>
      <c r="D1019" s="238" t="s">
        <v>3459</v>
      </c>
      <c r="E1019" s="238"/>
      <c r="F1019" s="242" t="s">
        <v>3460</v>
      </c>
    </row>
    <row r="1020" spans="1:6" s="68" customFormat="1">
      <c r="A1020" s="238" t="s">
        <v>3461</v>
      </c>
      <c r="B1020" s="239" t="s">
        <v>3353</v>
      </c>
      <c r="C1020" s="238" t="s">
        <v>3354</v>
      </c>
      <c r="D1020" s="238" t="s">
        <v>3462</v>
      </c>
      <c r="E1020" s="238"/>
      <c r="F1020" s="242" t="s">
        <v>3463</v>
      </c>
    </row>
    <row r="1021" spans="1:6" s="68" customFormat="1">
      <c r="A1021" s="243" t="s">
        <v>3464</v>
      </c>
      <c r="B1021" s="244" t="s">
        <v>3353</v>
      </c>
      <c r="C1021" s="243" t="s">
        <v>3354</v>
      </c>
      <c r="D1021" s="243" t="s">
        <v>3465</v>
      </c>
      <c r="E1021" s="243"/>
      <c r="F1021" s="245" t="s">
        <v>3466</v>
      </c>
    </row>
    <row r="1022" spans="1:6">
      <c r="A1022" s="41" t="s">
        <v>3467</v>
      </c>
      <c r="B1022" s="40" t="s">
        <v>3353</v>
      </c>
      <c r="C1022" s="41" t="s">
        <v>3354</v>
      </c>
      <c r="D1022" s="41" t="s">
        <v>3468</v>
      </c>
      <c r="E1022" s="41"/>
      <c r="F1022" s="42" t="s">
        <v>3469</v>
      </c>
    </row>
    <row r="1023" spans="1:6">
      <c r="A1023" s="41" t="s">
        <v>3470</v>
      </c>
      <c r="B1023" s="40" t="s">
        <v>3353</v>
      </c>
      <c r="C1023" s="41" t="s">
        <v>3354</v>
      </c>
      <c r="D1023" s="41" t="s">
        <v>3471</v>
      </c>
      <c r="E1023" s="41"/>
      <c r="F1023" s="42" t="s">
        <v>3472</v>
      </c>
    </row>
    <row r="1024" spans="1:6">
      <c r="A1024" s="41" t="s">
        <v>3473</v>
      </c>
      <c r="B1024" s="40" t="s">
        <v>3353</v>
      </c>
      <c r="C1024" s="41" t="s">
        <v>3354</v>
      </c>
      <c r="D1024" s="41" t="s">
        <v>3474</v>
      </c>
      <c r="E1024" s="41"/>
      <c r="F1024" s="42" t="s">
        <v>3475</v>
      </c>
    </row>
    <row r="1025" spans="1:6">
      <c r="A1025" s="41" t="s">
        <v>3476</v>
      </c>
      <c r="B1025" s="40" t="s">
        <v>3353</v>
      </c>
      <c r="C1025" s="41" t="s">
        <v>3354</v>
      </c>
      <c r="D1025" s="41" t="s">
        <v>3477</v>
      </c>
      <c r="E1025" s="41"/>
      <c r="F1025" s="42" t="s">
        <v>3478</v>
      </c>
    </row>
    <row r="1026" spans="1:6">
      <c r="A1026" s="41" t="s">
        <v>3479</v>
      </c>
      <c r="B1026" s="40" t="s">
        <v>3353</v>
      </c>
      <c r="C1026" s="41" t="s">
        <v>3354</v>
      </c>
      <c r="D1026" s="41" t="s">
        <v>3480</v>
      </c>
      <c r="E1026" s="41"/>
      <c r="F1026" s="42" t="s">
        <v>3481</v>
      </c>
    </row>
    <row r="1027" spans="1:6">
      <c r="A1027" s="41" t="s">
        <v>3482</v>
      </c>
      <c r="B1027" s="40" t="s">
        <v>3353</v>
      </c>
      <c r="C1027" s="41" t="s">
        <v>3354</v>
      </c>
      <c r="D1027" s="41" t="s">
        <v>3483</v>
      </c>
      <c r="E1027" s="41"/>
      <c r="F1027" s="42" t="s">
        <v>3484</v>
      </c>
    </row>
    <row r="1028" spans="1:6">
      <c r="A1028" s="41" t="s">
        <v>3485</v>
      </c>
      <c r="B1028" s="40" t="s">
        <v>3353</v>
      </c>
      <c r="C1028" s="41" t="s">
        <v>3354</v>
      </c>
      <c r="D1028" s="41" t="s">
        <v>3486</v>
      </c>
      <c r="E1028" s="41"/>
      <c r="F1028" s="42" t="s">
        <v>3487</v>
      </c>
    </row>
    <row r="1029" spans="1:6">
      <c r="A1029" s="41" t="s">
        <v>3488</v>
      </c>
      <c r="B1029" s="40" t="s">
        <v>3353</v>
      </c>
      <c r="C1029" s="41" t="s">
        <v>3354</v>
      </c>
      <c r="D1029" s="41" t="s">
        <v>3489</v>
      </c>
      <c r="E1029" s="41"/>
      <c r="F1029" s="42" t="s">
        <v>3490</v>
      </c>
    </row>
    <row r="1030" spans="1:6">
      <c r="A1030" s="41" t="s">
        <v>3491</v>
      </c>
      <c r="B1030" s="40" t="s">
        <v>3353</v>
      </c>
      <c r="C1030" s="41" t="s">
        <v>3354</v>
      </c>
      <c r="D1030" s="41" t="s">
        <v>3491</v>
      </c>
      <c r="E1030" s="41"/>
      <c r="F1030" s="42" t="s">
        <v>3492</v>
      </c>
    </row>
    <row r="1031" spans="1:6">
      <c r="A1031" s="41" t="s">
        <v>3493</v>
      </c>
      <c r="B1031" s="40" t="s">
        <v>3353</v>
      </c>
      <c r="C1031" s="41" t="s">
        <v>3354</v>
      </c>
      <c r="D1031" s="41" t="s">
        <v>3493</v>
      </c>
      <c r="E1031" s="41"/>
      <c r="F1031" s="42" t="s">
        <v>3494</v>
      </c>
    </row>
    <row r="1032" spans="1:6">
      <c r="A1032" s="41" t="s">
        <v>3495</v>
      </c>
      <c r="B1032" s="40" t="s">
        <v>3353</v>
      </c>
      <c r="C1032" s="41" t="s">
        <v>3354</v>
      </c>
      <c r="D1032" s="41" t="s">
        <v>3495</v>
      </c>
      <c r="E1032" s="41"/>
      <c r="F1032" s="42" t="s">
        <v>3496</v>
      </c>
    </row>
    <row r="1033" spans="1:6">
      <c r="A1033" s="41" t="s">
        <v>3497</v>
      </c>
      <c r="B1033" s="40" t="s">
        <v>3353</v>
      </c>
      <c r="C1033" s="41" t="s">
        <v>3354</v>
      </c>
      <c r="D1033" s="41" t="s">
        <v>3497</v>
      </c>
      <c r="E1033" s="41"/>
      <c r="F1033" s="42" t="s">
        <v>3498</v>
      </c>
    </row>
    <row r="1034" spans="1:6">
      <c r="A1034" s="41" t="s">
        <v>3499</v>
      </c>
      <c r="B1034" s="40" t="s">
        <v>3353</v>
      </c>
      <c r="C1034" s="41" t="s">
        <v>3354</v>
      </c>
      <c r="D1034" s="41" t="s">
        <v>3499</v>
      </c>
      <c r="E1034" s="41"/>
      <c r="F1034" s="42" t="s">
        <v>3500</v>
      </c>
    </row>
    <row r="1035" spans="1:6">
      <c r="A1035" s="41" t="s">
        <v>3501</v>
      </c>
      <c r="B1035" s="40" t="s">
        <v>3353</v>
      </c>
      <c r="C1035" s="41" t="s">
        <v>3354</v>
      </c>
      <c r="D1035" s="41" t="s">
        <v>3501</v>
      </c>
      <c r="E1035" s="41"/>
      <c r="F1035" s="42" t="s">
        <v>3502</v>
      </c>
    </row>
    <row r="1036" spans="1:6">
      <c r="A1036" s="41" t="s">
        <v>3503</v>
      </c>
      <c r="B1036" s="40" t="s">
        <v>3353</v>
      </c>
      <c r="C1036" s="41" t="s">
        <v>3354</v>
      </c>
      <c r="D1036" s="41" t="s">
        <v>3503</v>
      </c>
      <c r="E1036" s="41"/>
      <c r="F1036" s="42" t="s">
        <v>3504</v>
      </c>
    </row>
    <row r="1037" spans="1:6">
      <c r="A1037" s="41" t="s">
        <v>3505</v>
      </c>
      <c r="B1037" s="40" t="s">
        <v>3353</v>
      </c>
      <c r="C1037" s="41" t="s">
        <v>3354</v>
      </c>
      <c r="D1037" s="41" t="s">
        <v>3505</v>
      </c>
      <c r="E1037" s="41"/>
      <c r="F1037" s="42" t="s">
        <v>3506</v>
      </c>
    </row>
    <row r="1038" spans="1:6">
      <c r="A1038" s="41" t="s">
        <v>3507</v>
      </c>
      <c r="B1038" s="40" t="s">
        <v>3353</v>
      </c>
      <c r="C1038" s="41" t="s">
        <v>3354</v>
      </c>
      <c r="D1038" s="41" t="s">
        <v>3508</v>
      </c>
      <c r="E1038" s="41"/>
      <c r="F1038" s="42" t="s">
        <v>3509</v>
      </c>
    </row>
    <row r="1039" spans="1:6">
      <c r="A1039" s="41" t="s">
        <v>3510</v>
      </c>
      <c r="B1039" s="40" t="s">
        <v>3353</v>
      </c>
      <c r="C1039" s="41" t="s">
        <v>3354</v>
      </c>
      <c r="D1039" s="41" t="s">
        <v>3511</v>
      </c>
      <c r="E1039" s="41"/>
      <c r="F1039" s="42" t="s">
        <v>3512</v>
      </c>
    </row>
    <row r="1040" spans="1:6">
      <c r="A1040" s="41" t="s">
        <v>3513</v>
      </c>
      <c r="B1040" s="40" t="s">
        <v>3353</v>
      </c>
      <c r="C1040" s="41" t="s">
        <v>3354</v>
      </c>
      <c r="D1040" s="41" t="s">
        <v>3514</v>
      </c>
      <c r="E1040" s="41"/>
      <c r="F1040" s="42" t="s">
        <v>3515</v>
      </c>
    </row>
    <row r="1041" spans="1:6">
      <c r="A1041" s="41" t="s">
        <v>3516</v>
      </c>
      <c r="B1041" s="40" t="s">
        <v>3353</v>
      </c>
      <c r="C1041" s="41" t="s">
        <v>3354</v>
      </c>
      <c r="D1041" s="41" t="s">
        <v>3517</v>
      </c>
      <c r="E1041" s="41"/>
      <c r="F1041" s="42" t="s">
        <v>3518</v>
      </c>
    </row>
    <row r="1042" spans="1:6">
      <c r="A1042" s="41" t="s">
        <v>3519</v>
      </c>
      <c r="B1042" s="40" t="s">
        <v>3353</v>
      </c>
      <c r="C1042" s="41" t="s">
        <v>3354</v>
      </c>
      <c r="D1042" s="41" t="s">
        <v>3520</v>
      </c>
      <c r="E1042" s="41"/>
      <c r="F1042" s="42" t="s">
        <v>3521</v>
      </c>
    </row>
    <row r="1043" spans="1:6">
      <c r="A1043" s="41" t="s">
        <v>3522</v>
      </c>
      <c r="B1043" s="40" t="s">
        <v>3353</v>
      </c>
      <c r="C1043" s="41" t="s">
        <v>3354</v>
      </c>
      <c r="D1043" s="41" t="s">
        <v>3523</v>
      </c>
      <c r="E1043" s="41"/>
      <c r="F1043" s="42" t="s">
        <v>3524</v>
      </c>
    </row>
    <row r="1044" spans="1:6">
      <c r="A1044" s="41" t="s">
        <v>3525</v>
      </c>
      <c r="B1044" s="40" t="s">
        <v>3353</v>
      </c>
      <c r="C1044" s="41" t="s">
        <v>3354</v>
      </c>
      <c r="D1044" s="41" t="s">
        <v>3526</v>
      </c>
      <c r="E1044" s="41"/>
      <c r="F1044" s="42" t="s">
        <v>3527</v>
      </c>
    </row>
    <row r="1045" spans="1:6">
      <c r="A1045" s="41" t="s">
        <v>3528</v>
      </c>
      <c r="B1045" s="40" t="s">
        <v>3353</v>
      </c>
      <c r="C1045" s="41" t="s">
        <v>3354</v>
      </c>
      <c r="D1045" s="41" t="s">
        <v>3529</v>
      </c>
      <c r="E1045" s="41"/>
      <c r="F1045" s="42" t="s">
        <v>3530</v>
      </c>
    </row>
    <row r="1046" spans="1:6">
      <c r="A1046" s="41" t="s">
        <v>3531</v>
      </c>
      <c r="B1046" s="40" t="s">
        <v>3353</v>
      </c>
      <c r="C1046" s="41" t="s">
        <v>3354</v>
      </c>
      <c r="D1046" s="41" t="s">
        <v>3532</v>
      </c>
      <c r="E1046" s="41"/>
      <c r="F1046" s="42" t="s">
        <v>3533</v>
      </c>
    </row>
    <row r="1047" spans="1:6">
      <c r="A1047" s="41" t="s">
        <v>3534</v>
      </c>
      <c r="B1047" s="40" t="s">
        <v>3353</v>
      </c>
      <c r="C1047" s="41" t="s">
        <v>3354</v>
      </c>
      <c r="D1047" s="41" t="s">
        <v>3535</v>
      </c>
      <c r="E1047" s="41"/>
      <c r="F1047" s="42" t="s">
        <v>3536</v>
      </c>
    </row>
    <row r="1048" spans="1:6">
      <c r="A1048" s="41" t="s">
        <v>3537</v>
      </c>
      <c r="B1048" s="40" t="s">
        <v>3353</v>
      </c>
      <c r="C1048" s="41" t="s">
        <v>3354</v>
      </c>
      <c r="D1048" s="41" t="s">
        <v>3538</v>
      </c>
      <c r="E1048" s="41"/>
      <c r="F1048" s="42" t="s">
        <v>3539</v>
      </c>
    </row>
    <row r="1049" spans="1:6">
      <c r="A1049" s="41" t="s">
        <v>3540</v>
      </c>
      <c r="B1049" s="40" t="s">
        <v>3353</v>
      </c>
      <c r="C1049" s="41" t="s">
        <v>3354</v>
      </c>
      <c r="D1049" s="41" t="s">
        <v>3541</v>
      </c>
      <c r="E1049" s="41"/>
      <c r="F1049" s="42" t="s">
        <v>3542</v>
      </c>
    </row>
    <row r="1050" spans="1:6">
      <c r="A1050" s="41" t="s">
        <v>3543</v>
      </c>
      <c r="B1050" s="40" t="s">
        <v>3353</v>
      </c>
      <c r="C1050" s="41" t="s">
        <v>3354</v>
      </c>
      <c r="D1050" s="41" t="s">
        <v>3544</v>
      </c>
      <c r="E1050" s="41"/>
      <c r="F1050" s="42" t="s">
        <v>3545</v>
      </c>
    </row>
    <row r="1051" spans="1:6">
      <c r="A1051" s="41" t="s">
        <v>3546</v>
      </c>
      <c r="B1051" s="40" t="s">
        <v>3353</v>
      </c>
      <c r="C1051" s="41" t="s">
        <v>3354</v>
      </c>
      <c r="D1051" s="41" t="s">
        <v>3547</v>
      </c>
      <c r="E1051" s="41"/>
      <c r="F1051" s="42" t="s">
        <v>3548</v>
      </c>
    </row>
    <row r="1052" spans="1:6">
      <c r="A1052" s="41" t="s">
        <v>3549</v>
      </c>
      <c r="B1052" s="40" t="s">
        <v>3353</v>
      </c>
      <c r="C1052" s="41" t="s">
        <v>3354</v>
      </c>
      <c r="D1052" s="41" t="s">
        <v>3550</v>
      </c>
      <c r="E1052" s="41"/>
      <c r="F1052" s="42" t="s">
        <v>3551</v>
      </c>
    </row>
    <row r="1053" spans="1:6">
      <c r="A1053" s="41" t="s">
        <v>3552</v>
      </c>
      <c r="B1053" s="40" t="s">
        <v>3353</v>
      </c>
      <c r="C1053" s="41" t="s">
        <v>3354</v>
      </c>
      <c r="D1053" s="41" t="s">
        <v>3553</v>
      </c>
      <c r="E1053" s="41"/>
      <c r="F1053" s="42" t="s">
        <v>3554</v>
      </c>
    </row>
    <row r="1054" spans="1:6">
      <c r="A1054" s="41" t="s">
        <v>3555</v>
      </c>
      <c r="B1054" s="40" t="s">
        <v>3353</v>
      </c>
      <c r="C1054" s="41" t="s">
        <v>3354</v>
      </c>
      <c r="D1054" s="41" t="s">
        <v>3556</v>
      </c>
      <c r="E1054" s="41"/>
      <c r="F1054" s="42" t="s">
        <v>3557</v>
      </c>
    </row>
    <row r="1055" spans="1:6">
      <c r="A1055" s="41" t="s">
        <v>3558</v>
      </c>
      <c r="B1055" s="40" t="s">
        <v>3353</v>
      </c>
      <c r="C1055" s="41" t="s">
        <v>3354</v>
      </c>
      <c r="D1055" s="41" t="s">
        <v>3559</v>
      </c>
      <c r="E1055" s="41"/>
      <c r="F1055" s="42" t="s">
        <v>3560</v>
      </c>
    </row>
    <row r="1056" spans="1:6">
      <c r="A1056" s="41" t="s">
        <v>3561</v>
      </c>
      <c r="B1056" s="40" t="s">
        <v>3353</v>
      </c>
      <c r="C1056" s="41" t="s">
        <v>3354</v>
      </c>
      <c r="D1056" s="41" t="s">
        <v>3562</v>
      </c>
      <c r="E1056" s="41"/>
      <c r="F1056" s="42" t="s">
        <v>3563</v>
      </c>
    </row>
    <row r="1057" spans="1:6">
      <c r="A1057" s="41" t="s">
        <v>3564</v>
      </c>
      <c r="B1057" s="40" t="s">
        <v>3353</v>
      </c>
      <c r="C1057" s="41" t="s">
        <v>3354</v>
      </c>
      <c r="D1057" s="41" t="s">
        <v>3565</v>
      </c>
      <c r="E1057" s="41"/>
      <c r="F1057" s="42" t="s">
        <v>3566</v>
      </c>
    </row>
    <row r="1058" spans="1:6">
      <c r="A1058" s="41" t="s">
        <v>3567</v>
      </c>
      <c r="B1058" s="40" t="s">
        <v>3353</v>
      </c>
      <c r="C1058" s="41" t="s">
        <v>3354</v>
      </c>
      <c r="D1058" s="41" t="s">
        <v>3568</v>
      </c>
      <c r="E1058" s="41"/>
      <c r="F1058" s="42" t="s">
        <v>3569</v>
      </c>
    </row>
    <row r="1059" spans="1:6">
      <c r="A1059" s="41" t="s">
        <v>3570</v>
      </c>
      <c r="B1059" s="40" t="s">
        <v>3353</v>
      </c>
      <c r="C1059" s="41" t="s">
        <v>3354</v>
      </c>
      <c r="D1059" s="41" t="s">
        <v>3571</v>
      </c>
      <c r="E1059" s="41"/>
      <c r="F1059" s="42" t="s">
        <v>3572</v>
      </c>
    </row>
    <row r="1060" spans="1:6">
      <c r="A1060" s="41" t="s">
        <v>3573</v>
      </c>
      <c r="B1060" s="40" t="s">
        <v>3353</v>
      </c>
      <c r="C1060" s="41" t="s">
        <v>3354</v>
      </c>
      <c r="D1060" s="41" t="s">
        <v>3574</v>
      </c>
      <c r="E1060" s="41"/>
      <c r="F1060" s="42" t="s">
        <v>3575</v>
      </c>
    </row>
    <row r="1061" spans="1:6">
      <c r="A1061" s="41" t="s">
        <v>3576</v>
      </c>
      <c r="B1061" s="40" t="s">
        <v>3353</v>
      </c>
      <c r="C1061" s="41" t="s">
        <v>3354</v>
      </c>
      <c r="D1061" s="41" t="s">
        <v>3577</v>
      </c>
      <c r="E1061" s="41"/>
      <c r="F1061" s="42" t="s">
        <v>3578</v>
      </c>
    </row>
    <row r="1062" spans="1:6">
      <c r="A1062" s="41" t="s">
        <v>3579</v>
      </c>
      <c r="B1062" s="40" t="s">
        <v>3353</v>
      </c>
      <c r="C1062" s="41" t="s">
        <v>3354</v>
      </c>
      <c r="D1062" s="41" t="s">
        <v>3580</v>
      </c>
      <c r="E1062" s="41"/>
      <c r="F1062" s="42" t="s">
        <v>3581</v>
      </c>
    </row>
    <row r="1063" spans="1:6">
      <c r="A1063" s="41" t="s">
        <v>3582</v>
      </c>
      <c r="B1063" s="40" t="s">
        <v>3353</v>
      </c>
      <c r="C1063" s="41" t="s">
        <v>3354</v>
      </c>
      <c r="D1063" s="41" t="s">
        <v>3583</v>
      </c>
      <c r="E1063" s="41"/>
      <c r="F1063" s="42" t="s">
        <v>3584</v>
      </c>
    </row>
    <row r="1064" spans="1:6">
      <c r="A1064" s="41" t="s">
        <v>3585</v>
      </c>
      <c r="B1064" s="40" t="s">
        <v>3353</v>
      </c>
      <c r="C1064" s="41" t="s">
        <v>3354</v>
      </c>
      <c r="D1064" s="41" t="s">
        <v>3586</v>
      </c>
      <c r="E1064" s="41"/>
      <c r="F1064" s="42" t="s">
        <v>3587</v>
      </c>
    </row>
    <row r="1065" spans="1:6">
      <c r="A1065" s="41" t="s">
        <v>3588</v>
      </c>
      <c r="B1065" s="40" t="s">
        <v>3353</v>
      </c>
      <c r="C1065" s="41" t="s">
        <v>3354</v>
      </c>
      <c r="D1065" s="41" t="s">
        <v>3589</v>
      </c>
      <c r="E1065" s="41"/>
      <c r="F1065" s="42" t="s">
        <v>3590</v>
      </c>
    </row>
    <row r="1066" spans="1:6">
      <c r="A1066" s="41" t="s">
        <v>3591</v>
      </c>
      <c r="B1066" s="40" t="s">
        <v>3353</v>
      </c>
      <c r="C1066" s="41" t="s">
        <v>3354</v>
      </c>
      <c r="D1066" s="41" t="s">
        <v>3592</v>
      </c>
      <c r="E1066" s="41"/>
      <c r="F1066" s="42" t="s">
        <v>3593</v>
      </c>
    </row>
    <row r="1067" spans="1:6">
      <c r="A1067" s="41" t="s">
        <v>3594</v>
      </c>
      <c r="B1067" s="40" t="s">
        <v>3353</v>
      </c>
      <c r="C1067" s="41" t="s">
        <v>3354</v>
      </c>
      <c r="D1067" s="41" t="s">
        <v>3595</v>
      </c>
      <c r="E1067" s="41"/>
      <c r="F1067" s="42" t="s">
        <v>3596</v>
      </c>
    </row>
    <row r="1068" spans="1:6">
      <c r="A1068" s="41" t="s">
        <v>3597</v>
      </c>
      <c r="B1068" s="40" t="s">
        <v>3353</v>
      </c>
      <c r="C1068" s="41" t="s">
        <v>3354</v>
      </c>
      <c r="D1068" s="41" t="s">
        <v>3598</v>
      </c>
      <c r="E1068" s="41"/>
      <c r="F1068" s="42" t="s">
        <v>3599</v>
      </c>
    </row>
    <row r="1069" spans="1:6">
      <c r="A1069" s="41" t="s">
        <v>3600</v>
      </c>
      <c r="B1069" s="40" t="s">
        <v>3353</v>
      </c>
      <c r="C1069" s="41" t="s">
        <v>3354</v>
      </c>
      <c r="D1069" s="41" t="s">
        <v>3601</v>
      </c>
      <c r="E1069" s="41"/>
      <c r="F1069" s="42" t="s">
        <v>3602</v>
      </c>
    </row>
    <row r="1070" spans="1:6">
      <c r="A1070" s="41" t="s">
        <v>3603</v>
      </c>
      <c r="B1070" s="40" t="s">
        <v>3353</v>
      </c>
      <c r="C1070" s="41" t="s">
        <v>3354</v>
      </c>
      <c r="D1070" s="41" t="s">
        <v>3604</v>
      </c>
      <c r="E1070" s="41"/>
      <c r="F1070" s="42" t="s">
        <v>3605</v>
      </c>
    </row>
    <row r="1071" spans="1:6">
      <c r="A1071" s="41" t="s">
        <v>3606</v>
      </c>
      <c r="B1071" s="40" t="s">
        <v>3353</v>
      </c>
      <c r="C1071" s="41" t="s">
        <v>3354</v>
      </c>
      <c r="D1071" s="41" t="s">
        <v>3607</v>
      </c>
      <c r="E1071" s="41"/>
      <c r="F1071" s="42" t="s">
        <v>3608</v>
      </c>
    </row>
    <row r="1072" spans="1:6">
      <c r="A1072" s="41" t="s">
        <v>3609</v>
      </c>
      <c r="B1072" s="40" t="s">
        <v>3353</v>
      </c>
      <c r="C1072" s="41" t="s">
        <v>3354</v>
      </c>
      <c r="D1072" s="41" t="s">
        <v>3610</v>
      </c>
      <c r="E1072" s="41"/>
      <c r="F1072" s="42" t="s">
        <v>3611</v>
      </c>
    </row>
    <row r="1073" spans="1:6">
      <c r="A1073" s="41" t="s">
        <v>3612</v>
      </c>
      <c r="B1073" s="40" t="s">
        <v>3353</v>
      </c>
      <c r="C1073" s="41" t="s">
        <v>3354</v>
      </c>
      <c r="D1073" s="41" t="s">
        <v>3613</v>
      </c>
      <c r="E1073" s="41"/>
      <c r="F1073" s="42" t="s">
        <v>3614</v>
      </c>
    </row>
    <row r="1074" spans="1:6">
      <c r="A1074" s="41" t="s">
        <v>3615</v>
      </c>
      <c r="B1074" s="40" t="s">
        <v>3353</v>
      </c>
      <c r="C1074" s="41" t="s">
        <v>3354</v>
      </c>
      <c r="D1074" s="41" t="s">
        <v>3616</v>
      </c>
      <c r="E1074" s="41"/>
      <c r="F1074" s="42" t="s">
        <v>3617</v>
      </c>
    </row>
    <row r="1075" spans="1:6">
      <c r="A1075" s="41" t="s">
        <v>3618</v>
      </c>
      <c r="B1075" s="40" t="s">
        <v>3353</v>
      </c>
      <c r="C1075" s="41" t="s">
        <v>3354</v>
      </c>
      <c r="D1075" s="41" t="s">
        <v>3619</v>
      </c>
      <c r="E1075" s="41"/>
      <c r="F1075" s="42" t="s">
        <v>3620</v>
      </c>
    </row>
    <row r="1076" spans="1:6">
      <c r="A1076" s="41" t="s">
        <v>3621</v>
      </c>
      <c r="B1076" s="40" t="s">
        <v>3353</v>
      </c>
      <c r="C1076" s="41" t="s">
        <v>3354</v>
      </c>
      <c r="D1076" s="41" t="s">
        <v>3622</v>
      </c>
      <c r="E1076" s="41"/>
      <c r="F1076" s="42" t="s">
        <v>3623</v>
      </c>
    </row>
    <row r="1077" spans="1:6">
      <c r="A1077" s="41" t="s">
        <v>3624</v>
      </c>
      <c r="B1077" s="40" t="s">
        <v>3353</v>
      </c>
      <c r="C1077" s="41" t="s">
        <v>3354</v>
      </c>
      <c r="D1077" s="41" t="s">
        <v>3625</v>
      </c>
      <c r="E1077" s="41"/>
      <c r="F1077" s="42" t="s">
        <v>3626</v>
      </c>
    </row>
    <row r="1078" spans="1:6">
      <c r="A1078" s="41" t="s">
        <v>3627</v>
      </c>
      <c r="B1078" s="40" t="s">
        <v>3353</v>
      </c>
      <c r="C1078" s="41" t="s">
        <v>3354</v>
      </c>
      <c r="D1078" s="41" t="s">
        <v>3628</v>
      </c>
      <c r="E1078" s="41"/>
      <c r="F1078" s="42" t="s">
        <v>3629</v>
      </c>
    </row>
    <row r="1079" spans="1:6">
      <c r="A1079" s="41" t="s">
        <v>3630</v>
      </c>
      <c r="B1079" s="40" t="s">
        <v>3353</v>
      </c>
      <c r="C1079" s="41" t="s">
        <v>3354</v>
      </c>
      <c r="D1079" s="41" t="s">
        <v>3631</v>
      </c>
      <c r="E1079" s="41"/>
      <c r="F1079" s="42" t="s">
        <v>3632</v>
      </c>
    </row>
    <row r="1080" spans="1:6">
      <c r="A1080" s="41" t="s">
        <v>3633</v>
      </c>
      <c r="B1080" s="40" t="s">
        <v>3353</v>
      </c>
      <c r="C1080" s="41" t="s">
        <v>3354</v>
      </c>
      <c r="D1080" s="41" t="s">
        <v>3634</v>
      </c>
      <c r="E1080" s="41"/>
      <c r="F1080" s="42" t="s">
        <v>3635</v>
      </c>
    </row>
    <row r="1081" spans="1:6">
      <c r="A1081" s="41" t="s">
        <v>3636</v>
      </c>
      <c r="B1081" s="40" t="s">
        <v>3353</v>
      </c>
      <c r="C1081" s="41" t="s">
        <v>3354</v>
      </c>
      <c r="D1081" s="41" t="s">
        <v>3637</v>
      </c>
      <c r="E1081" s="41"/>
      <c r="F1081" s="42" t="s">
        <v>3638</v>
      </c>
    </row>
    <row r="1082" spans="1:6">
      <c r="A1082" s="41" t="s">
        <v>3639</v>
      </c>
      <c r="B1082" s="40" t="s">
        <v>3353</v>
      </c>
      <c r="C1082" s="41" t="s">
        <v>3354</v>
      </c>
      <c r="D1082" s="41" t="s">
        <v>3640</v>
      </c>
      <c r="E1082" s="41"/>
      <c r="F1082" s="42" t="s">
        <v>3641</v>
      </c>
    </row>
    <row r="1083" spans="1:6">
      <c r="A1083" s="41" t="s">
        <v>3642</v>
      </c>
      <c r="B1083" s="40" t="s">
        <v>3353</v>
      </c>
      <c r="C1083" s="41" t="s">
        <v>3354</v>
      </c>
      <c r="D1083" s="41" t="s">
        <v>3643</v>
      </c>
      <c r="E1083" s="41"/>
      <c r="F1083" s="42" t="s">
        <v>3644</v>
      </c>
    </row>
    <row r="1084" spans="1:6">
      <c r="A1084" s="41" t="s">
        <v>3645</v>
      </c>
      <c r="B1084" s="40" t="s">
        <v>3353</v>
      </c>
      <c r="C1084" s="41" t="s">
        <v>3354</v>
      </c>
      <c r="D1084" s="41" t="s">
        <v>3646</v>
      </c>
      <c r="E1084" s="41"/>
      <c r="F1084" s="42" t="s">
        <v>3647</v>
      </c>
    </row>
    <row r="1085" spans="1:6">
      <c r="A1085" s="41" t="s">
        <v>3648</v>
      </c>
      <c r="B1085" s="40" t="s">
        <v>3353</v>
      </c>
      <c r="C1085" s="41" t="s">
        <v>3354</v>
      </c>
      <c r="D1085" s="41" t="s">
        <v>3649</v>
      </c>
      <c r="E1085" s="41"/>
      <c r="F1085" s="42" t="s">
        <v>3650</v>
      </c>
    </row>
    <row r="1086" spans="1:6">
      <c r="A1086" s="41" t="s">
        <v>3651</v>
      </c>
      <c r="B1086" s="40" t="s">
        <v>3353</v>
      </c>
      <c r="C1086" s="41" t="s">
        <v>3354</v>
      </c>
      <c r="D1086" s="41" t="s">
        <v>3652</v>
      </c>
      <c r="E1086" s="41"/>
      <c r="F1086" s="42" t="s">
        <v>3653</v>
      </c>
    </row>
    <row r="1087" spans="1:6">
      <c r="A1087" s="41" t="s">
        <v>3654</v>
      </c>
      <c r="B1087" s="40" t="s">
        <v>3353</v>
      </c>
      <c r="C1087" s="41" t="s">
        <v>3354</v>
      </c>
      <c r="D1087" s="41" t="s">
        <v>3655</v>
      </c>
      <c r="E1087" s="41"/>
      <c r="F1087" s="42" t="s">
        <v>3656</v>
      </c>
    </row>
    <row r="1088" spans="1:6">
      <c r="A1088" s="41" t="s">
        <v>3657</v>
      </c>
      <c r="B1088" s="40" t="s">
        <v>3353</v>
      </c>
      <c r="C1088" s="41" t="s">
        <v>3354</v>
      </c>
      <c r="D1088" s="41" t="s">
        <v>3658</v>
      </c>
      <c r="E1088" s="41"/>
      <c r="F1088" s="42" t="s">
        <v>3659</v>
      </c>
    </row>
    <row r="1089" spans="1:6">
      <c r="A1089" s="41" t="s">
        <v>3660</v>
      </c>
      <c r="B1089" s="40" t="s">
        <v>3353</v>
      </c>
      <c r="C1089" s="41" t="s">
        <v>3354</v>
      </c>
      <c r="D1089" s="41" t="s">
        <v>3661</v>
      </c>
      <c r="E1089" s="41"/>
      <c r="F1089" s="42" t="s">
        <v>3662</v>
      </c>
    </row>
    <row r="1090" spans="1:6">
      <c r="A1090" s="41" t="s">
        <v>3663</v>
      </c>
      <c r="B1090" s="40" t="s">
        <v>3353</v>
      </c>
      <c r="C1090" s="41" t="s">
        <v>3354</v>
      </c>
      <c r="D1090" s="41" t="s">
        <v>3664</v>
      </c>
      <c r="E1090" s="41"/>
      <c r="F1090" s="42" t="s">
        <v>3665</v>
      </c>
    </row>
    <row r="1091" spans="1:6">
      <c r="A1091" s="41" t="s">
        <v>3666</v>
      </c>
      <c r="B1091" s="40" t="s">
        <v>3353</v>
      </c>
      <c r="C1091" s="41" t="s">
        <v>3354</v>
      </c>
      <c r="D1091" s="41" t="s">
        <v>3667</v>
      </c>
      <c r="E1091" s="41"/>
      <c r="F1091" s="42" t="s">
        <v>3668</v>
      </c>
    </row>
    <row r="1092" spans="1:6">
      <c r="A1092" s="41" t="s">
        <v>3669</v>
      </c>
      <c r="B1092" s="40" t="s">
        <v>3353</v>
      </c>
      <c r="C1092" s="41" t="s">
        <v>3354</v>
      </c>
      <c r="D1092" s="41" t="s">
        <v>3670</v>
      </c>
      <c r="E1092" s="41"/>
      <c r="F1092" s="42" t="s">
        <v>3671</v>
      </c>
    </row>
    <row r="1093" spans="1:6">
      <c r="A1093" s="41" t="s">
        <v>3672</v>
      </c>
      <c r="B1093" s="40" t="s">
        <v>3353</v>
      </c>
      <c r="C1093" s="41" t="s">
        <v>3354</v>
      </c>
      <c r="D1093" s="41" t="s">
        <v>3673</v>
      </c>
      <c r="E1093" s="41"/>
      <c r="F1093" s="42" t="s">
        <v>3674</v>
      </c>
    </row>
    <row r="1094" spans="1:6">
      <c r="A1094" s="41" t="s">
        <v>3675</v>
      </c>
      <c r="B1094" s="40" t="s">
        <v>3353</v>
      </c>
      <c r="C1094" s="41" t="s">
        <v>3354</v>
      </c>
      <c r="D1094" s="41" t="s">
        <v>3676</v>
      </c>
      <c r="E1094" s="41"/>
      <c r="F1094" s="42" t="s">
        <v>3677</v>
      </c>
    </row>
    <row r="1095" spans="1:6">
      <c r="A1095" s="41" t="s">
        <v>3678</v>
      </c>
      <c r="B1095" s="40" t="s">
        <v>3353</v>
      </c>
      <c r="C1095" s="41" t="s">
        <v>3354</v>
      </c>
      <c r="D1095" s="41" t="s">
        <v>3679</v>
      </c>
      <c r="E1095" s="41"/>
      <c r="F1095" s="42" t="s">
        <v>3680</v>
      </c>
    </row>
    <row r="1096" spans="1:6">
      <c r="A1096" s="41" t="s">
        <v>3681</v>
      </c>
      <c r="B1096" s="40" t="s">
        <v>3353</v>
      </c>
      <c r="C1096" s="41" t="s">
        <v>3354</v>
      </c>
      <c r="D1096" s="41" t="s">
        <v>3682</v>
      </c>
      <c r="E1096" s="41"/>
      <c r="F1096" s="42" t="s">
        <v>3683</v>
      </c>
    </row>
    <row r="1097" spans="1:6">
      <c r="A1097" s="41" t="s">
        <v>3684</v>
      </c>
      <c r="B1097" s="40" t="s">
        <v>3353</v>
      </c>
      <c r="C1097" s="41" t="s">
        <v>3354</v>
      </c>
      <c r="D1097" s="41" t="s">
        <v>3685</v>
      </c>
      <c r="E1097" s="41"/>
      <c r="F1097" s="42" t="s">
        <v>3686</v>
      </c>
    </row>
    <row r="1098" spans="1:6">
      <c r="A1098" s="41" t="s">
        <v>3687</v>
      </c>
      <c r="B1098" s="40" t="s">
        <v>3353</v>
      </c>
      <c r="C1098" s="41" t="s">
        <v>3354</v>
      </c>
      <c r="D1098" s="41" t="s">
        <v>3688</v>
      </c>
      <c r="E1098" s="41"/>
      <c r="F1098" s="42" t="s">
        <v>3689</v>
      </c>
    </row>
    <row r="1099" spans="1:6">
      <c r="A1099" s="41" t="s">
        <v>3690</v>
      </c>
      <c r="B1099" s="40" t="s">
        <v>3353</v>
      </c>
      <c r="C1099" s="41" t="s">
        <v>3354</v>
      </c>
      <c r="D1099" s="41" t="s">
        <v>3691</v>
      </c>
      <c r="E1099" s="41"/>
      <c r="F1099" s="42" t="s">
        <v>3692</v>
      </c>
    </row>
    <row r="1100" spans="1:6">
      <c r="A1100" s="41" t="s">
        <v>3693</v>
      </c>
      <c r="B1100" s="40" t="s">
        <v>3353</v>
      </c>
      <c r="C1100" s="41" t="s">
        <v>3354</v>
      </c>
      <c r="D1100" s="41" t="s">
        <v>3694</v>
      </c>
      <c r="E1100" s="41"/>
      <c r="F1100" s="42" t="s">
        <v>3695</v>
      </c>
    </row>
    <row r="1101" spans="1:6">
      <c r="A1101" s="41" t="s">
        <v>3696</v>
      </c>
      <c r="B1101" s="40" t="s">
        <v>3353</v>
      </c>
      <c r="C1101" s="41" t="s">
        <v>3354</v>
      </c>
      <c r="D1101" s="41" t="s">
        <v>3697</v>
      </c>
      <c r="E1101" s="41"/>
      <c r="F1101" s="42" t="s">
        <v>3698</v>
      </c>
    </row>
    <row r="1102" spans="1:6">
      <c r="A1102" s="41" t="s">
        <v>3699</v>
      </c>
      <c r="B1102" s="40" t="s">
        <v>3353</v>
      </c>
      <c r="C1102" s="41" t="s">
        <v>3354</v>
      </c>
      <c r="D1102" s="41" t="s">
        <v>3700</v>
      </c>
      <c r="E1102" s="41"/>
      <c r="F1102" s="42" t="s">
        <v>3701</v>
      </c>
    </row>
    <row r="1103" spans="1:6">
      <c r="A1103" s="41" t="s">
        <v>3702</v>
      </c>
      <c r="B1103" s="40" t="s">
        <v>3353</v>
      </c>
      <c r="C1103" s="41" t="s">
        <v>3354</v>
      </c>
      <c r="D1103" s="41" t="s">
        <v>3703</v>
      </c>
      <c r="E1103" s="41"/>
      <c r="F1103" s="42" t="s">
        <v>3704</v>
      </c>
    </row>
    <row r="1104" spans="1:6">
      <c r="A1104" s="41" t="s">
        <v>3705</v>
      </c>
      <c r="B1104" s="40" t="s">
        <v>3353</v>
      </c>
      <c r="C1104" s="41" t="s">
        <v>3354</v>
      </c>
      <c r="D1104" s="41" t="s">
        <v>3706</v>
      </c>
      <c r="E1104" s="41"/>
      <c r="F1104" s="42" t="s">
        <v>3707</v>
      </c>
    </row>
    <row r="1105" spans="1:6">
      <c r="A1105" s="41" t="s">
        <v>3708</v>
      </c>
      <c r="B1105" s="40" t="s">
        <v>3353</v>
      </c>
      <c r="C1105" s="41" t="s">
        <v>3354</v>
      </c>
      <c r="D1105" s="41" t="s">
        <v>3709</v>
      </c>
      <c r="E1105" s="41"/>
      <c r="F1105" s="42" t="s">
        <v>3710</v>
      </c>
    </row>
    <row r="1106" spans="1:6">
      <c r="A1106" s="41" t="s">
        <v>3711</v>
      </c>
      <c r="B1106" s="40" t="s">
        <v>3353</v>
      </c>
      <c r="C1106" s="41" t="s">
        <v>3354</v>
      </c>
      <c r="D1106" s="41" t="s">
        <v>3712</v>
      </c>
      <c r="E1106" s="41"/>
      <c r="F1106" s="42" t="s">
        <v>3713</v>
      </c>
    </row>
    <row r="1107" spans="1:6">
      <c r="A1107" s="41" t="s">
        <v>3714</v>
      </c>
      <c r="B1107" s="40" t="s">
        <v>3353</v>
      </c>
      <c r="C1107" s="41" t="s">
        <v>3354</v>
      </c>
      <c r="D1107" s="41" t="s">
        <v>3715</v>
      </c>
      <c r="E1107" s="41"/>
      <c r="F1107" s="42" t="s">
        <v>3716</v>
      </c>
    </row>
    <row r="1108" spans="1:6">
      <c r="A1108" s="41" t="s">
        <v>3717</v>
      </c>
      <c r="B1108" s="40" t="s">
        <v>3353</v>
      </c>
      <c r="C1108" s="41" t="s">
        <v>3354</v>
      </c>
      <c r="D1108" s="41" t="s">
        <v>3718</v>
      </c>
      <c r="E1108" s="41"/>
      <c r="F1108" s="42" t="s">
        <v>3719</v>
      </c>
    </row>
    <row r="1109" spans="1:6">
      <c r="A1109" s="41" t="s">
        <v>3720</v>
      </c>
      <c r="B1109" s="40" t="s">
        <v>3353</v>
      </c>
      <c r="C1109" s="41" t="s">
        <v>3354</v>
      </c>
      <c r="D1109" s="41" t="s">
        <v>3721</v>
      </c>
      <c r="E1109" s="41"/>
      <c r="F1109" s="42" t="s">
        <v>3722</v>
      </c>
    </row>
    <row r="1110" spans="1:6">
      <c r="A1110" s="41" t="s">
        <v>3723</v>
      </c>
      <c r="B1110" s="40" t="s">
        <v>3353</v>
      </c>
      <c r="C1110" s="41" t="s">
        <v>3354</v>
      </c>
      <c r="D1110" s="41" t="s">
        <v>3724</v>
      </c>
      <c r="E1110" s="41"/>
      <c r="F1110" s="42" t="s">
        <v>3725</v>
      </c>
    </row>
    <row r="1111" spans="1:6">
      <c r="A1111" s="41" t="s">
        <v>3726</v>
      </c>
      <c r="B1111" s="40" t="s">
        <v>3353</v>
      </c>
      <c r="C1111" s="41" t="s">
        <v>3354</v>
      </c>
      <c r="D1111" s="41" t="s">
        <v>3727</v>
      </c>
      <c r="E1111" s="41"/>
      <c r="F1111" s="42" t="s">
        <v>3728</v>
      </c>
    </row>
    <row r="1112" spans="1:6">
      <c r="A1112" s="41" t="s">
        <v>3729</v>
      </c>
      <c r="B1112" s="40" t="s">
        <v>3353</v>
      </c>
      <c r="C1112" s="41" t="s">
        <v>3354</v>
      </c>
      <c r="D1112" s="41" t="s">
        <v>3730</v>
      </c>
      <c r="E1112" s="41"/>
      <c r="F1112" s="42" t="s">
        <v>3731</v>
      </c>
    </row>
    <row r="1113" spans="1:6">
      <c r="A1113" s="41" t="s">
        <v>3732</v>
      </c>
      <c r="B1113" s="40" t="s">
        <v>3353</v>
      </c>
      <c r="C1113" s="41" t="s">
        <v>3354</v>
      </c>
      <c r="D1113" s="41" t="s">
        <v>3733</v>
      </c>
      <c r="E1113" s="41"/>
      <c r="F1113" s="42" t="s">
        <v>3734</v>
      </c>
    </row>
    <row r="1114" spans="1:6">
      <c r="A1114" s="41" t="s">
        <v>3735</v>
      </c>
      <c r="B1114" s="40" t="s">
        <v>3353</v>
      </c>
      <c r="C1114" s="41" t="s">
        <v>3354</v>
      </c>
      <c r="D1114" s="41" t="s">
        <v>3736</v>
      </c>
      <c r="E1114" s="41"/>
      <c r="F1114" s="42" t="s">
        <v>3737</v>
      </c>
    </row>
    <row r="1115" spans="1:6">
      <c r="A1115" s="41" t="s">
        <v>3738</v>
      </c>
      <c r="B1115" s="40" t="s">
        <v>3353</v>
      </c>
      <c r="C1115" s="41" t="s">
        <v>3354</v>
      </c>
      <c r="D1115" s="41" t="s">
        <v>3739</v>
      </c>
      <c r="E1115" s="41"/>
      <c r="F1115" s="42" t="s">
        <v>3740</v>
      </c>
    </row>
    <row r="1116" spans="1:6">
      <c r="A1116" s="41" t="s">
        <v>3741</v>
      </c>
      <c r="B1116" s="40" t="s">
        <v>3353</v>
      </c>
      <c r="C1116" s="41" t="s">
        <v>3354</v>
      </c>
      <c r="D1116" s="41" t="s">
        <v>3742</v>
      </c>
      <c r="E1116" s="41"/>
      <c r="F1116" s="42" t="s">
        <v>3743</v>
      </c>
    </row>
    <row r="1117" spans="1:6">
      <c r="A1117" s="41" t="s">
        <v>3744</v>
      </c>
      <c r="B1117" s="40" t="s">
        <v>3353</v>
      </c>
      <c r="C1117" s="41" t="s">
        <v>3354</v>
      </c>
      <c r="D1117" s="41" t="s">
        <v>3745</v>
      </c>
      <c r="E1117" s="41"/>
      <c r="F1117" s="42" t="s">
        <v>3746</v>
      </c>
    </row>
    <row r="1118" spans="1:6">
      <c r="A1118" s="41" t="s">
        <v>3747</v>
      </c>
      <c r="B1118" s="40" t="s">
        <v>3353</v>
      </c>
      <c r="C1118" s="41" t="s">
        <v>3354</v>
      </c>
      <c r="D1118" s="41" t="s">
        <v>3748</v>
      </c>
      <c r="E1118" s="41"/>
      <c r="F1118" s="42" t="s">
        <v>3749</v>
      </c>
    </row>
    <row r="1119" spans="1:6">
      <c r="A1119" s="41" t="s">
        <v>3750</v>
      </c>
      <c r="B1119" s="40" t="s">
        <v>3353</v>
      </c>
      <c r="C1119" s="41" t="s">
        <v>3354</v>
      </c>
      <c r="D1119" s="41" t="s">
        <v>3751</v>
      </c>
      <c r="E1119" s="41"/>
      <c r="F1119" s="42" t="s">
        <v>3752</v>
      </c>
    </row>
    <row r="1120" spans="1:6">
      <c r="A1120" s="41" t="s">
        <v>3753</v>
      </c>
      <c r="B1120" s="40" t="s">
        <v>3353</v>
      </c>
      <c r="C1120" s="41" t="s">
        <v>3354</v>
      </c>
      <c r="D1120" s="41" t="s">
        <v>3754</v>
      </c>
      <c r="E1120" s="41"/>
      <c r="F1120" s="42" t="s">
        <v>3755</v>
      </c>
    </row>
    <row r="1121" spans="1:6">
      <c r="A1121" s="41" t="s">
        <v>3756</v>
      </c>
      <c r="B1121" s="40" t="s">
        <v>3353</v>
      </c>
      <c r="C1121" s="41" t="s">
        <v>3354</v>
      </c>
      <c r="D1121" s="41" t="s">
        <v>3757</v>
      </c>
      <c r="E1121" s="41"/>
      <c r="F1121" s="42" t="s">
        <v>3758</v>
      </c>
    </row>
    <row r="1122" spans="1:6">
      <c r="A1122" s="41" t="s">
        <v>3759</v>
      </c>
      <c r="B1122" s="40" t="s">
        <v>3353</v>
      </c>
      <c r="C1122" s="41" t="s">
        <v>3354</v>
      </c>
      <c r="D1122" s="41" t="s">
        <v>3760</v>
      </c>
      <c r="E1122" s="41"/>
      <c r="F1122" s="42" t="s">
        <v>3761</v>
      </c>
    </row>
    <row r="1123" spans="1:6">
      <c r="A1123" s="41" t="s">
        <v>3762</v>
      </c>
      <c r="B1123" s="40" t="s">
        <v>3353</v>
      </c>
      <c r="C1123" s="41" t="s">
        <v>3354</v>
      </c>
      <c r="D1123" s="41" t="s">
        <v>3763</v>
      </c>
      <c r="E1123" s="41"/>
      <c r="F1123" s="42" t="s">
        <v>3764</v>
      </c>
    </row>
    <row r="1124" spans="1:6">
      <c r="A1124" s="41" t="s">
        <v>3765</v>
      </c>
      <c r="B1124" s="40" t="s">
        <v>3353</v>
      </c>
      <c r="C1124" s="41" t="s">
        <v>3354</v>
      </c>
      <c r="D1124" s="41" t="s">
        <v>3766</v>
      </c>
      <c r="E1124" s="41"/>
      <c r="F1124" s="42" t="s">
        <v>3767</v>
      </c>
    </row>
    <row r="1125" spans="1:6">
      <c r="A1125" s="41" t="s">
        <v>3768</v>
      </c>
      <c r="B1125" s="40" t="s">
        <v>3353</v>
      </c>
      <c r="C1125" s="41" t="s">
        <v>3354</v>
      </c>
      <c r="D1125" s="41" t="s">
        <v>3769</v>
      </c>
      <c r="E1125" s="41"/>
      <c r="F1125" s="42" t="s">
        <v>3770</v>
      </c>
    </row>
    <row r="1126" spans="1:6">
      <c r="A1126" s="41" t="s">
        <v>3771</v>
      </c>
      <c r="B1126" s="40" t="s">
        <v>3353</v>
      </c>
      <c r="C1126" s="41" t="s">
        <v>3354</v>
      </c>
      <c r="D1126" s="41" t="s">
        <v>3772</v>
      </c>
      <c r="E1126" s="41"/>
      <c r="F1126" s="42" t="s">
        <v>3773</v>
      </c>
    </row>
    <row r="1127" spans="1:6">
      <c r="A1127" s="41" t="s">
        <v>3774</v>
      </c>
      <c r="B1127" s="40" t="s">
        <v>3353</v>
      </c>
      <c r="C1127" s="41" t="s">
        <v>3354</v>
      </c>
      <c r="D1127" s="41" t="s">
        <v>3775</v>
      </c>
      <c r="E1127" s="41"/>
      <c r="F1127" s="42" t="s">
        <v>3776</v>
      </c>
    </row>
    <row r="1128" spans="1:6">
      <c r="A1128" s="41" t="s">
        <v>3777</v>
      </c>
      <c r="B1128" s="40" t="s">
        <v>3353</v>
      </c>
      <c r="C1128" s="41" t="s">
        <v>3354</v>
      </c>
      <c r="D1128" s="41" t="s">
        <v>3778</v>
      </c>
      <c r="E1128" s="41"/>
      <c r="F1128" s="42" t="s">
        <v>3779</v>
      </c>
    </row>
    <row r="1129" spans="1:6">
      <c r="A1129" s="41" t="s">
        <v>3780</v>
      </c>
      <c r="B1129" s="40" t="s">
        <v>3353</v>
      </c>
      <c r="C1129" s="41" t="s">
        <v>3354</v>
      </c>
      <c r="D1129" s="41" t="s">
        <v>3781</v>
      </c>
      <c r="E1129" s="41"/>
      <c r="F1129" s="42" t="s">
        <v>3782</v>
      </c>
    </row>
    <row r="1130" spans="1:6">
      <c r="A1130" s="41" t="s">
        <v>3783</v>
      </c>
      <c r="B1130" s="40" t="s">
        <v>3353</v>
      </c>
      <c r="C1130" s="41" t="s">
        <v>3354</v>
      </c>
      <c r="D1130" s="41" t="s">
        <v>3784</v>
      </c>
      <c r="E1130" s="41"/>
      <c r="F1130" s="42" t="s">
        <v>3785</v>
      </c>
    </row>
    <row r="1131" spans="1:6">
      <c r="A1131" s="41" t="s">
        <v>3786</v>
      </c>
      <c r="B1131" s="40" t="s">
        <v>3353</v>
      </c>
      <c r="C1131" s="41" t="s">
        <v>3354</v>
      </c>
      <c r="D1131" s="41" t="s">
        <v>3787</v>
      </c>
      <c r="E1131" s="41"/>
      <c r="F1131" s="42" t="s">
        <v>3788</v>
      </c>
    </row>
    <row r="1132" spans="1:6">
      <c r="A1132" s="41" t="s">
        <v>3789</v>
      </c>
      <c r="B1132" s="40" t="s">
        <v>3353</v>
      </c>
      <c r="C1132" s="41" t="s">
        <v>3354</v>
      </c>
      <c r="D1132" s="41" t="s">
        <v>3790</v>
      </c>
      <c r="E1132" s="41"/>
      <c r="F1132" s="42" t="s">
        <v>3791</v>
      </c>
    </row>
    <row r="1133" spans="1:6">
      <c r="A1133" s="41" t="s">
        <v>3792</v>
      </c>
      <c r="B1133" s="40" t="s">
        <v>3353</v>
      </c>
      <c r="C1133" s="41" t="s">
        <v>3354</v>
      </c>
      <c r="D1133" s="41" t="s">
        <v>3793</v>
      </c>
      <c r="E1133" s="41"/>
      <c r="F1133" s="42" t="s">
        <v>3794</v>
      </c>
    </row>
    <row r="1134" spans="1:6">
      <c r="A1134" s="41" t="s">
        <v>3795</v>
      </c>
      <c r="B1134" s="40" t="s">
        <v>3353</v>
      </c>
      <c r="C1134" s="41" t="s">
        <v>3354</v>
      </c>
      <c r="D1134" s="41" t="s">
        <v>3796</v>
      </c>
      <c r="E1134" s="41"/>
      <c r="F1134" s="42" t="s">
        <v>3797</v>
      </c>
    </row>
    <row r="1135" spans="1:6">
      <c r="A1135" s="41" t="s">
        <v>3798</v>
      </c>
      <c r="B1135" s="40" t="s">
        <v>3353</v>
      </c>
      <c r="C1135" s="41" t="s">
        <v>3354</v>
      </c>
      <c r="D1135" s="41" t="s">
        <v>3799</v>
      </c>
      <c r="E1135" s="41"/>
      <c r="F1135" s="42" t="s">
        <v>3800</v>
      </c>
    </row>
    <row r="1136" spans="1:6">
      <c r="A1136" s="41" t="s">
        <v>3801</v>
      </c>
      <c r="B1136" s="40" t="s">
        <v>3353</v>
      </c>
      <c r="C1136" s="41" t="s">
        <v>3354</v>
      </c>
      <c r="D1136" s="41" t="s">
        <v>3802</v>
      </c>
      <c r="E1136" s="41"/>
      <c r="F1136" s="42" t="s">
        <v>3803</v>
      </c>
    </row>
    <row r="1137" spans="1:6">
      <c r="A1137" s="41" t="s">
        <v>3804</v>
      </c>
      <c r="B1137" s="40" t="s">
        <v>3353</v>
      </c>
      <c r="C1137" s="41" t="s">
        <v>3354</v>
      </c>
      <c r="D1137" s="41" t="s">
        <v>3805</v>
      </c>
      <c r="E1137" s="41"/>
      <c r="F1137" s="42" t="s">
        <v>3806</v>
      </c>
    </row>
    <row r="1138" spans="1:6">
      <c r="A1138" s="41" t="s">
        <v>3807</v>
      </c>
      <c r="B1138" s="40" t="s">
        <v>3353</v>
      </c>
      <c r="C1138" s="41" t="s">
        <v>3354</v>
      </c>
      <c r="D1138" s="41" t="s">
        <v>3808</v>
      </c>
      <c r="E1138" s="41"/>
      <c r="F1138" s="42" t="s">
        <v>3809</v>
      </c>
    </row>
    <row r="1139" spans="1:6">
      <c r="A1139" s="41" t="s">
        <v>3810</v>
      </c>
      <c r="B1139" s="40" t="s">
        <v>3353</v>
      </c>
      <c r="C1139" s="41" t="s">
        <v>3354</v>
      </c>
      <c r="D1139" s="41" t="s">
        <v>3811</v>
      </c>
      <c r="E1139" s="41"/>
      <c r="F1139" s="42" t="s">
        <v>3812</v>
      </c>
    </row>
    <row r="1140" spans="1:6">
      <c r="A1140" s="41" t="s">
        <v>3813</v>
      </c>
      <c r="B1140" s="40" t="s">
        <v>3353</v>
      </c>
      <c r="C1140" s="41" t="s">
        <v>3354</v>
      </c>
      <c r="D1140" s="41" t="s">
        <v>3814</v>
      </c>
      <c r="E1140" s="41"/>
      <c r="F1140" s="42" t="s">
        <v>3815</v>
      </c>
    </row>
    <row r="1141" spans="1:6">
      <c r="A1141" s="41" t="s">
        <v>3816</v>
      </c>
      <c r="B1141" s="40" t="s">
        <v>3353</v>
      </c>
      <c r="C1141" s="41" t="s">
        <v>3354</v>
      </c>
      <c r="D1141" s="41" t="s">
        <v>3817</v>
      </c>
      <c r="E1141" s="41"/>
      <c r="F1141" s="42" t="s">
        <v>3818</v>
      </c>
    </row>
    <row r="1142" spans="1:6">
      <c r="A1142" s="41" t="s">
        <v>3819</v>
      </c>
      <c r="B1142" s="40" t="s">
        <v>3353</v>
      </c>
      <c r="C1142" s="41" t="s">
        <v>3354</v>
      </c>
      <c r="D1142" s="41" t="s">
        <v>3820</v>
      </c>
      <c r="E1142" s="41"/>
      <c r="F1142" s="42" t="s">
        <v>3821</v>
      </c>
    </row>
    <row r="1143" spans="1:6">
      <c r="A1143" s="41" t="s">
        <v>3822</v>
      </c>
      <c r="B1143" s="40" t="s">
        <v>3353</v>
      </c>
      <c r="C1143" s="41" t="s">
        <v>3354</v>
      </c>
      <c r="D1143" s="41" t="s">
        <v>3823</v>
      </c>
      <c r="E1143" s="41"/>
      <c r="F1143" s="42" t="s">
        <v>3824</v>
      </c>
    </row>
    <row r="1144" spans="1:6">
      <c r="A1144" s="41" t="s">
        <v>3825</v>
      </c>
      <c r="B1144" s="40" t="s">
        <v>3353</v>
      </c>
      <c r="C1144" s="41" t="s">
        <v>3354</v>
      </c>
      <c r="D1144" s="41" t="s">
        <v>3826</v>
      </c>
      <c r="E1144" s="41"/>
      <c r="F1144" s="42" t="s">
        <v>3827</v>
      </c>
    </row>
    <row r="1145" spans="1:6">
      <c r="A1145" s="41" t="s">
        <v>3828</v>
      </c>
      <c r="B1145" s="40" t="s">
        <v>3353</v>
      </c>
      <c r="C1145" s="41" t="s">
        <v>3354</v>
      </c>
      <c r="D1145" s="41" t="s">
        <v>3829</v>
      </c>
      <c r="E1145" s="41"/>
      <c r="F1145" s="42" t="s">
        <v>3830</v>
      </c>
    </row>
    <row r="1146" spans="1:6">
      <c r="A1146" s="41" t="s">
        <v>3831</v>
      </c>
      <c r="B1146" s="40" t="s">
        <v>3353</v>
      </c>
      <c r="C1146" s="41" t="s">
        <v>3354</v>
      </c>
      <c r="D1146" s="41" t="s">
        <v>3832</v>
      </c>
      <c r="E1146" s="41"/>
      <c r="F1146" s="42" t="s">
        <v>3833</v>
      </c>
    </row>
    <row r="1147" spans="1:6">
      <c r="A1147" s="41" t="s">
        <v>3834</v>
      </c>
      <c r="B1147" s="40" t="s">
        <v>3353</v>
      </c>
      <c r="C1147" s="41" t="s">
        <v>3354</v>
      </c>
      <c r="D1147" s="41" t="s">
        <v>3835</v>
      </c>
      <c r="E1147" s="41"/>
      <c r="F1147" s="42" t="s">
        <v>3836</v>
      </c>
    </row>
    <row r="1148" spans="1:6">
      <c r="A1148" s="41" t="s">
        <v>3837</v>
      </c>
      <c r="B1148" s="40" t="s">
        <v>3353</v>
      </c>
      <c r="C1148" s="41" t="s">
        <v>3354</v>
      </c>
      <c r="D1148" s="41" t="s">
        <v>3838</v>
      </c>
      <c r="E1148" s="41"/>
      <c r="F1148" s="42" t="s">
        <v>3839</v>
      </c>
    </row>
    <row r="1149" spans="1:6">
      <c r="A1149" s="41" t="s">
        <v>3840</v>
      </c>
      <c r="B1149" s="40" t="s">
        <v>3353</v>
      </c>
      <c r="C1149" s="41" t="s">
        <v>3354</v>
      </c>
      <c r="D1149" s="41" t="s">
        <v>3841</v>
      </c>
      <c r="E1149" s="41"/>
      <c r="F1149" s="42" t="s">
        <v>3842</v>
      </c>
    </row>
    <row r="1150" spans="1:6">
      <c r="A1150" s="41" t="s">
        <v>3843</v>
      </c>
      <c r="B1150" s="40" t="s">
        <v>3353</v>
      </c>
      <c r="C1150" s="41" t="s">
        <v>3354</v>
      </c>
      <c r="D1150" s="41" t="s">
        <v>3844</v>
      </c>
      <c r="E1150" s="41"/>
      <c r="F1150" s="42" t="s">
        <v>3845</v>
      </c>
    </row>
    <row r="1151" spans="1:6">
      <c r="A1151" s="41" t="s">
        <v>3846</v>
      </c>
      <c r="B1151" s="40" t="s">
        <v>3353</v>
      </c>
      <c r="C1151" s="41" t="s">
        <v>3354</v>
      </c>
      <c r="D1151" s="41" t="s">
        <v>3847</v>
      </c>
      <c r="E1151" s="41"/>
      <c r="F1151" s="42" t="s">
        <v>3848</v>
      </c>
    </row>
    <row r="1152" spans="1:6">
      <c r="A1152" s="41" t="s">
        <v>3849</v>
      </c>
      <c r="B1152" s="40" t="s">
        <v>3353</v>
      </c>
      <c r="C1152" s="41" t="s">
        <v>3354</v>
      </c>
      <c r="D1152" s="41" t="s">
        <v>3850</v>
      </c>
      <c r="E1152" s="41"/>
      <c r="F1152" s="42" t="s">
        <v>3851</v>
      </c>
    </row>
    <row r="1153" spans="1:6">
      <c r="A1153" s="41" t="s">
        <v>3852</v>
      </c>
      <c r="B1153" s="40" t="s">
        <v>3353</v>
      </c>
      <c r="C1153" s="41" t="s">
        <v>3354</v>
      </c>
      <c r="D1153" s="41" t="s">
        <v>3853</v>
      </c>
      <c r="E1153" s="41"/>
      <c r="F1153" s="42" t="s">
        <v>3854</v>
      </c>
    </row>
    <row r="1154" spans="1:6">
      <c r="A1154" s="41" t="s">
        <v>3855</v>
      </c>
      <c r="B1154" s="40" t="s">
        <v>3353</v>
      </c>
      <c r="C1154" s="41" t="s">
        <v>3354</v>
      </c>
      <c r="D1154" s="41" t="s">
        <v>3856</v>
      </c>
      <c r="E1154" s="41"/>
      <c r="F1154" s="42" t="s">
        <v>3857</v>
      </c>
    </row>
    <row r="1155" spans="1:6">
      <c r="A1155" s="41" t="s">
        <v>3858</v>
      </c>
      <c r="B1155" s="40" t="s">
        <v>3353</v>
      </c>
      <c r="C1155" s="41" t="s">
        <v>3354</v>
      </c>
      <c r="D1155" s="41" t="s">
        <v>3859</v>
      </c>
      <c r="E1155" s="41"/>
      <c r="F1155" s="42" t="s">
        <v>3860</v>
      </c>
    </row>
    <row r="1156" spans="1:6">
      <c r="A1156" s="41" t="s">
        <v>3861</v>
      </c>
      <c r="B1156" s="40" t="s">
        <v>3353</v>
      </c>
      <c r="C1156" s="41" t="s">
        <v>3354</v>
      </c>
      <c r="D1156" s="41" t="s">
        <v>3862</v>
      </c>
      <c r="E1156" s="41"/>
      <c r="F1156" s="42" t="s">
        <v>3863</v>
      </c>
    </row>
    <row r="1157" spans="1:6">
      <c r="A1157" s="41" t="s">
        <v>3864</v>
      </c>
      <c r="B1157" s="40" t="s">
        <v>3353</v>
      </c>
      <c r="C1157" s="41" t="s">
        <v>3354</v>
      </c>
      <c r="D1157" s="41" t="s">
        <v>3865</v>
      </c>
      <c r="E1157" s="41"/>
      <c r="F1157" s="42" t="s">
        <v>3866</v>
      </c>
    </row>
    <row r="1158" spans="1:6">
      <c r="A1158" s="41" t="s">
        <v>3867</v>
      </c>
      <c r="B1158" s="40" t="s">
        <v>3353</v>
      </c>
      <c r="C1158" s="41" t="s">
        <v>3354</v>
      </c>
      <c r="D1158" s="41" t="s">
        <v>3868</v>
      </c>
      <c r="E1158" s="41"/>
      <c r="F1158" s="42" t="s">
        <v>3869</v>
      </c>
    </row>
    <row r="1159" spans="1:6">
      <c r="A1159" s="41" t="s">
        <v>3870</v>
      </c>
      <c r="B1159" s="40" t="s">
        <v>3353</v>
      </c>
      <c r="C1159" s="41" t="s">
        <v>3354</v>
      </c>
      <c r="D1159" s="41" t="s">
        <v>3871</v>
      </c>
      <c r="E1159" s="41"/>
      <c r="F1159" s="42" t="s">
        <v>3872</v>
      </c>
    </row>
    <row r="1160" spans="1:6">
      <c r="A1160" s="41" t="s">
        <v>3873</v>
      </c>
      <c r="B1160" s="40" t="s">
        <v>3353</v>
      </c>
      <c r="C1160" s="41" t="s">
        <v>3354</v>
      </c>
      <c r="D1160" s="41" t="s">
        <v>3874</v>
      </c>
      <c r="E1160" s="41"/>
      <c r="F1160" s="42" t="s">
        <v>3875</v>
      </c>
    </row>
    <row r="1161" spans="1:6">
      <c r="A1161" s="41" t="s">
        <v>3876</v>
      </c>
      <c r="B1161" s="40" t="s">
        <v>3353</v>
      </c>
      <c r="C1161" s="41" t="s">
        <v>3354</v>
      </c>
      <c r="D1161" s="41" t="s">
        <v>3877</v>
      </c>
      <c r="E1161" s="41"/>
      <c r="F1161" s="42" t="s">
        <v>3878</v>
      </c>
    </row>
    <row r="1162" spans="1:6">
      <c r="A1162" s="41" t="s">
        <v>3879</v>
      </c>
      <c r="B1162" s="40" t="s">
        <v>3353</v>
      </c>
      <c r="C1162" s="41" t="s">
        <v>3354</v>
      </c>
      <c r="D1162" s="41" t="s">
        <v>3880</v>
      </c>
      <c r="E1162" s="41"/>
      <c r="F1162" s="42" t="s">
        <v>3881</v>
      </c>
    </row>
    <row r="1163" spans="1:6">
      <c r="A1163" s="41" t="s">
        <v>3882</v>
      </c>
      <c r="B1163" s="40" t="s">
        <v>3353</v>
      </c>
      <c r="C1163" s="41" t="s">
        <v>3354</v>
      </c>
      <c r="D1163" s="41" t="s">
        <v>3883</v>
      </c>
      <c r="E1163" s="41"/>
      <c r="F1163" s="42" t="s">
        <v>3884</v>
      </c>
    </row>
    <row r="1164" spans="1:6">
      <c r="A1164" s="41" t="s">
        <v>3885</v>
      </c>
      <c r="B1164" s="40" t="s">
        <v>3353</v>
      </c>
      <c r="C1164" s="41" t="s">
        <v>3354</v>
      </c>
      <c r="D1164" s="41" t="s">
        <v>3886</v>
      </c>
      <c r="E1164" s="41"/>
      <c r="F1164" s="42" t="s">
        <v>3887</v>
      </c>
    </row>
    <row r="1165" spans="1:6">
      <c r="A1165" s="41" t="s">
        <v>3888</v>
      </c>
      <c r="B1165" s="40" t="s">
        <v>3353</v>
      </c>
      <c r="C1165" s="41" t="s">
        <v>3354</v>
      </c>
      <c r="D1165" s="41" t="s">
        <v>3889</v>
      </c>
      <c r="E1165" s="41"/>
      <c r="F1165" s="42" t="s">
        <v>3890</v>
      </c>
    </row>
    <row r="1166" spans="1:6">
      <c r="A1166" s="41" t="s">
        <v>3891</v>
      </c>
      <c r="B1166" s="40" t="s">
        <v>3353</v>
      </c>
      <c r="C1166" s="41" t="s">
        <v>3354</v>
      </c>
      <c r="D1166" s="41" t="s">
        <v>3892</v>
      </c>
      <c r="E1166" s="41"/>
      <c r="F1166" s="42" t="s">
        <v>3893</v>
      </c>
    </row>
    <row r="1167" spans="1:6">
      <c r="A1167" s="41" t="s">
        <v>3894</v>
      </c>
      <c r="B1167" s="40" t="s">
        <v>3353</v>
      </c>
      <c r="C1167" s="41" t="s">
        <v>3354</v>
      </c>
      <c r="D1167" s="41" t="s">
        <v>3895</v>
      </c>
      <c r="E1167" s="41"/>
      <c r="F1167" s="42" t="s">
        <v>3896</v>
      </c>
    </row>
    <row r="1168" spans="1:6">
      <c r="A1168" s="41" t="s">
        <v>3897</v>
      </c>
      <c r="B1168" s="40" t="s">
        <v>3353</v>
      </c>
      <c r="C1168" s="41" t="s">
        <v>3354</v>
      </c>
      <c r="D1168" s="41" t="s">
        <v>3898</v>
      </c>
      <c r="E1168" s="41"/>
      <c r="F1168" s="42" t="s">
        <v>3899</v>
      </c>
    </row>
    <row r="1169" spans="1:6">
      <c r="A1169" s="41" t="s">
        <v>3900</v>
      </c>
      <c r="B1169" s="40" t="s">
        <v>3353</v>
      </c>
      <c r="C1169" s="41" t="s">
        <v>3354</v>
      </c>
      <c r="D1169" s="41" t="s">
        <v>3901</v>
      </c>
      <c r="E1169" s="41"/>
      <c r="F1169" s="42" t="s">
        <v>3902</v>
      </c>
    </row>
    <row r="1170" spans="1:6">
      <c r="A1170" s="41" t="s">
        <v>3903</v>
      </c>
      <c r="B1170" s="40" t="s">
        <v>3353</v>
      </c>
      <c r="C1170" s="41" t="s">
        <v>3354</v>
      </c>
      <c r="D1170" s="41" t="s">
        <v>3904</v>
      </c>
      <c r="E1170" s="41"/>
      <c r="F1170" s="42" t="s">
        <v>3905</v>
      </c>
    </row>
    <row r="1171" spans="1:6">
      <c r="A1171" s="41" t="s">
        <v>3906</v>
      </c>
      <c r="B1171" s="40" t="s">
        <v>3353</v>
      </c>
      <c r="C1171" s="41" t="s">
        <v>3354</v>
      </c>
      <c r="D1171" s="41" t="s">
        <v>3907</v>
      </c>
      <c r="E1171" s="41"/>
      <c r="F1171" s="42" t="s">
        <v>3908</v>
      </c>
    </row>
    <row r="1172" spans="1:6">
      <c r="A1172" s="41" t="s">
        <v>3909</v>
      </c>
      <c r="B1172" s="40" t="s">
        <v>3353</v>
      </c>
      <c r="C1172" s="41" t="s">
        <v>3354</v>
      </c>
      <c r="D1172" s="41" t="s">
        <v>3910</v>
      </c>
      <c r="E1172" s="41"/>
      <c r="F1172" s="42" t="s">
        <v>3911</v>
      </c>
    </row>
    <row r="1173" spans="1:6">
      <c r="A1173" s="41" t="s">
        <v>3912</v>
      </c>
      <c r="B1173" s="40" t="s">
        <v>3353</v>
      </c>
      <c r="C1173" s="41" t="s">
        <v>3354</v>
      </c>
      <c r="D1173" s="41" t="s">
        <v>3913</v>
      </c>
      <c r="E1173" s="41"/>
      <c r="F1173" s="42" t="s">
        <v>3914</v>
      </c>
    </row>
    <row r="1174" spans="1:6">
      <c r="A1174" s="41" t="s">
        <v>3915</v>
      </c>
      <c r="B1174" s="40" t="s">
        <v>3353</v>
      </c>
      <c r="C1174" s="41" t="s">
        <v>3354</v>
      </c>
      <c r="D1174" s="41" t="s">
        <v>3916</v>
      </c>
      <c r="E1174" s="41"/>
      <c r="F1174" s="42" t="s">
        <v>3917</v>
      </c>
    </row>
    <row r="1175" spans="1:6">
      <c r="A1175" s="41" t="s">
        <v>3918</v>
      </c>
      <c r="B1175" s="40" t="s">
        <v>3353</v>
      </c>
      <c r="C1175" s="41" t="s">
        <v>3354</v>
      </c>
      <c r="D1175" s="41" t="s">
        <v>3919</v>
      </c>
      <c r="E1175" s="41"/>
      <c r="F1175" s="42" t="s">
        <v>3920</v>
      </c>
    </row>
    <row r="1176" spans="1:6">
      <c r="A1176" s="41" t="s">
        <v>3921</v>
      </c>
      <c r="B1176" s="40" t="s">
        <v>3353</v>
      </c>
      <c r="C1176" s="41" t="s">
        <v>3354</v>
      </c>
      <c r="D1176" s="41" t="s">
        <v>3922</v>
      </c>
      <c r="E1176" s="41"/>
      <c r="F1176" s="42" t="s">
        <v>3923</v>
      </c>
    </row>
    <row r="1177" spans="1:6">
      <c r="A1177" s="41" t="s">
        <v>3924</v>
      </c>
      <c r="B1177" s="40" t="s">
        <v>3353</v>
      </c>
      <c r="C1177" s="41" t="s">
        <v>3354</v>
      </c>
      <c r="D1177" s="41" t="s">
        <v>3925</v>
      </c>
      <c r="E1177" s="41"/>
      <c r="F1177" s="42" t="s">
        <v>3926</v>
      </c>
    </row>
    <row r="1178" spans="1:6">
      <c r="A1178" s="41" t="s">
        <v>3927</v>
      </c>
      <c r="B1178" s="40" t="s">
        <v>3353</v>
      </c>
      <c r="C1178" s="41" t="s">
        <v>3354</v>
      </c>
      <c r="D1178" s="41" t="s">
        <v>3928</v>
      </c>
      <c r="E1178" s="41"/>
      <c r="F1178" s="42" t="s">
        <v>3929</v>
      </c>
    </row>
    <row r="1179" spans="1:6">
      <c r="A1179" s="41" t="s">
        <v>3930</v>
      </c>
      <c r="B1179" s="40" t="s">
        <v>3353</v>
      </c>
      <c r="C1179" s="41" t="s">
        <v>3354</v>
      </c>
      <c r="D1179" s="41" t="s">
        <v>3931</v>
      </c>
      <c r="E1179" s="41"/>
      <c r="F1179" s="42" t="s">
        <v>3932</v>
      </c>
    </row>
    <row r="1180" spans="1:6">
      <c r="A1180" s="41" t="s">
        <v>3933</v>
      </c>
      <c r="B1180" s="40" t="s">
        <v>3353</v>
      </c>
      <c r="C1180" s="41" t="s">
        <v>3354</v>
      </c>
      <c r="D1180" s="41" t="s">
        <v>3934</v>
      </c>
      <c r="E1180" s="41"/>
      <c r="F1180" s="42" t="s">
        <v>3935</v>
      </c>
    </row>
    <row r="1181" spans="1:6">
      <c r="A1181" s="41" t="s">
        <v>3936</v>
      </c>
      <c r="B1181" s="40" t="s">
        <v>3353</v>
      </c>
      <c r="C1181" s="41" t="s">
        <v>3354</v>
      </c>
      <c r="D1181" s="41" t="s">
        <v>3937</v>
      </c>
      <c r="E1181" s="41"/>
      <c r="F1181" s="42" t="s">
        <v>3938</v>
      </c>
    </row>
    <row r="1182" spans="1:6">
      <c r="A1182" s="41" t="s">
        <v>3939</v>
      </c>
      <c r="B1182" s="40" t="s">
        <v>3353</v>
      </c>
      <c r="C1182" s="41" t="s">
        <v>3354</v>
      </c>
      <c r="D1182" s="41" t="s">
        <v>3940</v>
      </c>
      <c r="E1182" s="41"/>
      <c r="F1182" s="42" t="s">
        <v>3941</v>
      </c>
    </row>
    <row r="1183" spans="1:6">
      <c r="A1183" s="41" t="s">
        <v>3942</v>
      </c>
      <c r="B1183" s="40" t="s">
        <v>3353</v>
      </c>
      <c r="C1183" s="41" t="s">
        <v>3354</v>
      </c>
      <c r="D1183" s="41" t="s">
        <v>3943</v>
      </c>
      <c r="E1183" s="41"/>
      <c r="F1183" s="42" t="s">
        <v>3944</v>
      </c>
    </row>
    <row r="1184" spans="1:6">
      <c r="A1184" s="41" t="s">
        <v>3945</v>
      </c>
      <c r="B1184" s="40" t="s">
        <v>3353</v>
      </c>
      <c r="C1184" s="41" t="s">
        <v>3354</v>
      </c>
      <c r="D1184" s="41" t="s">
        <v>3946</v>
      </c>
      <c r="E1184" s="41"/>
      <c r="F1184" s="42" t="s">
        <v>3947</v>
      </c>
    </row>
    <row r="1185" spans="1:6">
      <c r="A1185" s="41" t="s">
        <v>3948</v>
      </c>
      <c r="B1185" s="40" t="s">
        <v>3353</v>
      </c>
      <c r="C1185" s="41" t="s">
        <v>3354</v>
      </c>
      <c r="D1185" s="41" t="s">
        <v>3949</v>
      </c>
      <c r="E1185" s="41"/>
      <c r="F1185" s="42" t="s">
        <v>3950</v>
      </c>
    </row>
    <row r="1186" spans="1:6">
      <c r="A1186" s="41" t="s">
        <v>3951</v>
      </c>
      <c r="B1186" s="40" t="s">
        <v>3353</v>
      </c>
      <c r="C1186" s="41" t="s">
        <v>3354</v>
      </c>
      <c r="D1186" s="41" t="s">
        <v>3952</v>
      </c>
      <c r="E1186" s="41"/>
      <c r="F1186" s="42" t="s">
        <v>3953</v>
      </c>
    </row>
    <row r="1187" spans="1:6">
      <c r="A1187" s="41" t="s">
        <v>3954</v>
      </c>
      <c r="B1187" s="40" t="s">
        <v>3353</v>
      </c>
      <c r="C1187" s="41" t="s">
        <v>3354</v>
      </c>
      <c r="D1187" s="41" t="s">
        <v>3955</v>
      </c>
      <c r="E1187" s="41"/>
      <c r="F1187" s="42" t="s">
        <v>3956</v>
      </c>
    </row>
    <row r="1188" spans="1:6">
      <c r="A1188" s="41" t="s">
        <v>3957</v>
      </c>
      <c r="B1188" s="40" t="s">
        <v>3353</v>
      </c>
      <c r="C1188" s="41" t="s">
        <v>3354</v>
      </c>
      <c r="D1188" s="41" t="s">
        <v>3958</v>
      </c>
      <c r="E1188" s="41"/>
      <c r="F1188" s="42" t="s">
        <v>3959</v>
      </c>
    </row>
    <row r="1189" spans="1:6">
      <c r="A1189" s="41" t="s">
        <v>3960</v>
      </c>
      <c r="B1189" s="40" t="s">
        <v>3353</v>
      </c>
      <c r="C1189" s="41" t="s">
        <v>3354</v>
      </c>
      <c r="D1189" s="41" t="s">
        <v>3961</v>
      </c>
      <c r="E1189" s="41"/>
      <c r="F1189" s="42" t="s">
        <v>3962</v>
      </c>
    </row>
    <row r="1190" spans="1:6">
      <c r="A1190" s="41" t="s">
        <v>3963</v>
      </c>
      <c r="B1190" s="40" t="s">
        <v>3353</v>
      </c>
      <c r="C1190" s="41" t="s">
        <v>3354</v>
      </c>
      <c r="D1190" s="41" t="s">
        <v>3964</v>
      </c>
      <c r="E1190" s="41"/>
      <c r="F1190" s="42" t="s">
        <v>3965</v>
      </c>
    </row>
    <row r="1191" spans="1:6">
      <c r="A1191" s="41" t="s">
        <v>3966</v>
      </c>
      <c r="B1191" s="40" t="s">
        <v>3353</v>
      </c>
      <c r="C1191" s="41" t="s">
        <v>3354</v>
      </c>
      <c r="D1191" s="41" t="s">
        <v>3967</v>
      </c>
      <c r="E1191" s="41"/>
      <c r="F1191" s="42" t="s">
        <v>3968</v>
      </c>
    </row>
    <row r="1192" spans="1:6">
      <c r="A1192" s="41" t="s">
        <v>3969</v>
      </c>
      <c r="B1192" s="40" t="s">
        <v>3353</v>
      </c>
      <c r="C1192" s="41" t="s">
        <v>3354</v>
      </c>
      <c r="D1192" s="41" t="s">
        <v>3970</v>
      </c>
      <c r="E1192" s="41"/>
      <c r="F1192" s="42" t="s">
        <v>3971</v>
      </c>
    </row>
    <row r="1193" spans="1:6">
      <c r="A1193" s="41" t="s">
        <v>3972</v>
      </c>
      <c r="B1193" s="40" t="s">
        <v>3353</v>
      </c>
      <c r="C1193" s="41" t="s">
        <v>3354</v>
      </c>
      <c r="D1193" s="41" t="s">
        <v>3973</v>
      </c>
      <c r="E1193" s="41"/>
      <c r="F1193" s="42" t="s">
        <v>3974</v>
      </c>
    </row>
    <row r="1194" spans="1:6">
      <c r="A1194" s="41" t="s">
        <v>3975</v>
      </c>
      <c r="B1194" s="40" t="s">
        <v>3353</v>
      </c>
      <c r="C1194" s="41" t="s">
        <v>3354</v>
      </c>
      <c r="D1194" s="41" t="s">
        <v>3976</v>
      </c>
      <c r="E1194" s="41"/>
      <c r="F1194" s="42" t="s">
        <v>3977</v>
      </c>
    </row>
    <row r="1195" spans="1:6">
      <c r="A1195" s="41" t="s">
        <v>3978</v>
      </c>
      <c r="B1195" s="40" t="s">
        <v>3353</v>
      </c>
      <c r="C1195" s="41" t="s">
        <v>3354</v>
      </c>
      <c r="D1195" s="41" t="s">
        <v>3979</v>
      </c>
      <c r="E1195" s="41"/>
      <c r="F1195" s="42" t="s">
        <v>3980</v>
      </c>
    </row>
    <row r="1196" spans="1:6">
      <c r="A1196" s="41" t="s">
        <v>3981</v>
      </c>
      <c r="B1196" s="40" t="s">
        <v>3353</v>
      </c>
      <c r="C1196" s="41" t="s">
        <v>3354</v>
      </c>
      <c r="D1196" s="41" t="s">
        <v>3982</v>
      </c>
      <c r="E1196" s="41"/>
      <c r="F1196" s="42" t="s">
        <v>3983</v>
      </c>
    </row>
    <row r="1197" spans="1:6">
      <c r="A1197" s="41" t="s">
        <v>3984</v>
      </c>
      <c r="B1197" s="40" t="s">
        <v>3353</v>
      </c>
      <c r="C1197" s="41" t="s">
        <v>3354</v>
      </c>
      <c r="D1197" s="41" t="s">
        <v>3985</v>
      </c>
      <c r="E1197" s="41"/>
      <c r="F1197" s="42" t="s">
        <v>3986</v>
      </c>
    </row>
    <row r="1198" spans="1:6">
      <c r="A1198" s="41" t="s">
        <v>3987</v>
      </c>
      <c r="B1198" s="40" t="s">
        <v>3353</v>
      </c>
      <c r="C1198" s="41" t="s">
        <v>3354</v>
      </c>
      <c r="D1198" s="41" t="s">
        <v>3988</v>
      </c>
      <c r="E1198" s="41"/>
      <c r="F1198" s="42" t="s">
        <v>3989</v>
      </c>
    </row>
    <row r="1199" spans="1:6">
      <c r="A1199" s="41" t="s">
        <v>3990</v>
      </c>
      <c r="B1199" s="40" t="s">
        <v>3353</v>
      </c>
      <c r="C1199" s="41" t="s">
        <v>3354</v>
      </c>
      <c r="D1199" s="41" t="s">
        <v>3991</v>
      </c>
      <c r="E1199" s="41"/>
      <c r="F1199" s="42" t="s">
        <v>3992</v>
      </c>
    </row>
    <row r="1200" spans="1:6">
      <c r="A1200" s="41" t="s">
        <v>3993</v>
      </c>
      <c r="B1200" s="40" t="s">
        <v>3353</v>
      </c>
      <c r="C1200" s="41" t="s">
        <v>3354</v>
      </c>
      <c r="D1200" s="41" t="s">
        <v>3994</v>
      </c>
      <c r="E1200" s="41"/>
      <c r="F1200" s="42" t="s">
        <v>3995</v>
      </c>
    </row>
    <row r="1201" spans="1:6">
      <c r="A1201" s="41" t="s">
        <v>3996</v>
      </c>
      <c r="B1201" s="40" t="s">
        <v>3353</v>
      </c>
      <c r="C1201" s="41" t="s">
        <v>3354</v>
      </c>
      <c r="D1201" s="41" t="s">
        <v>3997</v>
      </c>
      <c r="E1201" s="41"/>
      <c r="F1201" s="42" t="s">
        <v>3998</v>
      </c>
    </row>
    <row r="1202" spans="1:6">
      <c r="A1202" s="41" t="s">
        <v>3999</v>
      </c>
      <c r="B1202" s="40" t="s">
        <v>3353</v>
      </c>
      <c r="C1202" s="41" t="s">
        <v>3354</v>
      </c>
      <c r="D1202" s="41" t="s">
        <v>4000</v>
      </c>
      <c r="E1202" s="41"/>
      <c r="F1202" s="42" t="s">
        <v>4001</v>
      </c>
    </row>
    <row r="1203" spans="1:6">
      <c r="A1203" s="41" t="s">
        <v>4002</v>
      </c>
      <c r="B1203" s="40" t="s">
        <v>3353</v>
      </c>
      <c r="C1203" s="41" t="s">
        <v>3354</v>
      </c>
      <c r="D1203" s="41" t="s">
        <v>4003</v>
      </c>
      <c r="E1203" s="41"/>
      <c r="F1203" s="42" t="s">
        <v>4004</v>
      </c>
    </row>
    <row r="1204" spans="1:6">
      <c r="A1204" s="41" t="s">
        <v>4005</v>
      </c>
      <c r="B1204" s="40" t="s">
        <v>3353</v>
      </c>
      <c r="C1204" s="41" t="s">
        <v>3354</v>
      </c>
      <c r="D1204" s="41" t="s">
        <v>4006</v>
      </c>
      <c r="E1204" s="41"/>
      <c r="F1204" s="42" t="s">
        <v>4007</v>
      </c>
    </row>
    <row r="1205" spans="1:6">
      <c r="A1205" s="41" t="s">
        <v>4008</v>
      </c>
      <c r="B1205" s="40" t="s">
        <v>3353</v>
      </c>
      <c r="C1205" s="41" t="s">
        <v>3354</v>
      </c>
      <c r="D1205" s="41" t="s">
        <v>4009</v>
      </c>
      <c r="E1205" s="41"/>
      <c r="F1205" s="42" t="s">
        <v>4010</v>
      </c>
    </row>
    <row r="1206" spans="1:6">
      <c r="A1206" s="41" t="s">
        <v>4011</v>
      </c>
      <c r="B1206" s="40" t="s">
        <v>3353</v>
      </c>
      <c r="C1206" s="41" t="s">
        <v>3354</v>
      </c>
      <c r="D1206" s="41" t="s">
        <v>4012</v>
      </c>
      <c r="E1206" s="41"/>
      <c r="F1206" s="42" t="s">
        <v>4013</v>
      </c>
    </row>
    <row r="1207" spans="1:6">
      <c r="A1207" s="41" t="s">
        <v>4014</v>
      </c>
      <c r="B1207" s="40" t="s">
        <v>3353</v>
      </c>
      <c r="C1207" s="41" t="s">
        <v>3354</v>
      </c>
      <c r="D1207" s="41" t="s">
        <v>4015</v>
      </c>
      <c r="E1207" s="41"/>
      <c r="F1207" s="42" t="s">
        <v>4016</v>
      </c>
    </row>
    <row r="1208" spans="1:6">
      <c r="A1208" s="41" t="s">
        <v>4017</v>
      </c>
      <c r="B1208" s="40" t="s">
        <v>3353</v>
      </c>
      <c r="C1208" s="41" t="s">
        <v>3354</v>
      </c>
      <c r="D1208" s="41" t="s">
        <v>4018</v>
      </c>
      <c r="E1208" s="41"/>
      <c r="F1208" s="42" t="s">
        <v>4019</v>
      </c>
    </row>
    <row r="1209" spans="1:6">
      <c r="A1209" s="41" t="s">
        <v>4020</v>
      </c>
      <c r="B1209" s="40" t="s">
        <v>3353</v>
      </c>
      <c r="C1209" s="41" t="s">
        <v>3354</v>
      </c>
      <c r="D1209" s="41" t="s">
        <v>4021</v>
      </c>
      <c r="E1209" s="41"/>
      <c r="F1209" s="42" t="s">
        <v>4022</v>
      </c>
    </row>
    <row r="1210" spans="1:6">
      <c r="A1210" s="41" t="s">
        <v>4023</v>
      </c>
      <c r="B1210" s="40" t="s">
        <v>3353</v>
      </c>
      <c r="C1210" s="41" t="s">
        <v>3354</v>
      </c>
      <c r="D1210" s="41" t="s">
        <v>4024</v>
      </c>
      <c r="E1210" s="41"/>
      <c r="F1210" s="42" t="s">
        <v>4025</v>
      </c>
    </row>
    <row r="1211" spans="1:6">
      <c r="A1211" s="41" t="s">
        <v>4026</v>
      </c>
      <c r="B1211" s="40" t="s">
        <v>3353</v>
      </c>
      <c r="C1211" s="41" t="s">
        <v>3354</v>
      </c>
      <c r="D1211" s="41" t="s">
        <v>4027</v>
      </c>
      <c r="E1211" s="41"/>
      <c r="F1211" s="42" t="s">
        <v>4028</v>
      </c>
    </row>
    <row r="1212" spans="1:6">
      <c r="A1212" s="41" t="s">
        <v>4029</v>
      </c>
      <c r="B1212" s="40" t="s">
        <v>3353</v>
      </c>
      <c r="C1212" s="41" t="s">
        <v>3354</v>
      </c>
      <c r="D1212" s="41" t="s">
        <v>4030</v>
      </c>
      <c r="E1212" s="41"/>
      <c r="F1212" s="42" t="s">
        <v>4031</v>
      </c>
    </row>
    <row r="1213" spans="1:6">
      <c r="A1213" s="41" t="s">
        <v>4032</v>
      </c>
      <c r="B1213" s="40" t="s">
        <v>3353</v>
      </c>
      <c r="C1213" s="41" t="s">
        <v>3354</v>
      </c>
      <c r="D1213" s="41" t="s">
        <v>4033</v>
      </c>
      <c r="E1213" s="41"/>
      <c r="F1213" s="42" t="s">
        <v>4034</v>
      </c>
    </row>
    <row r="1214" spans="1:6">
      <c r="A1214" s="41" t="s">
        <v>4035</v>
      </c>
      <c r="B1214" s="40" t="s">
        <v>3353</v>
      </c>
      <c r="C1214" s="41" t="s">
        <v>3354</v>
      </c>
      <c r="D1214" s="41" t="s">
        <v>4036</v>
      </c>
      <c r="E1214" s="41"/>
      <c r="F1214" s="42" t="s">
        <v>4037</v>
      </c>
    </row>
    <row r="1215" spans="1:6">
      <c r="A1215" s="41" t="s">
        <v>4038</v>
      </c>
      <c r="B1215" s="40" t="s">
        <v>3353</v>
      </c>
      <c r="C1215" s="41" t="s">
        <v>3354</v>
      </c>
      <c r="D1215" s="41" t="s">
        <v>4039</v>
      </c>
      <c r="E1215" s="41"/>
      <c r="F1215" s="42" t="s">
        <v>4040</v>
      </c>
    </row>
    <row r="1216" spans="1:6">
      <c r="A1216" s="41" t="s">
        <v>4041</v>
      </c>
      <c r="B1216" s="40" t="s">
        <v>3353</v>
      </c>
      <c r="C1216" s="41" t="s">
        <v>3354</v>
      </c>
      <c r="D1216" s="41" t="s">
        <v>4042</v>
      </c>
      <c r="E1216" s="41"/>
      <c r="F1216" s="42" t="s">
        <v>4043</v>
      </c>
    </row>
    <row r="1217" spans="1:6">
      <c r="A1217" s="41" t="s">
        <v>4044</v>
      </c>
      <c r="B1217" s="40" t="s">
        <v>3353</v>
      </c>
      <c r="C1217" s="41" t="s">
        <v>3354</v>
      </c>
      <c r="D1217" s="41" t="s">
        <v>4045</v>
      </c>
      <c r="E1217" s="41"/>
      <c r="F1217" s="42" t="s">
        <v>4046</v>
      </c>
    </row>
    <row r="1218" spans="1:6">
      <c r="A1218" s="41" t="s">
        <v>4047</v>
      </c>
      <c r="B1218" s="40" t="s">
        <v>3353</v>
      </c>
      <c r="C1218" s="41" t="s">
        <v>3354</v>
      </c>
      <c r="D1218" s="41" t="s">
        <v>4048</v>
      </c>
      <c r="E1218" s="41"/>
      <c r="F1218" s="42" t="s">
        <v>4049</v>
      </c>
    </row>
    <row r="1219" spans="1:6">
      <c r="A1219" s="41" t="s">
        <v>4050</v>
      </c>
      <c r="B1219" s="40" t="s">
        <v>3353</v>
      </c>
      <c r="C1219" s="41" t="s">
        <v>3354</v>
      </c>
      <c r="D1219" s="41" t="s">
        <v>4051</v>
      </c>
      <c r="E1219" s="41"/>
      <c r="F1219" s="42" t="s">
        <v>4052</v>
      </c>
    </row>
    <row r="1220" spans="1:6">
      <c r="A1220" s="41" t="s">
        <v>4053</v>
      </c>
      <c r="B1220" s="40" t="s">
        <v>3353</v>
      </c>
      <c r="C1220" s="41" t="s">
        <v>3354</v>
      </c>
      <c r="D1220" s="41" t="s">
        <v>4054</v>
      </c>
      <c r="E1220" s="41"/>
      <c r="F1220" s="42" t="s">
        <v>4055</v>
      </c>
    </row>
    <row r="1221" spans="1:6">
      <c r="A1221" s="41" t="s">
        <v>4056</v>
      </c>
      <c r="B1221" s="40" t="s">
        <v>3353</v>
      </c>
      <c r="C1221" s="41" t="s">
        <v>3354</v>
      </c>
      <c r="D1221" s="41" t="s">
        <v>4057</v>
      </c>
      <c r="E1221" s="41"/>
      <c r="F1221" s="42" t="s">
        <v>4058</v>
      </c>
    </row>
    <row r="1222" spans="1:6">
      <c r="A1222" s="41" t="s">
        <v>4059</v>
      </c>
      <c r="B1222" s="40" t="s">
        <v>3353</v>
      </c>
      <c r="C1222" s="41" t="s">
        <v>3354</v>
      </c>
      <c r="D1222" s="41" t="s">
        <v>4060</v>
      </c>
      <c r="E1222" s="41"/>
      <c r="F1222" s="42" t="s">
        <v>4061</v>
      </c>
    </row>
    <row r="1223" spans="1:6">
      <c r="A1223" s="41" t="s">
        <v>4062</v>
      </c>
      <c r="B1223" s="40" t="s">
        <v>3353</v>
      </c>
      <c r="C1223" s="41" t="s">
        <v>3354</v>
      </c>
      <c r="D1223" s="41" t="s">
        <v>4063</v>
      </c>
      <c r="E1223" s="41"/>
      <c r="F1223" s="42" t="s">
        <v>4064</v>
      </c>
    </row>
    <row r="1224" spans="1:6">
      <c r="A1224" s="41" t="s">
        <v>4065</v>
      </c>
      <c r="B1224" s="40" t="s">
        <v>3353</v>
      </c>
      <c r="C1224" s="41" t="s">
        <v>3354</v>
      </c>
      <c r="D1224" s="41" t="s">
        <v>4066</v>
      </c>
      <c r="E1224" s="41"/>
      <c r="F1224" s="42" t="s">
        <v>4067</v>
      </c>
    </row>
    <row r="1225" spans="1:6">
      <c r="A1225" s="41" t="s">
        <v>4068</v>
      </c>
      <c r="B1225" s="40" t="s">
        <v>3353</v>
      </c>
      <c r="C1225" s="41" t="s">
        <v>3354</v>
      </c>
      <c r="D1225" s="41" t="s">
        <v>4069</v>
      </c>
      <c r="E1225" s="41"/>
      <c r="F1225" s="42" t="s">
        <v>4070</v>
      </c>
    </row>
    <row r="1226" spans="1:6">
      <c r="A1226" s="41" t="s">
        <v>4071</v>
      </c>
      <c r="B1226" s="40" t="s">
        <v>3353</v>
      </c>
      <c r="C1226" s="41" t="s">
        <v>3354</v>
      </c>
      <c r="D1226" s="41" t="s">
        <v>4072</v>
      </c>
      <c r="E1226" s="41"/>
      <c r="F1226" s="42" t="s">
        <v>4073</v>
      </c>
    </row>
    <row r="1227" spans="1:6">
      <c r="A1227" s="41" t="s">
        <v>4074</v>
      </c>
      <c r="B1227" s="40" t="s">
        <v>3353</v>
      </c>
      <c r="C1227" s="41" t="s">
        <v>3354</v>
      </c>
      <c r="D1227" s="41" t="s">
        <v>4075</v>
      </c>
      <c r="E1227" s="41"/>
      <c r="F1227" s="42" t="s">
        <v>4076</v>
      </c>
    </row>
    <row r="1228" spans="1:6">
      <c r="A1228" s="41" t="s">
        <v>4077</v>
      </c>
      <c r="B1228" s="40" t="s">
        <v>3353</v>
      </c>
      <c r="C1228" s="41" t="s">
        <v>3354</v>
      </c>
      <c r="D1228" s="41" t="s">
        <v>4078</v>
      </c>
      <c r="E1228" s="41"/>
      <c r="F1228" s="42" t="s">
        <v>4079</v>
      </c>
    </row>
    <row r="1229" spans="1:6">
      <c r="A1229" s="41" t="s">
        <v>4080</v>
      </c>
      <c r="B1229" s="40" t="s">
        <v>3353</v>
      </c>
      <c r="C1229" s="41" t="s">
        <v>3354</v>
      </c>
      <c r="D1229" s="41" t="s">
        <v>4081</v>
      </c>
      <c r="E1229" s="41"/>
      <c r="F1229" s="42" t="s">
        <v>4082</v>
      </c>
    </row>
    <row r="1230" spans="1:6">
      <c r="A1230" s="41" t="s">
        <v>4083</v>
      </c>
      <c r="B1230" s="40" t="s">
        <v>3353</v>
      </c>
      <c r="C1230" s="41" t="s">
        <v>3354</v>
      </c>
      <c r="D1230" s="41" t="s">
        <v>4084</v>
      </c>
      <c r="E1230" s="41"/>
      <c r="F1230" s="42" t="s">
        <v>4085</v>
      </c>
    </row>
    <row r="1231" spans="1:6">
      <c r="A1231" s="41" t="s">
        <v>4086</v>
      </c>
      <c r="B1231" s="40" t="s">
        <v>3353</v>
      </c>
      <c r="C1231" s="41" t="s">
        <v>3354</v>
      </c>
      <c r="D1231" s="41" t="s">
        <v>4087</v>
      </c>
      <c r="E1231" s="41"/>
      <c r="F1231" s="42" t="s">
        <v>4088</v>
      </c>
    </row>
    <row r="1232" spans="1:6">
      <c r="A1232" s="41" t="s">
        <v>4089</v>
      </c>
      <c r="B1232" s="40" t="s">
        <v>3353</v>
      </c>
      <c r="C1232" s="41" t="s">
        <v>3354</v>
      </c>
      <c r="D1232" s="41" t="s">
        <v>4090</v>
      </c>
      <c r="E1232" s="41"/>
      <c r="F1232" s="42" t="s">
        <v>4091</v>
      </c>
    </row>
    <row r="1233" spans="1:6">
      <c r="A1233" s="41" t="s">
        <v>4092</v>
      </c>
      <c r="B1233" s="40" t="s">
        <v>3353</v>
      </c>
      <c r="C1233" s="41" t="s">
        <v>3354</v>
      </c>
      <c r="D1233" s="41" t="s">
        <v>4093</v>
      </c>
      <c r="E1233" s="41"/>
      <c r="F1233" s="42" t="s">
        <v>4094</v>
      </c>
    </row>
    <row r="1234" spans="1:6">
      <c r="A1234" s="41" t="s">
        <v>4095</v>
      </c>
      <c r="B1234" s="40" t="s">
        <v>3353</v>
      </c>
      <c r="C1234" s="41" t="s">
        <v>3354</v>
      </c>
      <c r="D1234" s="41" t="s">
        <v>4096</v>
      </c>
      <c r="E1234" s="41"/>
      <c r="F1234" s="42" t="s">
        <v>4097</v>
      </c>
    </row>
    <row r="1235" spans="1:6">
      <c r="A1235" s="41" t="s">
        <v>4098</v>
      </c>
      <c r="B1235" s="40" t="s">
        <v>3353</v>
      </c>
      <c r="C1235" s="41" t="s">
        <v>3354</v>
      </c>
      <c r="D1235" s="41" t="s">
        <v>4099</v>
      </c>
      <c r="E1235" s="41"/>
      <c r="F1235" s="42" t="s">
        <v>4094</v>
      </c>
    </row>
    <row r="1236" spans="1:6">
      <c r="A1236" s="41" t="s">
        <v>4100</v>
      </c>
      <c r="B1236" s="40" t="s">
        <v>3353</v>
      </c>
      <c r="C1236" s="41" t="s">
        <v>3354</v>
      </c>
      <c r="D1236" s="41" t="s">
        <v>4101</v>
      </c>
      <c r="E1236" s="41"/>
      <c r="F1236" s="42" t="s">
        <v>4102</v>
      </c>
    </row>
    <row r="1237" spans="1:6">
      <c r="A1237" s="41" t="s">
        <v>4103</v>
      </c>
      <c r="B1237" s="40" t="s">
        <v>3353</v>
      </c>
      <c r="C1237" s="41" t="s">
        <v>3354</v>
      </c>
      <c r="D1237" s="41" t="s">
        <v>4104</v>
      </c>
      <c r="E1237" s="41"/>
      <c r="F1237" s="42" t="s">
        <v>4105</v>
      </c>
    </row>
    <row r="1238" spans="1:6">
      <c r="A1238" s="41" t="s">
        <v>4106</v>
      </c>
      <c r="B1238" s="40" t="s">
        <v>3353</v>
      </c>
      <c r="C1238" s="41" t="s">
        <v>3354</v>
      </c>
      <c r="D1238" s="41" t="s">
        <v>4107</v>
      </c>
      <c r="E1238" s="41"/>
      <c r="F1238" s="42" t="s">
        <v>4108</v>
      </c>
    </row>
    <row r="1239" spans="1:6">
      <c r="A1239" s="41" t="s">
        <v>4109</v>
      </c>
      <c r="B1239" s="40" t="s">
        <v>3353</v>
      </c>
      <c r="C1239" s="41" t="s">
        <v>3354</v>
      </c>
      <c r="D1239" s="41" t="s">
        <v>4110</v>
      </c>
      <c r="E1239" s="41"/>
      <c r="F1239" s="42" t="s">
        <v>4111</v>
      </c>
    </row>
    <row r="1240" spans="1:6">
      <c r="A1240" s="41" t="s">
        <v>4112</v>
      </c>
      <c r="B1240" s="40" t="s">
        <v>3353</v>
      </c>
      <c r="C1240" s="41" t="s">
        <v>3354</v>
      </c>
      <c r="D1240" s="41" t="s">
        <v>4113</v>
      </c>
      <c r="E1240" s="41"/>
      <c r="F1240" s="42" t="s">
        <v>4114</v>
      </c>
    </row>
    <row r="1241" spans="1:6">
      <c r="A1241" s="41" t="s">
        <v>4115</v>
      </c>
      <c r="B1241" s="40" t="s">
        <v>3353</v>
      </c>
      <c r="C1241" s="41" t="s">
        <v>3354</v>
      </c>
      <c r="D1241" s="41" t="s">
        <v>4116</v>
      </c>
      <c r="E1241" s="41"/>
      <c r="F1241" s="42" t="s">
        <v>4117</v>
      </c>
    </row>
    <row r="1242" spans="1:6">
      <c r="A1242" s="41" t="s">
        <v>4118</v>
      </c>
      <c r="B1242" s="40" t="s">
        <v>3353</v>
      </c>
      <c r="C1242" s="41" t="s">
        <v>3354</v>
      </c>
      <c r="D1242" s="41" t="s">
        <v>4119</v>
      </c>
      <c r="E1242" s="41"/>
      <c r="F1242" s="42" t="s">
        <v>4120</v>
      </c>
    </row>
    <row r="1243" spans="1:6">
      <c r="A1243" s="41" t="s">
        <v>4121</v>
      </c>
      <c r="B1243" s="40" t="s">
        <v>3353</v>
      </c>
      <c r="C1243" s="41" t="s">
        <v>3354</v>
      </c>
      <c r="D1243" s="41" t="s">
        <v>4122</v>
      </c>
      <c r="E1243" s="41"/>
      <c r="F1243" s="42" t="s">
        <v>4123</v>
      </c>
    </row>
    <row r="1244" spans="1:6">
      <c r="A1244" s="41" t="s">
        <v>4124</v>
      </c>
      <c r="B1244" s="40" t="s">
        <v>3353</v>
      </c>
      <c r="C1244" s="41" t="s">
        <v>3354</v>
      </c>
      <c r="D1244" s="41" t="s">
        <v>4125</v>
      </c>
      <c r="E1244" s="41"/>
      <c r="F1244" s="42" t="s">
        <v>4126</v>
      </c>
    </row>
    <row r="1245" spans="1:6">
      <c r="A1245" s="41" t="s">
        <v>4127</v>
      </c>
      <c r="B1245" s="40" t="s">
        <v>3353</v>
      </c>
      <c r="C1245" s="41" t="s">
        <v>3354</v>
      </c>
      <c r="D1245" s="41" t="s">
        <v>4128</v>
      </c>
      <c r="E1245" s="41"/>
      <c r="F1245" s="42" t="s">
        <v>4129</v>
      </c>
    </row>
    <row r="1246" spans="1:6">
      <c r="A1246" s="41" t="s">
        <v>4130</v>
      </c>
      <c r="B1246" s="40" t="s">
        <v>3353</v>
      </c>
      <c r="C1246" s="41" t="s">
        <v>3354</v>
      </c>
      <c r="D1246" s="41" t="s">
        <v>4131</v>
      </c>
      <c r="E1246" s="41"/>
      <c r="F1246" s="42" t="s">
        <v>4132</v>
      </c>
    </row>
    <row r="1247" spans="1:6">
      <c r="A1247" s="41" t="s">
        <v>4133</v>
      </c>
      <c r="B1247" s="40" t="s">
        <v>3353</v>
      </c>
      <c r="C1247" s="41" t="s">
        <v>3354</v>
      </c>
      <c r="D1247" s="41" t="s">
        <v>4134</v>
      </c>
      <c r="E1247" s="41"/>
      <c r="F1247" s="42" t="s">
        <v>4135</v>
      </c>
    </row>
    <row r="1248" spans="1:6">
      <c r="A1248" s="41" t="s">
        <v>4136</v>
      </c>
      <c r="B1248" s="40" t="s">
        <v>3353</v>
      </c>
      <c r="C1248" s="41" t="s">
        <v>3354</v>
      </c>
      <c r="D1248" s="41" t="s">
        <v>4137</v>
      </c>
      <c r="E1248" s="41"/>
      <c r="F1248" s="42" t="s">
        <v>4138</v>
      </c>
    </row>
    <row r="1249" spans="1:6">
      <c r="A1249" s="41" t="s">
        <v>4139</v>
      </c>
      <c r="B1249" s="40" t="s">
        <v>3353</v>
      </c>
      <c r="C1249" s="41" t="s">
        <v>3354</v>
      </c>
      <c r="D1249" s="41" t="s">
        <v>4140</v>
      </c>
      <c r="E1249" s="41"/>
      <c r="F1249" s="42" t="s">
        <v>4141</v>
      </c>
    </row>
    <row r="1250" spans="1:6">
      <c r="A1250" s="41" t="s">
        <v>4142</v>
      </c>
      <c r="B1250" s="40" t="s">
        <v>3353</v>
      </c>
      <c r="C1250" s="41" t="s">
        <v>3354</v>
      </c>
      <c r="D1250" s="41" t="s">
        <v>4143</v>
      </c>
      <c r="E1250" s="41"/>
      <c r="F1250" s="42" t="s">
        <v>4144</v>
      </c>
    </row>
    <row r="1251" spans="1:6">
      <c r="A1251" s="41" t="s">
        <v>4145</v>
      </c>
      <c r="B1251" s="40" t="s">
        <v>3353</v>
      </c>
      <c r="C1251" s="41" t="s">
        <v>3354</v>
      </c>
      <c r="D1251" s="41" t="s">
        <v>4146</v>
      </c>
      <c r="E1251" s="41"/>
      <c r="F1251" s="42" t="s">
        <v>4147</v>
      </c>
    </row>
    <row r="1252" spans="1:6">
      <c r="A1252" s="41" t="s">
        <v>4148</v>
      </c>
      <c r="B1252" s="40" t="s">
        <v>3353</v>
      </c>
      <c r="C1252" s="41" t="s">
        <v>3354</v>
      </c>
      <c r="D1252" s="41" t="s">
        <v>4149</v>
      </c>
      <c r="E1252" s="41"/>
      <c r="F1252" s="42" t="s">
        <v>4150</v>
      </c>
    </row>
    <row r="1253" spans="1:6">
      <c r="A1253" s="41" t="s">
        <v>4151</v>
      </c>
      <c r="B1253" s="40" t="s">
        <v>3353</v>
      </c>
      <c r="C1253" s="41" t="s">
        <v>3354</v>
      </c>
      <c r="D1253" s="41" t="s">
        <v>4152</v>
      </c>
      <c r="E1253" s="41"/>
      <c r="F1253" s="42" t="s">
        <v>4153</v>
      </c>
    </row>
    <row r="1254" spans="1:6">
      <c r="A1254" s="41" t="s">
        <v>4154</v>
      </c>
      <c r="B1254" s="40" t="s">
        <v>3353</v>
      </c>
      <c r="C1254" s="41" t="s">
        <v>3354</v>
      </c>
      <c r="D1254" s="41" t="s">
        <v>4155</v>
      </c>
      <c r="E1254" s="41"/>
      <c r="F1254" s="42" t="s">
        <v>4156</v>
      </c>
    </row>
    <row r="1255" spans="1:6">
      <c r="A1255" s="41" t="s">
        <v>4157</v>
      </c>
      <c r="B1255" s="40" t="s">
        <v>3353</v>
      </c>
      <c r="C1255" s="41" t="s">
        <v>3354</v>
      </c>
      <c r="D1255" s="41" t="s">
        <v>4158</v>
      </c>
      <c r="E1255" s="41"/>
      <c r="F1255" s="42" t="s">
        <v>4159</v>
      </c>
    </row>
    <row r="1256" spans="1:6">
      <c r="A1256" s="41" t="s">
        <v>4160</v>
      </c>
      <c r="B1256" s="40" t="s">
        <v>3353</v>
      </c>
      <c r="C1256" s="41" t="s">
        <v>3354</v>
      </c>
      <c r="D1256" s="41" t="s">
        <v>4161</v>
      </c>
      <c r="E1256" s="41"/>
      <c r="F1256" s="42" t="s">
        <v>4162</v>
      </c>
    </row>
    <row r="1257" spans="1:6">
      <c r="A1257" s="41" t="s">
        <v>4163</v>
      </c>
      <c r="B1257" s="40" t="s">
        <v>3353</v>
      </c>
      <c r="C1257" s="41" t="s">
        <v>3354</v>
      </c>
      <c r="D1257" s="41" t="s">
        <v>4164</v>
      </c>
      <c r="E1257" s="41"/>
      <c r="F1257" s="42" t="s">
        <v>4165</v>
      </c>
    </row>
    <row r="1258" spans="1:6">
      <c r="A1258" s="41" t="s">
        <v>4166</v>
      </c>
      <c r="B1258" s="40" t="s">
        <v>3353</v>
      </c>
      <c r="C1258" s="41" t="s">
        <v>3354</v>
      </c>
      <c r="D1258" s="41" t="s">
        <v>4167</v>
      </c>
      <c r="E1258" s="41"/>
      <c r="F1258" s="42" t="s">
        <v>4168</v>
      </c>
    </row>
    <row r="1259" spans="1:6">
      <c r="A1259" s="41" t="s">
        <v>4169</v>
      </c>
      <c r="B1259" s="40" t="s">
        <v>3353</v>
      </c>
      <c r="C1259" s="41" t="s">
        <v>3354</v>
      </c>
      <c r="D1259" s="41" t="s">
        <v>4170</v>
      </c>
      <c r="E1259" s="41"/>
      <c r="F1259" s="42" t="s">
        <v>4171</v>
      </c>
    </row>
    <row r="1260" spans="1:6">
      <c r="A1260" s="41" t="s">
        <v>4172</v>
      </c>
      <c r="B1260" s="40" t="s">
        <v>3353</v>
      </c>
      <c r="C1260" s="41" t="s">
        <v>3354</v>
      </c>
      <c r="D1260" s="41" t="s">
        <v>4173</v>
      </c>
      <c r="E1260" s="41"/>
      <c r="F1260" s="42" t="s">
        <v>4174</v>
      </c>
    </row>
    <row r="1261" spans="1:6">
      <c r="A1261" s="41" t="s">
        <v>4175</v>
      </c>
      <c r="B1261" s="40" t="s">
        <v>3353</v>
      </c>
      <c r="C1261" s="41" t="s">
        <v>3354</v>
      </c>
      <c r="D1261" s="41" t="s">
        <v>4176</v>
      </c>
      <c r="E1261" s="41"/>
      <c r="F1261" s="42" t="s">
        <v>4177</v>
      </c>
    </row>
    <row r="1262" spans="1:6">
      <c r="A1262" s="41" t="s">
        <v>4178</v>
      </c>
      <c r="B1262" s="40" t="s">
        <v>3353</v>
      </c>
      <c r="C1262" s="41" t="s">
        <v>3354</v>
      </c>
      <c r="D1262" s="41" t="s">
        <v>4179</v>
      </c>
      <c r="E1262" s="41"/>
      <c r="F1262" s="42" t="s">
        <v>4180</v>
      </c>
    </row>
    <row r="1263" spans="1:6">
      <c r="A1263" s="41" t="s">
        <v>4181</v>
      </c>
      <c r="B1263" s="40" t="s">
        <v>3353</v>
      </c>
      <c r="C1263" s="41" t="s">
        <v>3354</v>
      </c>
      <c r="D1263" s="41" t="s">
        <v>4182</v>
      </c>
      <c r="E1263" s="41"/>
      <c r="F1263" s="42" t="s">
        <v>4183</v>
      </c>
    </row>
    <row r="1264" spans="1:6">
      <c r="A1264" s="41" t="s">
        <v>4184</v>
      </c>
      <c r="B1264" s="40" t="s">
        <v>3353</v>
      </c>
      <c r="C1264" s="41" t="s">
        <v>3354</v>
      </c>
      <c r="D1264" s="41" t="s">
        <v>4185</v>
      </c>
      <c r="E1264" s="41"/>
      <c r="F1264" s="42" t="s">
        <v>4186</v>
      </c>
    </row>
    <row r="1265" spans="1:6">
      <c r="A1265" s="41" t="s">
        <v>4187</v>
      </c>
      <c r="B1265" s="40" t="s">
        <v>3353</v>
      </c>
      <c r="C1265" s="41" t="s">
        <v>3354</v>
      </c>
      <c r="D1265" s="41" t="s">
        <v>4188</v>
      </c>
      <c r="E1265" s="41"/>
      <c r="F1265" s="42" t="s">
        <v>4189</v>
      </c>
    </row>
    <row r="1266" spans="1:6">
      <c r="A1266" s="41" t="s">
        <v>4190</v>
      </c>
      <c r="B1266" s="40" t="s">
        <v>3353</v>
      </c>
      <c r="C1266" s="41" t="s">
        <v>3354</v>
      </c>
      <c r="D1266" s="41" t="s">
        <v>4191</v>
      </c>
      <c r="E1266" s="41"/>
      <c r="F1266" s="42" t="s">
        <v>4192</v>
      </c>
    </row>
    <row r="1267" spans="1:6">
      <c r="A1267" s="41" t="s">
        <v>4193</v>
      </c>
      <c r="B1267" s="40" t="s">
        <v>3353</v>
      </c>
      <c r="C1267" s="41" t="s">
        <v>3354</v>
      </c>
      <c r="D1267" s="41" t="s">
        <v>4194</v>
      </c>
      <c r="E1267" s="41"/>
      <c r="F1267" s="42" t="s">
        <v>4195</v>
      </c>
    </row>
    <row r="1268" spans="1:6">
      <c r="A1268" s="41" t="s">
        <v>4196</v>
      </c>
      <c r="B1268" s="40" t="s">
        <v>3353</v>
      </c>
      <c r="C1268" s="41" t="s">
        <v>3354</v>
      </c>
      <c r="D1268" s="41" t="s">
        <v>4197</v>
      </c>
      <c r="E1268" s="41"/>
      <c r="F1268" s="42" t="s">
        <v>4198</v>
      </c>
    </row>
    <row r="1269" spans="1:6">
      <c r="A1269" s="41" t="s">
        <v>4199</v>
      </c>
      <c r="B1269" s="40" t="s">
        <v>3353</v>
      </c>
      <c r="C1269" s="41" t="s">
        <v>3354</v>
      </c>
      <c r="D1269" s="41" t="s">
        <v>4200</v>
      </c>
      <c r="E1269" s="41"/>
      <c r="F1269" s="42" t="s">
        <v>4201</v>
      </c>
    </row>
    <row r="1270" spans="1:6">
      <c r="A1270" s="41" t="s">
        <v>4202</v>
      </c>
      <c r="B1270" s="40" t="s">
        <v>3353</v>
      </c>
      <c r="C1270" s="41" t="s">
        <v>3354</v>
      </c>
      <c r="D1270" s="41" t="s">
        <v>4203</v>
      </c>
      <c r="E1270" s="41"/>
      <c r="F1270" s="42" t="s">
        <v>4204</v>
      </c>
    </row>
    <row r="1271" spans="1:6">
      <c r="A1271" s="41" t="s">
        <v>4205</v>
      </c>
      <c r="B1271" s="40" t="s">
        <v>3353</v>
      </c>
      <c r="C1271" s="41" t="s">
        <v>3354</v>
      </c>
      <c r="D1271" s="41" t="s">
        <v>4206</v>
      </c>
      <c r="E1271" s="41"/>
      <c r="F1271" s="42" t="s">
        <v>4207</v>
      </c>
    </row>
    <row r="1272" spans="1:6">
      <c r="A1272" s="41" t="s">
        <v>4208</v>
      </c>
      <c r="B1272" s="40" t="s">
        <v>3353</v>
      </c>
      <c r="C1272" s="41" t="s">
        <v>3354</v>
      </c>
      <c r="D1272" s="41" t="s">
        <v>4209</v>
      </c>
      <c r="E1272" s="41"/>
      <c r="F1272" s="42" t="s">
        <v>4210</v>
      </c>
    </row>
    <row r="1273" spans="1:6">
      <c r="A1273" s="41" t="s">
        <v>4211</v>
      </c>
      <c r="B1273" s="40" t="s">
        <v>3353</v>
      </c>
      <c r="C1273" s="41" t="s">
        <v>3354</v>
      </c>
      <c r="D1273" s="41" t="s">
        <v>4212</v>
      </c>
      <c r="E1273" s="41"/>
      <c r="F1273" s="42" t="s">
        <v>4213</v>
      </c>
    </row>
    <row r="1274" spans="1:6">
      <c r="A1274" s="41" t="s">
        <v>4214</v>
      </c>
      <c r="B1274" s="40" t="s">
        <v>3353</v>
      </c>
      <c r="C1274" s="41" t="s">
        <v>3354</v>
      </c>
      <c r="D1274" s="41" t="s">
        <v>4215</v>
      </c>
      <c r="E1274" s="41"/>
      <c r="F1274" s="42" t="s">
        <v>4216</v>
      </c>
    </row>
    <row r="1275" spans="1:6">
      <c r="A1275" s="41" t="s">
        <v>4217</v>
      </c>
      <c r="B1275" s="40" t="s">
        <v>3353</v>
      </c>
      <c r="C1275" s="41" t="s">
        <v>3354</v>
      </c>
      <c r="D1275" s="41" t="s">
        <v>4218</v>
      </c>
      <c r="E1275" s="41"/>
      <c r="F1275" s="42" t="s">
        <v>4219</v>
      </c>
    </row>
    <row r="1276" spans="1:6">
      <c r="A1276" s="41" t="s">
        <v>4220</v>
      </c>
      <c r="B1276" s="40" t="s">
        <v>3353</v>
      </c>
      <c r="C1276" s="41" t="s">
        <v>3354</v>
      </c>
      <c r="D1276" s="41" t="s">
        <v>4221</v>
      </c>
      <c r="E1276" s="41"/>
      <c r="F1276" s="42" t="s">
        <v>4222</v>
      </c>
    </row>
    <row r="1277" spans="1:6">
      <c r="A1277" s="41" t="s">
        <v>4223</v>
      </c>
      <c r="B1277" s="40" t="s">
        <v>3353</v>
      </c>
      <c r="C1277" s="41" t="s">
        <v>3354</v>
      </c>
      <c r="D1277" s="41" t="s">
        <v>4224</v>
      </c>
      <c r="E1277" s="41"/>
      <c r="F1277" s="42" t="s">
        <v>4225</v>
      </c>
    </row>
    <row r="1278" spans="1:6">
      <c r="A1278" s="41" t="s">
        <v>4226</v>
      </c>
      <c r="B1278" s="40" t="s">
        <v>3353</v>
      </c>
      <c r="C1278" s="41" t="s">
        <v>3354</v>
      </c>
      <c r="D1278" s="41" t="s">
        <v>4227</v>
      </c>
      <c r="E1278" s="41"/>
      <c r="F1278" s="42" t="s">
        <v>4228</v>
      </c>
    </row>
    <row r="1279" spans="1:6">
      <c r="A1279" s="41" t="s">
        <v>4229</v>
      </c>
      <c r="B1279" s="40" t="s">
        <v>3353</v>
      </c>
      <c r="C1279" s="41" t="s">
        <v>3354</v>
      </c>
      <c r="D1279" s="41" t="s">
        <v>4230</v>
      </c>
      <c r="E1279" s="41"/>
      <c r="F1279" s="42" t="s">
        <v>4231</v>
      </c>
    </row>
    <row r="1280" spans="1:6">
      <c r="A1280" s="41" t="s">
        <v>4232</v>
      </c>
      <c r="B1280" s="40" t="s">
        <v>3353</v>
      </c>
      <c r="C1280" s="41" t="s">
        <v>3354</v>
      </c>
      <c r="D1280" s="41" t="s">
        <v>4233</v>
      </c>
      <c r="E1280" s="41"/>
      <c r="F1280" s="42" t="s">
        <v>4234</v>
      </c>
    </row>
    <row r="1281" spans="1:6">
      <c r="A1281" s="41" t="s">
        <v>4235</v>
      </c>
      <c r="B1281" s="40" t="s">
        <v>3353</v>
      </c>
      <c r="C1281" s="41" t="s">
        <v>3354</v>
      </c>
      <c r="D1281" s="41" t="s">
        <v>4236</v>
      </c>
      <c r="E1281" s="41"/>
      <c r="F1281" s="42" t="s">
        <v>4237</v>
      </c>
    </row>
    <row r="1282" spans="1:6">
      <c r="A1282" s="41" t="s">
        <v>4238</v>
      </c>
      <c r="B1282" s="40" t="s">
        <v>3353</v>
      </c>
      <c r="C1282" s="41" t="s">
        <v>3354</v>
      </c>
      <c r="D1282" s="41" t="s">
        <v>4239</v>
      </c>
      <c r="E1282" s="41"/>
      <c r="F1282" s="42" t="s">
        <v>4240</v>
      </c>
    </row>
    <row r="1283" spans="1:6">
      <c r="A1283" s="41" t="s">
        <v>4241</v>
      </c>
      <c r="B1283" s="40" t="s">
        <v>3353</v>
      </c>
      <c r="C1283" s="41" t="s">
        <v>3354</v>
      </c>
      <c r="D1283" s="41" t="s">
        <v>4242</v>
      </c>
      <c r="E1283" s="41"/>
      <c r="F1283" s="42" t="s">
        <v>4243</v>
      </c>
    </row>
    <row r="1284" spans="1:6">
      <c r="A1284" s="41" t="s">
        <v>4244</v>
      </c>
      <c r="B1284" s="40" t="s">
        <v>3353</v>
      </c>
      <c r="C1284" s="41" t="s">
        <v>3354</v>
      </c>
      <c r="D1284" s="41" t="s">
        <v>4245</v>
      </c>
      <c r="E1284" s="41"/>
      <c r="F1284" s="42" t="s">
        <v>4246</v>
      </c>
    </row>
    <row r="1285" spans="1:6">
      <c r="A1285" s="41" t="s">
        <v>4247</v>
      </c>
      <c r="B1285" s="40" t="s">
        <v>3353</v>
      </c>
      <c r="C1285" s="41" t="s">
        <v>3354</v>
      </c>
      <c r="D1285" s="41" t="s">
        <v>4248</v>
      </c>
      <c r="E1285" s="41"/>
      <c r="F1285" s="42" t="s">
        <v>4249</v>
      </c>
    </row>
    <row r="1286" spans="1:6">
      <c r="A1286" s="41" t="s">
        <v>4250</v>
      </c>
      <c r="B1286" s="40" t="s">
        <v>3353</v>
      </c>
      <c r="C1286" s="41" t="s">
        <v>3354</v>
      </c>
      <c r="D1286" s="41" t="s">
        <v>4251</v>
      </c>
      <c r="E1286" s="41"/>
      <c r="F1286" s="42" t="s">
        <v>4252</v>
      </c>
    </row>
    <row r="1287" spans="1:6">
      <c r="A1287" s="41" t="s">
        <v>4253</v>
      </c>
      <c r="B1287" s="40" t="s">
        <v>3353</v>
      </c>
      <c r="C1287" s="41" t="s">
        <v>3354</v>
      </c>
      <c r="D1287" s="41" t="s">
        <v>4254</v>
      </c>
      <c r="E1287" s="41"/>
      <c r="F1287" s="42" t="s">
        <v>4255</v>
      </c>
    </row>
    <row r="1288" spans="1:6">
      <c r="A1288" s="41" t="s">
        <v>4256</v>
      </c>
      <c r="B1288" s="40" t="s">
        <v>3353</v>
      </c>
      <c r="C1288" s="41" t="s">
        <v>3354</v>
      </c>
      <c r="D1288" s="41" t="s">
        <v>4257</v>
      </c>
      <c r="E1288" s="41"/>
      <c r="F1288" s="42" t="s">
        <v>4258</v>
      </c>
    </row>
    <row r="1289" spans="1:6">
      <c r="A1289" s="41" t="s">
        <v>4259</v>
      </c>
      <c r="B1289" s="40" t="s">
        <v>3353</v>
      </c>
      <c r="C1289" s="41" t="s">
        <v>3354</v>
      </c>
      <c r="D1289" s="41" t="s">
        <v>4260</v>
      </c>
      <c r="E1289" s="41"/>
      <c r="F1289" s="42" t="s">
        <v>4261</v>
      </c>
    </row>
    <row r="1290" spans="1:6">
      <c r="A1290" s="41" t="s">
        <v>4262</v>
      </c>
      <c r="B1290" s="40" t="s">
        <v>3353</v>
      </c>
      <c r="C1290" s="41" t="s">
        <v>3354</v>
      </c>
      <c r="D1290" s="41" t="s">
        <v>4263</v>
      </c>
      <c r="E1290" s="41"/>
      <c r="F1290" s="42" t="s">
        <v>4264</v>
      </c>
    </row>
    <row r="1291" spans="1:6">
      <c r="A1291" s="41" t="s">
        <v>4265</v>
      </c>
      <c r="B1291" s="40" t="s">
        <v>3353</v>
      </c>
      <c r="C1291" s="41" t="s">
        <v>3354</v>
      </c>
      <c r="D1291" s="41" t="s">
        <v>4266</v>
      </c>
      <c r="E1291" s="41"/>
      <c r="F1291" s="42" t="s">
        <v>4267</v>
      </c>
    </row>
    <row r="1292" spans="1:6">
      <c r="A1292" s="41" t="s">
        <v>4268</v>
      </c>
      <c r="B1292" s="40" t="s">
        <v>3353</v>
      </c>
      <c r="C1292" s="41" t="s">
        <v>3354</v>
      </c>
      <c r="D1292" s="41" t="s">
        <v>4269</v>
      </c>
      <c r="E1292" s="41"/>
      <c r="F1292" s="42" t="s">
        <v>4270</v>
      </c>
    </row>
    <row r="1293" spans="1:6">
      <c r="A1293" s="41" t="s">
        <v>4271</v>
      </c>
      <c r="B1293" s="40" t="s">
        <v>3353</v>
      </c>
      <c r="C1293" s="41" t="s">
        <v>3354</v>
      </c>
      <c r="D1293" s="41" t="s">
        <v>4272</v>
      </c>
      <c r="E1293" s="41"/>
      <c r="F1293" s="42" t="s">
        <v>4273</v>
      </c>
    </row>
    <row r="1294" spans="1:6">
      <c r="A1294" s="41" t="s">
        <v>4274</v>
      </c>
      <c r="B1294" s="40" t="s">
        <v>3353</v>
      </c>
      <c r="C1294" s="41" t="s">
        <v>3354</v>
      </c>
      <c r="D1294" s="41" t="s">
        <v>4275</v>
      </c>
      <c r="E1294" s="41"/>
      <c r="F1294" s="42" t="s">
        <v>4276</v>
      </c>
    </row>
    <row r="1295" spans="1:6">
      <c r="A1295" s="41" t="s">
        <v>4277</v>
      </c>
      <c r="B1295" s="40" t="s">
        <v>3353</v>
      </c>
      <c r="C1295" s="41" t="s">
        <v>3354</v>
      </c>
      <c r="D1295" s="41" t="s">
        <v>4278</v>
      </c>
      <c r="E1295" s="41"/>
      <c r="F1295" s="42" t="s">
        <v>4279</v>
      </c>
    </row>
    <row r="1296" spans="1:6">
      <c r="A1296" s="41" t="s">
        <v>4280</v>
      </c>
      <c r="B1296" s="40" t="s">
        <v>3353</v>
      </c>
      <c r="C1296" s="41" t="s">
        <v>3354</v>
      </c>
      <c r="D1296" s="41" t="s">
        <v>4281</v>
      </c>
      <c r="E1296" s="41"/>
      <c r="F1296" s="42" t="s">
        <v>4282</v>
      </c>
    </row>
    <row r="1297" spans="1:6">
      <c r="A1297" s="41" t="s">
        <v>4283</v>
      </c>
      <c r="B1297" s="40" t="s">
        <v>3353</v>
      </c>
      <c r="C1297" s="41" t="s">
        <v>3354</v>
      </c>
      <c r="D1297" s="41" t="s">
        <v>4284</v>
      </c>
      <c r="E1297" s="41"/>
      <c r="F1297" s="42" t="s">
        <v>4285</v>
      </c>
    </row>
    <row r="1298" spans="1:6">
      <c r="A1298" s="41" t="s">
        <v>4286</v>
      </c>
      <c r="B1298" s="40" t="s">
        <v>3353</v>
      </c>
      <c r="C1298" s="41" t="s">
        <v>3354</v>
      </c>
      <c r="D1298" s="41" t="s">
        <v>4287</v>
      </c>
      <c r="E1298" s="41"/>
      <c r="F1298" s="42" t="s">
        <v>4288</v>
      </c>
    </row>
    <row r="1299" spans="1:6">
      <c r="A1299" s="41" t="s">
        <v>4289</v>
      </c>
      <c r="B1299" s="40" t="s">
        <v>3353</v>
      </c>
      <c r="C1299" s="41" t="s">
        <v>3354</v>
      </c>
      <c r="D1299" s="41" t="s">
        <v>4290</v>
      </c>
      <c r="E1299" s="41"/>
      <c r="F1299" s="42" t="s">
        <v>4291</v>
      </c>
    </row>
    <row r="1300" spans="1:6">
      <c r="A1300" s="41" t="s">
        <v>4292</v>
      </c>
      <c r="B1300" s="40" t="s">
        <v>3353</v>
      </c>
      <c r="C1300" s="41" t="s">
        <v>3354</v>
      </c>
      <c r="D1300" s="41" t="s">
        <v>4293</v>
      </c>
      <c r="E1300" s="41"/>
      <c r="F1300" s="42" t="s">
        <v>4294</v>
      </c>
    </row>
    <row r="1301" spans="1:6">
      <c r="A1301" s="41" t="s">
        <v>4295</v>
      </c>
      <c r="B1301" s="40" t="s">
        <v>3353</v>
      </c>
      <c r="C1301" s="41" t="s">
        <v>3354</v>
      </c>
      <c r="D1301" s="41" t="s">
        <v>4296</v>
      </c>
      <c r="E1301" s="41"/>
      <c r="F1301" s="42" t="s">
        <v>4297</v>
      </c>
    </row>
    <row r="1302" spans="1:6">
      <c r="A1302" s="41" t="s">
        <v>4298</v>
      </c>
      <c r="B1302" s="40" t="s">
        <v>3353</v>
      </c>
      <c r="C1302" s="41" t="s">
        <v>3354</v>
      </c>
      <c r="D1302" s="41" t="s">
        <v>4299</v>
      </c>
      <c r="E1302" s="41"/>
      <c r="F1302" s="42" t="s">
        <v>4300</v>
      </c>
    </row>
    <row r="1303" spans="1:6">
      <c r="A1303" s="41" t="s">
        <v>4301</v>
      </c>
      <c r="B1303" s="40" t="s">
        <v>3353</v>
      </c>
      <c r="C1303" s="41" t="s">
        <v>3354</v>
      </c>
      <c r="D1303" s="41" t="s">
        <v>4302</v>
      </c>
      <c r="E1303" s="41"/>
      <c r="F1303" s="42" t="s">
        <v>4303</v>
      </c>
    </row>
    <row r="1304" spans="1:6">
      <c r="A1304" s="41" t="s">
        <v>4304</v>
      </c>
      <c r="B1304" s="40" t="s">
        <v>3353</v>
      </c>
      <c r="C1304" s="41" t="s">
        <v>3354</v>
      </c>
      <c r="D1304" s="41" t="s">
        <v>4305</v>
      </c>
      <c r="E1304" s="41"/>
      <c r="F1304" s="42" t="s">
        <v>4306</v>
      </c>
    </row>
    <row r="1305" spans="1:6">
      <c r="A1305" s="41" t="s">
        <v>4307</v>
      </c>
      <c r="B1305" s="40" t="s">
        <v>3353</v>
      </c>
      <c r="C1305" s="41" t="s">
        <v>3354</v>
      </c>
      <c r="D1305" s="41" t="s">
        <v>4308</v>
      </c>
      <c r="E1305" s="41"/>
      <c r="F1305" s="42" t="s">
        <v>4309</v>
      </c>
    </row>
    <row r="1306" spans="1:6">
      <c r="A1306" s="41" t="s">
        <v>4310</v>
      </c>
      <c r="B1306" s="40" t="s">
        <v>3353</v>
      </c>
      <c r="C1306" s="41" t="s">
        <v>3354</v>
      </c>
      <c r="D1306" s="41" t="s">
        <v>4311</v>
      </c>
      <c r="E1306" s="41"/>
      <c r="F1306" s="42" t="s">
        <v>4312</v>
      </c>
    </row>
    <row r="1307" spans="1:6">
      <c r="A1307" s="41" t="s">
        <v>4313</v>
      </c>
      <c r="B1307" s="40" t="s">
        <v>3353</v>
      </c>
      <c r="C1307" s="41" t="s">
        <v>3354</v>
      </c>
      <c r="D1307" s="41" t="s">
        <v>4314</v>
      </c>
      <c r="E1307" s="41"/>
      <c r="F1307" s="42" t="s">
        <v>4315</v>
      </c>
    </row>
    <row r="1308" spans="1:6">
      <c r="A1308" s="41" t="s">
        <v>4316</v>
      </c>
      <c r="B1308" s="40" t="s">
        <v>3353</v>
      </c>
      <c r="C1308" s="41" t="s">
        <v>3354</v>
      </c>
      <c r="D1308" s="41" t="s">
        <v>4317</v>
      </c>
      <c r="E1308" s="41"/>
      <c r="F1308" s="42" t="s">
        <v>4318</v>
      </c>
    </row>
    <row r="1309" spans="1:6">
      <c r="A1309" s="41" t="s">
        <v>4319</v>
      </c>
      <c r="B1309" s="40" t="s">
        <v>3353</v>
      </c>
      <c r="C1309" s="41" t="s">
        <v>3354</v>
      </c>
      <c r="D1309" s="41" t="s">
        <v>4320</v>
      </c>
      <c r="E1309" s="41"/>
      <c r="F1309" s="42" t="s">
        <v>4321</v>
      </c>
    </row>
    <row r="1310" spans="1:6">
      <c r="A1310" s="41" t="s">
        <v>4322</v>
      </c>
      <c r="B1310" s="40" t="s">
        <v>3353</v>
      </c>
      <c r="C1310" s="41" t="s">
        <v>3354</v>
      </c>
      <c r="D1310" s="41" t="s">
        <v>4323</v>
      </c>
      <c r="E1310" s="41"/>
      <c r="F1310" s="42" t="s">
        <v>4324</v>
      </c>
    </row>
    <row r="1311" spans="1:6">
      <c r="A1311" s="41" t="s">
        <v>4325</v>
      </c>
      <c r="B1311" s="40" t="s">
        <v>3353</v>
      </c>
      <c r="C1311" s="41" t="s">
        <v>3354</v>
      </c>
      <c r="D1311" s="41" t="s">
        <v>4326</v>
      </c>
      <c r="E1311" s="41"/>
      <c r="F1311" s="42" t="s">
        <v>4327</v>
      </c>
    </row>
    <row r="1312" spans="1:6">
      <c r="A1312" s="41" t="s">
        <v>4328</v>
      </c>
      <c r="B1312" s="40" t="s">
        <v>3353</v>
      </c>
      <c r="C1312" s="41" t="s">
        <v>3354</v>
      </c>
      <c r="D1312" s="41" t="s">
        <v>4329</v>
      </c>
      <c r="E1312" s="41"/>
      <c r="F1312" s="42" t="s">
        <v>4330</v>
      </c>
    </row>
    <row r="1313" spans="1:6">
      <c r="A1313" s="41" t="s">
        <v>4331</v>
      </c>
      <c r="B1313" s="40" t="s">
        <v>3353</v>
      </c>
      <c r="C1313" s="41" t="s">
        <v>3354</v>
      </c>
      <c r="D1313" s="41" t="s">
        <v>4332</v>
      </c>
      <c r="E1313" s="41"/>
      <c r="F1313" s="42" t="s">
        <v>4333</v>
      </c>
    </row>
    <row r="1314" spans="1:6">
      <c r="A1314" s="41" t="s">
        <v>4334</v>
      </c>
      <c r="B1314" s="40" t="s">
        <v>3353</v>
      </c>
      <c r="C1314" s="41" t="s">
        <v>3354</v>
      </c>
      <c r="D1314" s="41" t="s">
        <v>4335</v>
      </c>
      <c r="E1314" s="41"/>
      <c r="F1314" s="42" t="s">
        <v>4336</v>
      </c>
    </row>
    <row r="1315" spans="1:6">
      <c r="A1315" s="41" t="s">
        <v>4337</v>
      </c>
      <c r="B1315" s="40" t="s">
        <v>3353</v>
      </c>
      <c r="C1315" s="41" t="s">
        <v>3354</v>
      </c>
      <c r="D1315" s="41" t="s">
        <v>4338</v>
      </c>
      <c r="E1315" s="41"/>
      <c r="F1315" s="42" t="s">
        <v>4339</v>
      </c>
    </row>
    <row r="1316" spans="1:6">
      <c r="A1316" s="41" t="s">
        <v>4340</v>
      </c>
      <c r="B1316" s="40" t="s">
        <v>3353</v>
      </c>
      <c r="C1316" s="41" t="s">
        <v>3354</v>
      </c>
      <c r="D1316" s="41" t="s">
        <v>4341</v>
      </c>
      <c r="E1316" s="41"/>
      <c r="F1316" s="42" t="s">
        <v>4342</v>
      </c>
    </row>
    <row r="1317" spans="1:6">
      <c r="A1317" s="41" t="s">
        <v>4343</v>
      </c>
      <c r="B1317" s="40" t="s">
        <v>3353</v>
      </c>
      <c r="C1317" s="41" t="s">
        <v>3354</v>
      </c>
      <c r="D1317" s="41" t="s">
        <v>4344</v>
      </c>
      <c r="E1317" s="41"/>
      <c r="F1317" s="42" t="s">
        <v>4345</v>
      </c>
    </row>
    <row r="1318" spans="1:6">
      <c r="A1318" s="41" t="s">
        <v>4346</v>
      </c>
      <c r="B1318" s="40" t="s">
        <v>3353</v>
      </c>
      <c r="C1318" s="41" t="s">
        <v>3354</v>
      </c>
      <c r="D1318" s="41" t="s">
        <v>4347</v>
      </c>
      <c r="E1318" s="41"/>
      <c r="F1318" s="42" t="s">
        <v>4348</v>
      </c>
    </row>
    <row r="1319" spans="1:6">
      <c r="A1319" s="41" t="s">
        <v>4349</v>
      </c>
      <c r="B1319" s="40" t="s">
        <v>3353</v>
      </c>
      <c r="C1319" s="41" t="s">
        <v>3354</v>
      </c>
      <c r="D1319" s="41" t="s">
        <v>4350</v>
      </c>
      <c r="E1319" s="41"/>
      <c r="F1319" s="42" t="s">
        <v>4351</v>
      </c>
    </row>
    <row r="1320" spans="1:6">
      <c r="A1320" s="41" t="s">
        <v>4352</v>
      </c>
      <c r="B1320" s="40" t="s">
        <v>3353</v>
      </c>
      <c r="C1320" s="41" t="s">
        <v>3354</v>
      </c>
      <c r="D1320" s="41" t="s">
        <v>4353</v>
      </c>
      <c r="E1320" s="41"/>
      <c r="F1320" s="42" t="s">
        <v>4354</v>
      </c>
    </row>
    <row r="1321" spans="1:6">
      <c r="A1321" s="41" t="s">
        <v>4355</v>
      </c>
      <c r="B1321" s="40" t="s">
        <v>3353</v>
      </c>
      <c r="C1321" s="41" t="s">
        <v>3354</v>
      </c>
      <c r="D1321" s="41" t="s">
        <v>4356</v>
      </c>
      <c r="E1321" s="41"/>
      <c r="F1321" s="42" t="s">
        <v>4357</v>
      </c>
    </row>
    <row r="1322" spans="1:6">
      <c r="A1322" s="41" t="s">
        <v>4358</v>
      </c>
      <c r="B1322" s="40" t="s">
        <v>3353</v>
      </c>
      <c r="C1322" s="41" t="s">
        <v>3354</v>
      </c>
      <c r="D1322" s="41" t="s">
        <v>4359</v>
      </c>
      <c r="E1322" s="41"/>
      <c r="F1322" s="42" t="s">
        <v>4360</v>
      </c>
    </row>
    <row r="1323" spans="1:6">
      <c r="A1323" s="41" t="s">
        <v>4361</v>
      </c>
      <c r="B1323" s="40" t="s">
        <v>3353</v>
      </c>
      <c r="C1323" s="41" t="s">
        <v>3354</v>
      </c>
      <c r="D1323" s="41" t="s">
        <v>4362</v>
      </c>
      <c r="E1323" s="41"/>
      <c r="F1323" s="42" t="s">
        <v>4363</v>
      </c>
    </row>
    <row r="1324" spans="1:6">
      <c r="A1324" s="41" t="s">
        <v>4364</v>
      </c>
      <c r="B1324" s="40" t="s">
        <v>3353</v>
      </c>
      <c r="C1324" s="41" t="s">
        <v>3354</v>
      </c>
      <c r="D1324" s="41" t="s">
        <v>4365</v>
      </c>
      <c r="E1324" s="41"/>
      <c r="F1324" s="42" t="s">
        <v>4366</v>
      </c>
    </row>
    <row r="1325" spans="1:6">
      <c r="A1325" s="41" t="s">
        <v>4367</v>
      </c>
      <c r="B1325" s="40" t="s">
        <v>3353</v>
      </c>
      <c r="C1325" s="41" t="s">
        <v>3354</v>
      </c>
      <c r="D1325" s="41" t="s">
        <v>4368</v>
      </c>
      <c r="E1325" s="41"/>
      <c r="F1325" s="42" t="s">
        <v>4369</v>
      </c>
    </row>
    <row r="1326" spans="1:6">
      <c r="A1326" s="41" t="s">
        <v>4370</v>
      </c>
      <c r="B1326" s="40" t="s">
        <v>3353</v>
      </c>
      <c r="C1326" s="41" t="s">
        <v>3354</v>
      </c>
      <c r="D1326" s="41" t="s">
        <v>4371</v>
      </c>
      <c r="E1326" s="41"/>
      <c r="F1326" s="42" t="s">
        <v>4372</v>
      </c>
    </row>
    <row r="1327" spans="1:6">
      <c r="A1327" s="41" t="s">
        <v>4373</v>
      </c>
      <c r="B1327" s="40" t="s">
        <v>3353</v>
      </c>
      <c r="C1327" s="41" t="s">
        <v>3354</v>
      </c>
      <c r="D1327" s="41" t="s">
        <v>4374</v>
      </c>
      <c r="E1327" s="41"/>
      <c r="F1327" s="42" t="s">
        <v>4375</v>
      </c>
    </row>
    <row r="1328" spans="1:6">
      <c r="A1328" s="41" t="s">
        <v>4376</v>
      </c>
      <c r="B1328" s="40" t="s">
        <v>3353</v>
      </c>
      <c r="C1328" s="41" t="s">
        <v>3354</v>
      </c>
      <c r="D1328" s="41" t="s">
        <v>4377</v>
      </c>
      <c r="E1328" s="41"/>
      <c r="F1328" s="42" t="s">
        <v>4378</v>
      </c>
    </row>
    <row r="1329" spans="1:6">
      <c r="A1329" s="41" t="s">
        <v>4379</v>
      </c>
      <c r="B1329" s="40" t="s">
        <v>3353</v>
      </c>
      <c r="C1329" s="41" t="s">
        <v>3354</v>
      </c>
      <c r="D1329" s="41" t="s">
        <v>4380</v>
      </c>
      <c r="E1329" s="41"/>
      <c r="F1329" s="42" t="s">
        <v>4381</v>
      </c>
    </row>
    <row r="1330" spans="1:6">
      <c r="A1330" s="41" t="s">
        <v>4382</v>
      </c>
      <c r="B1330" s="40" t="s">
        <v>3353</v>
      </c>
      <c r="C1330" s="41" t="s">
        <v>3354</v>
      </c>
      <c r="D1330" s="41" t="s">
        <v>4383</v>
      </c>
      <c r="E1330" s="41"/>
      <c r="F1330" s="42" t="s">
        <v>4384</v>
      </c>
    </row>
    <row r="1331" spans="1:6">
      <c r="A1331" s="41" t="s">
        <v>4385</v>
      </c>
      <c r="B1331" s="40" t="s">
        <v>3353</v>
      </c>
      <c r="C1331" s="41" t="s">
        <v>3354</v>
      </c>
      <c r="D1331" s="41" t="s">
        <v>4386</v>
      </c>
      <c r="E1331" s="41"/>
      <c r="F1331" s="42" t="s">
        <v>4387</v>
      </c>
    </row>
    <row r="1332" spans="1:6">
      <c r="A1332" s="41" t="s">
        <v>4388</v>
      </c>
      <c r="B1332" s="40" t="s">
        <v>3353</v>
      </c>
      <c r="C1332" s="41" t="s">
        <v>3354</v>
      </c>
      <c r="D1332" s="41" t="s">
        <v>4389</v>
      </c>
      <c r="E1332" s="41"/>
      <c r="F1332" s="42" t="s">
        <v>4390</v>
      </c>
    </row>
    <row r="1333" spans="1:6">
      <c r="A1333" s="41" t="s">
        <v>4391</v>
      </c>
      <c r="B1333" s="40" t="s">
        <v>3353</v>
      </c>
      <c r="C1333" s="41" t="s">
        <v>3354</v>
      </c>
      <c r="D1333" s="41" t="s">
        <v>4392</v>
      </c>
      <c r="E1333" s="41"/>
      <c r="F1333" s="42" t="s">
        <v>4393</v>
      </c>
    </row>
    <row r="1334" spans="1:6">
      <c r="A1334" s="41" t="s">
        <v>4394</v>
      </c>
      <c r="B1334" s="40" t="s">
        <v>3353</v>
      </c>
      <c r="C1334" s="41" t="s">
        <v>3354</v>
      </c>
      <c r="D1334" s="41" t="s">
        <v>4395</v>
      </c>
      <c r="E1334" s="41"/>
      <c r="F1334" s="42" t="s">
        <v>4396</v>
      </c>
    </row>
    <row r="1335" spans="1:6">
      <c r="A1335" s="41" t="s">
        <v>4397</v>
      </c>
      <c r="B1335" s="40" t="s">
        <v>3353</v>
      </c>
      <c r="C1335" s="41" t="s">
        <v>3354</v>
      </c>
      <c r="D1335" s="41" t="s">
        <v>4398</v>
      </c>
      <c r="E1335" s="41"/>
      <c r="F1335" s="42" t="s">
        <v>4399</v>
      </c>
    </row>
    <row r="1336" spans="1:6">
      <c r="A1336" s="41" t="s">
        <v>4400</v>
      </c>
      <c r="B1336" s="40" t="s">
        <v>3353</v>
      </c>
      <c r="C1336" s="41" t="s">
        <v>3354</v>
      </c>
      <c r="D1336" s="41" t="s">
        <v>4401</v>
      </c>
      <c r="E1336" s="41"/>
      <c r="F1336" s="42" t="s">
        <v>4402</v>
      </c>
    </row>
    <row r="1337" spans="1:6">
      <c r="A1337" s="41" t="s">
        <v>4403</v>
      </c>
      <c r="B1337" s="40" t="s">
        <v>3353</v>
      </c>
      <c r="C1337" s="41" t="s">
        <v>3354</v>
      </c>
      <c r="D1337" s="41" t="s">
        <v>4404</v>
      </c>
      <c r="E1337" s="41"/>
      <c r="F1337" s="42" t="s">
        <v>4405</v>
      </c>
    </row>
    <row r="1338" spans="1:6">
      <c r="A1338" s="41" t="s">
        <v>4406</v>
      </c>
      <c r="B1338" s="40" t="s">
        <v>3353</v>
      </c>
      <c r="C1338" s="41" t="s">
        <v>3354</v>
      </c>
      <c r="D1338" s="41" t="s">
        <v>4407</v>
      </c>
      <c r="E1338" s="41"/>
      <c r="F1338" s="42" t="s">
        <v>4408</v>
      </c>
    </row>
    <row r="1339" spans="1:6">
      <c r="A1339" s="41" t="s">
        <v>4409</v>
      </c>
      <c r="B1339" s="40" t="s">
        <v>3353</v>
      </c>
      <c r="C1339" s="41" t="s">
        <v>3354</v>
      </c>
      <c r="D1339" s="41" t="s">
        <v>4410</v>
      </c>
      <c r="E1339" s="41"/>
      <c r="F1339" s="42" t="s">
        <v>4411</v>
      </c>
    </row>
    <row r="1340" spans="1:6">
      <c r="A1340" s="41" t="s">
        <v>4412</v>
      </c>
      <c r="B1340" s="40" t="s">
        <v>3353</v>
      </c>
      <c r="C1340" s="41" t="s">
        <v>3354</v>
      </c>
      <c r="D1340" s="41" t="s">
        <v>4413</v>
      </c>
      <c r="E1340" s="41"/>
      <c r="F1340" s="42" t="s">
        <v>4414</v>
      </c>
    </row>
    <row r="1341" spans="1:6">
      <c r="A1341" s="41" t="s">
        <v>4415</v>
      </c>
      <c r="B1341" s="40" t="s">
        <v>3353</v>
      </c>
      <c r="C1341" s="41" t="s">
        <v>3354</v>
      </c>
      <c r="D1341" s="41" t="s">
        <v>4416</v>
      </c>
      <c r="E1341" s="41"/>
      <c r="F1341" s="42" t="s">
        <v>4417</v>
      </c>
    </row>
    <row r="1342" spans="1:6">
      <c r="A1342" s="41" t="s">
        <v>4418</v>
      </c>
      <c r="B1342" s="40" t="s">
        <v>3353</v>
      </c>
      <c r="C1342" s="41" t="s">
        <v>3354</v>
      </c>
      <c r="D1342" s="41" t="s">
        <v>4419</v>
      </c>
      <c r="E1342" s="41"/>
      <c r="F1342" s="42" t="s">
        <v>4420</v>
      </c>
    </row>
    <row r="1343" spans="1:6">
      <c r="A1343" s="41" t="s">
        <v>4421</v>
      </c>
      <c r="B1343" s="40" t="s">
        <v>3353</v>
      </c>
      <c r="C1343" s="41" t="s">
        <v>3354</v>
      </c>
      <c r="D1343" s="41" t="s">
        <v>4422</v>
      </c>
      <c r="E1343" s="41"/>
      <c r="F1343" s="42" t="s">
        <v>4423</v>
      </c>
    </row>
    <row r="1344" spans="1:6">
      <c r="A1344" s="41" t="s">
        <v>4424</v>
      </c>
      <c r="B1344" s="40" t="s">
        <v>3353</v>
      </c>
      <c r="C1344" s="41" t="s">
        <v>3354</v>
      </c>
      <c r="D1344" s="41" t="s">
        <v>4425</v>
      </c>
      <c r="E1344" s="41"/>
      <c r="F1344" s="42" t="s">
        <v>4426</v>
      </c>
    </row>
    <row r="1345" spans="1:6">
      <c r="A1345" s="41" t="s">
        <v>4427</v>
      </c>
      <c r="B1345" s="40" t="s">
        <v>3353</v>
      </c>
      <c r="C1345" s="41" t="s">
        <v>3354</v>
      </c>
      <c r="D1345" s="41" t="s">
        <v>4428</v>
      </c>
      <c r="E1345" s="41"/>
      <c r="F1345" s="42" t="s">
        <v>4429</v>
      </c>
    </row>
    <row r="1346" spans="1:6">
      <c r="A1346" s="41" t="s">
        <v>4430</v>
      </c>
      <c r="B1346" s="40" t="s">
        <v>3353</v>
      </c>
      <c r="C1346" s="41" t="s">
        <v>3354</v>
      </c>
      <c r="D1346" s="41" t="s">
        <v>4431</v>
      </c>
      <c r="E1346" s="41"/>
      <c r="F1346" s="42" t="s">
        <v>4432</v>
      </c>
    </row>
    <row r="1347" spans="1:6">
      <c r="A1347" s="41" t="s">
        <v>4433</v>
      </c>
      <c r="B1347" s="40" t="s">
        <v>3353</v>
      </c>
      <c r="C1347" s="41" t="s">
        <v>3354</v>
      </c>
      <c r="D1347" s="41" t="s">
        <v>4434</v>
      </c>
      <c r="E1347" s="41"/>
      <c r="F1347" s="42" t="s">
        <v>4435</v>
      </c>
    </row>
    <row r="1348" spans="1:6">
      <c r="A1348" s="41" t="s">
        <v>4436</v>
      </c>
      <c r="B1348" s="40" t="s">
        <v>3353</v>
      </c>
      <c r="C1348" s="41" t="s">
        <v>3354</v>
      </c>
      <c r="D1348" s="41" t="s">
        <v>4437</v>
      </c>
      <c r="E1348" s="41"/>
      <c r="F1348" s="42" t="s">
        <v>4438</v>
      </c>
    </row>
    <row r="1349" spans="1:6">
      <c r="A1349" s="41" t="s">
        <v>4439</v>
      </c>
      <c r="B1349" s="40" t="s">
        <v>3353</v>
      </c>
      <c r="C1349" s="41" t="s">
        <v>3354</v>
      </c>
      <c r="D1349" s="41" t="s">
        <v>4440</v>
      </c>
      <c r="E1349" s="41"/>
      <c r="F1349" s="42" t="s">
        <v>4441</v>
      </c>
    </row>
    <row r="1350" spans="1:6">
      <c r="A1350" s="41" t="s">
        <v>4442</v>
      </c>
      <c r="B1350" s="40" t="s">
        <v>3353</v>
      </c>
      <c r="C1350" s="41" t="s">
        <v>3354</v>
      </c>
      <c r="D1350" s="41" t="s">
        <v>4443</v>
      </c>
      <c r="E1350" s="41"/>
      <c r="F1350" s="42" t="s">
        <v>4444</v>
      </c>
    </row>
    <row r="1351" spans="1:6">
      <c r="A1351" s="41" t="s">
        <v>4445</v>
      </c>
      <c r="B1351" s="40" t="s">
        <v>3353</v>
      </c>
      <c r="C1351" s="41" t="s">
        <v>3354</v>
      </c>
      <c r="D1351" s="41" t="s">
        <v>4446</v>
      </c>
      <c r="E1351" s="41"/>
      <c r="F1351" s="42" t="s">
        <v>4447</v>
      </c>
    </row>
    <row r="1352" spans="1:6">
      <c r="A1352" s="41" t="s">
        <v>4448</v>
      </c>
      <c r="B1352" s="40" t="s">
        <v>3353</v>
      </c>
      <c r="C1352" s="41" t="s">
        <v>3354</v>
      </c>
      <c r="D1352" s="41" t="s">
        <v>4449</v>
      </c>
      <c r="E1352" s="41"/>
      <c r="F1352" s="42" t="s">
        <v>4450</v>
      </c>
    </row>
    <row r="1353" spans="1:6">
      <c r="A1353" s="41" t="s">
        <v>4451</v>
      </c>
      <c r="B1353" s="40" t="s">
        <v>3353</v>
      </c>
      <c r="C1353" s="41" t="s">
        <v>3354</v>
      </c>
      <c r="D1353" s="41" t="s">
        <v>4452</v>
      </c>
      <c r="E1353" s="41"/>
      <c r="F1353" s="42" t="s">
        <v>4453</v>
      </c>
    </row>
    <row r="1354" spans="1:6">
      <c r="A1354" s="41" t="s">
        <v>4454</v>
      </c>
      <c r="B1354" s="40" t="s">
        <v>3353</v>
      </c>
      <c r="C1354" s="41" t="s">
        <v>3354</v>
      </c>
      <c r="D1354" s="41" t="s">
        <v>4455</v>
      </c>
      <c r="E1354" s="41"/>
      <c r="F1354" s="42" t="s">
        <v>4456</v>
      </c>
    </row>
    <row r="1355" spans="1:6">
      <c r="A1355" s="41" t="s">
        <v>4457</v>
      </c>
      <c r="B1355" s="40" t="s">
        <v>3353</v>
      </c>
      <c r="C1355" s="41" t="s">
        <v>3354</v>
      </c>
      <c r="D1355" s="41" t="s">
        <v>4458</v>
      </c>
      <c r="E1355" s="41"/>
      <c r="F1355" s="42" t="s">
        <v>4459</v>
      </c>
    </row>
    <row r="1356" spans="1:6">
      <c r="A1356" s="41" t="s">
        <v>4460</v>
      </c>
      <c r="B1356" s="40" t="s">
        <v>3353</v>
      </c>
      <c r="C1356" s="41" t="s">
        <v>3354</v>
      </c>
      <c r="D1356" s="41" t="s">
        <v>4461</v>
      </c>
      <c r="E1356" s="41"/>
      <c r="F1356" s="42" t="s">
        <v>4462</v>
      </c>
    </row>
    <row r="1357" spans="1:6">
      <c r="A1357" s="41" t="s">
        <v>4463</v>
      </c>
      <c r="B1357" s="40" t="s">
        <v>3353</v>
      </c>
      <c r="C1357" s="41" t="s">
        <v>3354</v>
      </c>
      <c r="D1357" s="41" t="s">
        <v>4464</v>
      </c>
      <c r="E1357" s="41"/>
      <c r="F1357" s="42" t="s">
        <v>4465</v>
      </c>
    </row>
    <row r="1358" spans="1:6">
      <c r="A1358" s="41" t="s">
        <v>4466</v>
      </c>
      <c r="B1358" s="40" t="s">
        <v>3353</v>
      </c>
      <c r="C1358" s="41" t="s">
        <v>3354</v>
      </c>
      <c r="D1358" s="41" t="s">
        <v>4467</v>
      </c>
      <c r="E1358" s="41"/>
      <c r="F1358" s="42" t="s">
        <v>4468</v>
      </c>
    </row>
    <row r="1359" spans="1:6">
      <c r="A1359" s="41" t="s">
        <v>4469</v>
      </c>
      <c r="B1359" s="40" t="s">
        <v>3353</v>
      </c>
      <c r="C1359" s="41" t="s">
        <v>3354</v>
      </c>
      <c r="D1359" s="41" t="s">
        <v>4470</v>
      </c>
      <c r="E1359" s="41"/>
      <c r="F1359" s="42" t="s">
        <v>4471</v>
      </c>
    </row>
    <row r="1360" spans="1:6">
      <c r="A1360" s="41" t="s">
        <v>4472</v>
      </c>
      <c r="B1360" s="40" t="s">
        <v>3353</v>
      </c>
      <c r="C1360" s="41" t="s">
        <v>3354</v>
      </c>
      <c r="D1360" s="41" t="s">
        <v>4473</v>
      </c>
      <c r="E1360" s="41"/>
      <c r="F1360" s="42" t="s">
        <v>4474</v>
      </c>
    </row>
    <row r="1361" spans="1:6">
      <c r="A1361" s="41" t="s">
        <v>4475</v>
      </c>
      <c r="B1361" s="40" t="s">
        <v>3353</v>
      </c>
      <c r="C1361" s="41" t="s">
        <v>3354</v>
      </c>
      <c r="D1361" s="41" t="s">
        <v>4476</v>
      </c>
      <c r="E1361" s="41"/>
      <c r="F1361" s="42" t="s">
        <v>4477</v>
      </c>
    </row>
    <row r="1362" spans="1:6">
      <c r="A1362" s="41" t="s">
        <v>4478</v>
      </c>
      <c r="B1362" s="40" t="s">
        <v>3353</v>
      </c>
      <c r="C1362" s="41" t="s">
        <v>3354</v>
      </c>
      <c r="D1362" s="41" t="s">
        <v>4479</v>
      </c>
      <c r="E1362" s="41"/>
      <c r="F1362" s="42" t="s">
        <v>4480</v>
      </c>
    </row>
    <row r="1363" spans="1:6">
      <c r="A1363" s="41" t="s">
        <v>4481</v>
      </c>
      <c r="B1363" s="40" t="s">
        <v>3353</v>
      </c>
      <c r="C1363" s="41" t="s">
        <v>3354</v>
      </c>
      <c r="D1363" s="41" t="s">
        <v>4482</v>
      </c>
      <c r="E1363" s="41"/>
      <c r="F1363" s="42" t="s">
        <v>4483</v>
      </c>
    </row>
    <row r="1364" spans="1:6">
      <c r="A1364" s="41" t="s">
        <v>4484</v>
      </c>
      <c r="B1364" s="40" t="s">
        <v>3353</v>
      </c>
      <c r="C1364" s="41" t="s">
        <v>3354</v>
      </c>
      <c r="D1364" s="41" t="s">
        <v>4485</v>
      </c>
      <c r="E1364" s="41"/>
      <c r="F1364" s="42" t="s">
        <v>4486</v>
      </c>
    </row>
    <row r="1365" spans="1:6">
      <c r="A1365" s="41" t="s">
        <v>4487</v>
      </c>
      <c r="B1365" s="40" t="s">
        <v>3353</v>
      </c>
      <c r="C1365" s="41" t="s">
        <v>3354</v>
      </c>
      <c r="D1365" s="41" t="s">
        <v>4488</v>
      </c>
      <c r="E1365" s="41"/>
      <c r="F1365" s="42" t="s">
        <v>4489</v>
      </c>
    </row>
    <row r="1366" spans="1:6">
      <c r="A1366" s="41" t="s">
        <v>4490</v>
      </c>
      <c r="B1366" s="40" t="s">
        <v>3353</v>
      </c>
      <c r="C1366" s="41" t="s">
        <v>3354</v>
      </c>
      <c r="D1366" s="41" t="s">
        <v>4491</v>
      </c>
      <c r="E1366" s="41"/>
      <c r="F1366" s="42" t="s">
        <v>4492</v>
      </c>
    </row>
    <row r="1367" spans="1:6">
      <c r="A1367" s="41" t="s">
        <v>4493</v>
      </c>
      <c r="B1367" s="40" t="s">
        <v>3353</v>
      </c>
      <c r="C1367" s="41" t="s">
        <v>3354</v>
      </c>
      <c r="D1367" s="41" t="s">
        <v>4494</v>
      </c>
      <c r="E1367" s="41"/>
      <c r="F1367" s="42" t="s">
        <v>4495</v>
      </c>
    </row>
    <row r="1368" spans="1:6">
      <c r="A1368" s="41" t="s">
        <v>4496</v>
      </c>
      <c r="B1368" s="40" t="s">
        <v>3353</v>
      </c>
      <c r="C1368" s="41" t="s">
        <v>3354</v>
      </c>
      <c r="D1368" s="41" t="s">
        <v>4497</v>
      </c>
      <c r="E1368" s="41"/>
      <c r="F1368" s="42" t="s">
        <v>4498</v>
      </c>
    </row>
    <row r="1369" spans="1:6">
      <c r="A1369" s="41" t="s">
        <v>4499</v>
      </c>
      <c r="B1369" s="40" t="s">
        <v>3353</v>
      </c>
      <c r="C1369" s="41" t="s">
        <v>3354</v>
      </c>
      <c r="D1369" s="41" t="s">
        <v>4500</v>
      </c>
      <c r="E1369" s="41"/>
      <c r="F1369" s="42" t="s">
        <v>4501</v>
      </c>
    </row>
    <row r="1370" spans="1:6">
      <c r="A1370" s="41" t="s">
        <v>4502</v>
      </c>
      <c r="B1370" s="40" t="s">
        <v>3353</v>
      </c>
      <c r="C1370" s="41" t="s">
        <v>3354</v>
      </c>
      <c r="D1370" s="41" t="s">
        <v>4503</v>
      </c>
      <c r="E1370" s="41"/>
      <c r="F1370" s="42" t="s">
        <v>4504</v>
      </c>
    </row>
    <row r="1371" spans="1:6">
      <c r="A1371" s="41" t="s">
        <v>4505</v>
      </c>
      <c r="B1371" s="40" t="s">
        <v>3353</v>
      </c>
      <c r="C1371" s="41" t="s">
        <v>3354</v>
      </c>
      <c r="D1371" s="41" t="s">
        <v>4506</v>
      </c>
      <c r="E1371" s="41"/>
      <c r="F1371" s="42" t="s">
        <v>4507</v>
      </c>
    </row>
    <row r="1372" spans="1:6">
      <c r="A1372" s="41" t="s">
        <v>4508</v>
      </c>
      <c r="B1372" s="40" t="s">
        <v>3353</v>
      </c>
      <c r="C1372" s="41" t="s">
        <v>3354</v>
      </c>
      <c r="D1372" s="41" t="s">
        <v>4509</v>
      </c>
      <c r="E1372" s="41"/>
      <c r="F1372" s="42" t="s">
        <v>4510</v>
      </c>
    </row>
    <row r="1373" spans="1:6">
      <c r="A1373" s="41" t="s">
        <v>4511</v>
      </c>
      <c r="B1373" s="40" t="s">
        <v>3353</v>
      </c>
      <c r="C1373" s="41" t="s">
        <v>3354</v>
      </c>
      <c r="D1373" s="41" t="s">
        <v>4512</v>
      </c>
      <c r="E1373" s="41"/>
      <c r="F1373" s="42" t="s">
        <v>4513</v>
      </c>
    </row>
    <row r="1374" spans="1:6">
      <c r="A1374" s="41" t="s">
        <v>4514</v>
      </c>
      <c r="B1374" s="40" t="s">
        <v>3353</v>
      </c>
      <c r="C1374" s="41" t="s">
        <v>3354</v>
      </c>
      <c r="D1374" s="41" t="s">
        <v>4515</v>
      </c>
      <c r="E1374" s="41"/>
      <c r="F1374" s="42" t="s">
        <v>4516</v>
      </c>
    </row>
    <row r="1375" spans="1:6">
      <c r="A1375" s="41" t="s">
        <v>4517</v>
      </c>
      <c r="B1375" s="40" t="s">
        <v>3353</v>
      </c>
      <c r="C1375" s="41" t="s">
        <v>3354</v>
      </c>
      <c r="D1375" s="41" t="s">
        <v>4518</v>
      </c>
      <c r="E1375" s="41"/>
      <c r="F1375" s="42" t="s">
        <v>4519</v>
      </c>
    </row>
    <row r="1376" spans="1:6">
      <c r="A1376" s="41" t="s">
        <v>4520</v>
      </c>
      <c r="B1376" s="40" t="s">
        <v>3353</v>
      </c>
      <c r="C1376" s="41" t="s">
        <v>3354</v>
      </c>
      <c r="D1376" s="41" t="s">
        <v>4521</v>
      </c>
      <c r="E1376" s="41"/>
      <c r="F1376" s="42" t="s">
        <v>4522</v>
      </c>
    </row>
    <row r="1377" spans="1:6">
      <c r="A1377" s="41" t="s">
        <v>4523</v>
      </c>
      <c r="B1377" s="40" t="s">
        <v>3353</v>
      </c>
      <c r="C1377" s="41" t="s">
        <v>3354</v>
      </c>
      <c r="D1377" s="41" t="s">
        <v>4524</v>
      </c>
      <c r="E1377" s="41"/>
      <c r="F1377" s="42" t="s">
        <v>4525</v>
      </c>
    </row>
    <row r="1378" spans="1:6">
      <c r="A1378" s="41" t="s">
        <v>4526</v>
      </c>
      <c r="B1378" s="40" t="s">
        <v>3353</v>
      </c>
      <c r="C1378" s="41" t="s">
        <v>3354</v>
      </c>
      <c r="D1378" s="41" t="s">
        <v>4527</v>
      </c>
      <c r="E1378" s="41"/>
      <c r="F1378" s="42" t="s">
        <v>4528</v>
      </c>
    </row>
    <row r="1379" spans="1:6">
      <c r="A1379" s="41" t="s">
        <v>4529</v>
      </c>
      <c r="B1379" s="40" t="s">
        <v>3353</v>
      </c>
      <c r="C1379" s="41" t="s">
        <v>3354</v>
      </c>
      <c r="D1379" s="41" t="s">
        <v>4530</v>
      </c>
      <c r="E1379" s="41"/>
      <c r="F1379" s="42" t="s">
        <v>4531</v>
      </c>
    </row>
    <row r="1380" spans="1:6">
      <c r="A1380" s="41" t="s">
        <v>4532</v>
      </c>
      <c r="B1380" s="40" t="s">
        <v>3353</v>
      </c>
      <c r="C1380" s="41" t="s">
        <v>3354</v>
      </c>
      <c r="D1380" s="41" t="s">
        <v>4533</v>
      </c>
      <c r="E1380" s="41"/>
      <c r="F1380" s="42" t="s">
        <v>4534</v>
      </c>
    </row>
    <row r="1381" spans="1:6">
      <c r="A1381" s="41" t="s">
        <v>4535</v>
      </c>
      <c r="B1381" s="40" t="s">
        <v>3353</v>
      </c>
      <c r="C1381" s="41" t="s">
        <v>3354</v>
      </c>
      <c r="D1381" s="41" t="s">
        <v>4536</v>
      </c>
      <c r="E1381" s="41"/>
      <c r="F1381" s="42" t="s">
        <v>4537</v>
      </c>
    </row>
    <row r="1382" spans="1:6">
      <c r="A1382" s="41" t="s">
        <v>4538</v>
      </c>
      <c r="B1382" s="40" t="s">
        <v>3353</v>
      </c>
      <c r="C1382" s="41" t="s">
        <v>3354</v>
      </c>
      <c r="D1382" s="41" t="s">
        <v>4539</v>
      </c>
      <c r="E1382" s="41"/>
      <c r="F1382" s="42" t="s">
        <v>4540</v>
      </c>
    </row>
    <row r="1383" spans="1:6">
      <c r="A1383" s="41" t="s">
        <v>4541</v>
      </c>
      <c r="B1383" s="40" t="s">
        <v>3353</v>
      </c>
      <c r="C1383" s="41" t="s">
        <v>3354</v>
      </c>
      <c r="D1383" s="41" t="s">
        <v>4542</v>
      </c>
      <c r="E1383" s="41"/>
      <c r="F1383" s="42" t="s">
        <v>4543</v>
      </c>
    </row>
    <row r="1384" spans="1:6">
      <c r="A1384" s="41" t="s">
        <v>4544</v>
      </c>
      <c r="B1384" s="40" t="s">
        <v>3353</v>
      </c>
      <c r="C1384" s="41" t="s">
        <v>3354</v>
      </c>
      <c r="D1384" s="41" t="s">
        <v>4545</v>
      </c>
      <c r="E1384" s="41"/>
      <c r="F1384" s="42" t="s">
        <v>4546</v>
      </c>
    </row>
    <row r="1385" spans="1:6">
      <c r="A1385" s="41" t="s">
        <v>4547</v>
      </c>
      <c r="B1385" s="40" t="s">
        <v>3353</v>
      </c>
      <c r="C1385" s="41" t="s">
        <v>3354</v>
      </c>
      <c r="D1385" s="41" t="s">
        <v>4548</v>
      </c>
      <c r="E1385" s="41"/>
      <c r="F1385" s="42" t="s">
        <v>4549</v>
      </c>
    </row>
    <row r="1386" spans="1:6">
      <c r="A1386" s="41" t="s">
        <v>4550</v>
      </c>
      <c r="B1386" s="40" t="s">
        <v>3353</v>
      </c>
      <c r="C1386" s="41" t="s">
        <v>3354</v>
      </c>
      <c r="D1386" s="41" t="s">
        <v>4551</v>
      </c>
      <c r="E1386" s="41"/>
      <c r="F1386" s="42" t="s">
        <v>4552</v>
      </c>
    </row>
    <row r="1387" spans="1:6">
      <c r="A1387" s="41" t="s">
        <v>4553</v>
      </c>
      <c r="B1387" s="40" t="s">
        <v>3353</v>
      </c>
      <c r="C1387" s="41" t="s">
        <v>3354</v>
      </c>
      <c r="D1387" s="41" t="s">
        <v>4554</v>
      </c>
      <c r="E1387" s="41"/>
      <c r="F1387" s="42" t="s">
        <v>4555</v>
      </c>
    </row>
    <row r="1388" spans="1:6">
      <c r="A1388" s="41" t="s">
        <v>4556</v>
      </c>
      <c r="B1388" s="40" t="s">
        <v>3353</v>
      </c>
      <c r="C1388" s="41" t="s">
        <v>3354</v>
      </c>
      <c r="D1388" s="41" t="s">
        <v>4557</v>
      </c>
      <c r="E1388" s="41"/>
      <c r="F1388" s="42" t="s">
        <v>4558</v>
      </c>
    </row>
    <row r="1389" spans="1:6">
      <c r="A1389" s="41" t="s">
        <v>4559</v>
      </c>
      <c r="B1389" s="40" t="s">
        <v>3353</v>
      </c>
      <c r="C1389" s="41" t="s">
        <v>3354</v>
      </c>
      <c r="D1389" s="41" t="s">
        <v>4560</v>
      </c>
      <c r="E1389" s="41"/>
      <c r="F1389" s="42" t="s">
        <v>4561</v>
      </c>
    </row>
    <row r="1390" spans="1:6">
      <c r="A1390" s="41" t="s">
        <v>4562</v>
      </c>
      <c r="B1390" s="40" t="s">
        <v>3353</v>
      </c>
      <c r="C1390" s="41" t="s">
        <v>3354</v>
      </c>
      <c r="D1390" s="41" t="s">
        <v>4563</v>
      </c>
      <c r="E1390" s="41"/>
      <c r="F1390" s="42" t="s">
        <v>4564</v>
      </c>
    </row>
    <row r="1391" spans="1:6">
      <c r="A1391" s="41" t="s">
        <v>4565</v>
      </c>
      <c r="B1391" s="40" t="s">
        <v>3353</v>
      </c>
      <c r="C1391" s="41" t="s">
        <v>3354</v>
      </c>
      <c r="D1391" s="41" t="s">
        <v>4566</v>
      </c>
      <c r="E1391" s="41"/>
      <c r="F1391" s="42" t="s">
        <v>4567</v>
      </c>
    </row>
    <row r="1392" spans="1:6">
      <c r="A1392" s="41" t="s">
        <v>4568</v>
      </c>
      <c r="B1392" s="40" t="s">
        <v>3353</v>
      </c>
      <c r="C1392" s="41" t="s">
        <v>3354</v>
      </c>
      <c r="D1392" s="41" t="s">
        <v>4569</v>
      </c>
      <c r="E1392" s="41"/>
      <c r="F1392" s="42" t="s">
        <v>4570</v>
      </c>
    </row>
    <row r="1393" spans="1:6">
      <c r="A1393" s="41" t="s">
        <v>4571</v>
      </c>
      <c r="B1393" s="40" t="s">
        <v>3353</v>
      </c>
      <c r="C1393" s="41" t="s">
        <v>3354</v>
      </c>
      <c r="D1393" s="41" t="s">
        <v>4572</v>
      </c>
      <c r="E1393" s="41"/>
      <c r="F1393" s="42" t="s">
        <v>4573</v>
      </c>
    </row>
    <row r="1394" spans="1:6">
      <c r="A1394" s="41" t="s">
        <v>4574</v>
      </c>
      <c r="B1394" s="40" t="s">
        <v>3353</v>
      </c>
      <c r="C1394" s="41" t="s">
        <v>3354</v>
      </c>
      <c r="D1394" s="41" t="s">
        <v>4575</v>
      </c>
      <c r="E1394" s="41"/>
      <c r="F1394" s="42" t="s">
        <v>4576</v>
      </c>
    </row>
    <row r="1395" spans="1:6">
      <c r="A1395" s="41" t="s">
        <v>4577</v>
      </c>
      <c r="B1395" s="40" t="s">
        <v>3353</v>
      </c>
      <c r="C1395" s="41" t="s">
        <v>3354</v>
      </c>
      <c r="D1395" s="41" t="s">
        <v>4578</v>
      </c>
      <c r="E1395" s="41"/>
      <c r="F1395" s="42" t="s">
        <v>4579</v>
      </c>
    </row>
    <row r="1396" spans="1:6">
      <c r="A1396" s="41" t="s">
        <v>4580</v>
      </c>
      <c r="B1396" s="40" t="s">
        <v>3353</v>
      </c>
      <c r="C1396" s="41" t="s">
        <v>3354</v>
      </c>
      <c r="D1396" s="41" t="s">
        <v>4581</v>
      </c>
      <c r="E1396" s="41"/>
      <c r="F1396" s="42" t="s">
        <v>4582</v>
      </c>
    </row>
    <row r="1397" spans="1:6">
      <c r="A1397" s="41" t="s">
        <v>4583</v>
      </c>
      <c r="B1397" s="40" t="s">
        <v>3353</v>
      </c>
      <c r="C1397" s="41" t="s">
        <v>3354</v>
      </c>
      <c r="D1397" s="41" t="s">
        <v>4584</v>
      </c>
      <c r="E1397" s="41"/>
      <c r="F1397" s="42" t="s">
        <v>4585</v>
      </c>
    </row>
    <row r="1398" spans="1:6">
      <c r="A1398" s="41" t="s">
        <v>4586</v>
      </c>
      <c r="B1398" s="40" t="s">
        <v>3353</v>
      </c>
      <c r="C1398" s="41" t="s">
        <v>3354</v>
      </c>
      <c r="D1398" s="41" t="s">
        <v>4587</v>
      </c>
      <c r="E1398" s="41"/>
      <c r="F1398" s="42" t="s">
        <v>4588</v>
      </c>
    </row>
    <row r="1399" spans="1:6">
      <c r="A1399" s="41" t="s">
        <v>4589</v>
      </c>
      <c r="B1399" s="40" t="s">
        <v>3353</v>
      </c>
      <c r="C1399" s="41" t="s">
        <v>3354</v>
      </c>
      <c r="D1399" s="41" t="s">
        <v>4590</v>
      </c>
      <c r="E1399" s="41"/>
      <c r="F1399" s="42" t="s">
        <v>4591</v>
      </c>
    </row>
    <row r="1400" spans="1:6">
      <c r="A1400" s="41" t="s">
        <v>4592</v>
      </c>
      <c r="B1400" s="40" t="s">
        <v>3353</v>
      </c>
      <c r="C1400" s="41" t="s">
        <v>3354</v>
      </c>
      <c r="D1400" s="41" t="s">
        <v>4593</v>
      </c>
      <c r="E1400" s="41"/>
      <c r="F1400" s="42" t="s">
        <v>4594</v>
      </c>
    </row>
    <row r="1401" spans="1:6">
      <c r="A1401" s="41" t="s">
        <v>4595</v>
      </c>
      <c r="B1401" s="40" t="s">
        <v>3353</v>
      </c>
      <c r="C1401" s="41" t="s">
        <v>3354</v>
      </c>
      <c r="D1401" s="41" t="s">
        <v>4596</v>
      </c>
      <c r="E1401" s="41"/>
      <c r="F1401" s="42" t="s">
        <v>4597</v>
      </c>
    </row>
    <row r="1402" spans="1:6">
      <c r="A1402" s="41" t="s">
        <v>4598</v>
      </c>
      <c r="B1402" s="40" t="s">
        <v>3353</v>
      </c>
      <c r="C1402" s="41" t="s">
        <v>3354</v>
      </c>
      <c r="D1402" s="41" t="s">
        <v>4599</v>
      </c>
      <c r="E1402" s="41"/>
      <c r="F1402" s="42" t="s">
        <v>4600</v>
      </c>
    </row>
    <row r="1403" spans="1:6">
      <c r="A1403" t="s">
        <v>4601</v>
      </c>
      <c r="B1403" t="s">
        <v>4602</v>
      </c>
      <c r="C1403" t="s">
        <v>4603</v>
      </c>
      <c r="D1403" t="s">
        <v>4601</v>
      </c>
      <c r="F1403" t="s">
        <v>4604</v>
      </c>
    </row>
    <row r="1404" spans="1:6">
      <c r="A1404" t="s">
        <v>4605</v>
      </c>
      <c r="B1404" t="s">
        <v>4602</v>
      </c>
      <c r="C1404" t="s">
        <v>4603</v>
      </c>
      <c r="D1404" t="s">
        <v>4605</v>
      </c>
      <c r="F1404" t="s">
        <v>4606</v>
      </c>
    </row>
    <row r="1405" spans="1:6">
      <c r="A1405" t="s">
        <v>4607</v>
      </c>
      <c r="B1405" t="s">
        <v>4602</v>
      </c>
      <c r="C1405" t="s">
        <v>4603</v>
      </c>
      <c r="D1405" t="s">
        <v>4607</v>
      </c>
      <c r="F1405" t="s">
        <v>4608</v>
      </c>
    </row>
    <row r="1406" spans="1:6">
      <c r="A1406" t="s">
        <v>4609</v>
      </c>
      <c r="B1406" t="s">
        <v>4602</v>
      </c>
      <c r="C1406" t="s">
        <v>4603</v>
      </c>
      <c r="D1406" t="s">
        <v>4609</v>
      </c>
      <c r="F1406" t="s">
        <v>4610</v>
      </c>
    </row>
    <row r="1407" spans="1:6">
      <c r="A1407" t="s">
        <v>4611</v>
      </c>
      <c r="B1407" t="s">
        <v>4602</v>
      </c>
      <c r="C1407" t="s">
        <v>4603</v>
      </c>
      <c r="D1407" t="s">
        <v>4611</v>
      </c>
      <c r="F1407" t="s">
        <v>4612</v>
      </c>
    </row>
    <row r="1408" spans="1:6">
      <c r="A1408" t="s">
        <v>4613</v>
      </c>
      <c r="B1408" t="s">
        <v>4602</v>
      </c>
      <c r="C1408" t="s">
        <v>4603</v>
      </c>
      <c r="D1408" t="s">
        <v>4613</v>
      </c>
      <c r="F1408" t="s">
        <v>4614</v>
      </c>
    </row>
    <row r="1409" spans="1:7">
      <c r="A1409" t="s">
        <v>4615</v>
      </c>
      <c r="B1409" t="s">
        <v>4602</v>
      </c>
      <c r="C1409" t="s">
        <v>4603</v>
      </c>
      <c r="D1409" t="s">
        <v>4615</v>
      </c>
      <c r="F1409" t="s">
        <v>4616</v>
      </c>
    </row>
    <row r="1410" spans="1:7">
      <c r="A1410" t="s">
        <v>4617</v>
      </c>
      <c r="B1410" t="s">
        <v>4602</v>
      </c>
      <c r="C1410" t="s">
        <v>4603</v>
      </c>
      <c r="D1410" t="s">
        <v>4617</v>
      </c>
      <c r="F1410" t="s">
        <v>4618</v>
      </c>
    </row>
    <row r="1411" spans="1:7">
      <c r="A1411" t="s">
        <v>4619</v>
      </c>
      <c r="B1411" t="s">
        <v>4602</v>
      </c>
      <c r="C1411" t="s">
        <v>4603</v>
      </c>
      <c r="D1411" t="s">
        <v>4619</v>
      </c>
      <c r="F1411" t="s">
        <v>4620</v>
      </c>
    </row>
    <row r="1412" spans="1:7">
      <c r="A1412" t="s">
        <v>4621</v>
      </c>
      <c r="B1412" t="s">
        <v>4602</v>
      </c>
      <c r="C1412" t="s">
        <v>4603</v>
      </c>
      <c r="D1412" t="s">
        <v>4621</v>
      </c>
      <c r="F1412" t="s">
        <v>4622</v>
      </c>
    </row>
    <row r="1413" spans="1:7">
      <c r="A1413" t="s">
        <v>4623</v>
      </c>
      <c r="B1413" t="s">
        <v>4602</v>
      </c>
      <c r="C1413" t="s">
        <v>4603</v>
      </c>
      <c r="D1413" t="s">
        <v>4623</v>
      </c>
      <c r="F1413" t="s">
        <v>4624</v>
      </c>
    </row>
    <row r="1414" spans="1:7">
      <c r="A1414" s="37" t="s">
        <v>4625</v>
      </c>
      <c r="B1414" s="37" t="s">
        <v>4626</v>
      </c>
      <c r="C1414" s="37" t="s">
        <v>4627</v>
      </c>
      <c r="D1414" s="37" t="s">
        <v>4625</v>
      </c>
      <c r="E1414" s="37"/>
      <c r="F1414" s="37" t="s">
        <v>4628</v>
      </c>
      <c r="G1414" s="37"/>
    </row>
    <row r="1415" spans="1:7">
      <c r="A1415" s="40" t="s">
        <v>4629</v>
      </c>
      <c r="B1415" s="40" t="s">
        <v>4626</v>
      </c>
      <c r="C1415" s="40" t="s">
        <v>4627</v>
      </c>
      <c r="D1415" s="40" t="s">
        <v>4629</v>
      </c>
      <c r="E1415" s="40"/>
      <c r="F1415" s="40" t="s">
        <v>4630</v>
      </c>
      <c r="G1415" s="40"/>
    </row>
    <row r="1416" spans="1:7">
      <c r="A1416" s="37" t="s">
        <v>4631</v>
      </c>
      <c r="B1416" s="37" t="s">
        <v>4626</v>
      </c>
      <c r="C1416" s="37" t="s">
        <v>4627</v>
      </c>
      <c r="D1416" s="37" t="s">
        <v>4631</v>
      </c>
      <c r="E1416" s="37"/>
      <c r="F1416" s="37" t="s">
        <v>4632</v>
      </c>
      <c r="G1416" s="37"/>
    </row>
    <row r="1417" spans="1:7">
      <c r="A1417" s="40" t="s">
        <v>14</v>
      </c>
      <c r="B1417" s="40" t="s">
        <v>4626</v>
      </c>
      <c r="C1417" s="40" t="s">
        <v>4627</v>
      </c>
      <c r="D1417" s="40" t="s">
        <v>14</v>
      </c>
      <c r="E1417" s="40"/>
      <c r="F1417" s="40" t="s">
        <v>4633</v>
      </c>
      <c r="G1417" s="40"/>
    </row>
    <row r="1418" spans="1:7">
      <c r="A1418" s="37" t="s">
        <v>4634</v>
      </c>
      <c r="B1418" s="37" t="s">
        <v>4626</v>
      </c>
      <c r="C1418" s="37" t="s">
        <v>4627</v>
      </c>
      <c r="D1418" s="37" t="s">
        <v>4634</v>
      </c>
      <c r="E1418" s="37"/>
      <c r="F1418" s="37" t="s">
        <v>4635</v>
      </c>
      <c r="G1418" s="37"/>
    </row>
    <row r="1419" spans="1:7">
      <c r="A1419" s="40" t="s">
        <v>4636</v>
      </c>
      <c r="B1419" s="40" t="s">
        <v>4626</v>
      </c>
      <c r="C1419" s="40" t="s">
        <v>4627</v>
      </c>
      <c r="D1419" s="40" t="s">
        <v>4636</v>
      </c>
      <c r="E1419" s="40"/>
      <c r="F1419" s="40" t="s">
        <v>4637</v>
      </c>
      <c r="G1419" s="40"/>
    </row>
    <row r="1420" spans="1:7">
      <c r="A1420" s="37" t="s">
        <v>4638</v>
      </c>
      <c r="B1420" s="37" t="s">
        <v>4626</v>
      </c>
      <c r="C1420" s="37" t="s">
        <v>4627</v>
      </c>
      <c r="D1420" s="37" t="s">
        <v>4638</v>
      </c>
      <c r="E1420" s="37"/>
      <c r="F1420" s="37" t="s">
        <v>4639</v>
      </c>
      <c r="G1420" s="37"/>
    </row>
    <row r="1421" spans="1:7">
      <c r="A1421" s="40" t="s">
        <v>4640</v>
      </c>
      <c r="B1421" s="40" t="s">
        <v>4626</v>
      </c>
      <c r="C1421" s="40" t="s">
        <v>4627</v>
      </c>
      <c r="D1421" s="40" t="s">
        <v>4640</v>
      </c>
      <c r="E1421" s="40"/>
      <c r="F1421" s="40" t="s">
        <v>4641</v>
      </c>
      <c r="G1421" s="40"/>
    </row>
    <row r="1422" spans="1:7">
      <c r="A1422" s="37" t="s">
        <v>4642</v>
      </c>
      <c r="B1422" s="37" t="s">
        <v>4626</v>
      </c>
      <c r="C1422" s="37" t="s">
        <v>4627</v>
      </c>
      <c r="D1422" s="37" t="s">
        <v>4642</v>
      </c>
      <c r="E1422" s="37"/>
      <c r="F1422" s="37" t="s">
        <v>4643</v>
      </c>
      <c r="G1422" s="37"/>
    </row>
    <row r="1423" spans="1:7">
      <c r="A1423" s="40" t="s">
        <v>4644</v>
      </c>
      <c r="B1423" s="40" t="s">
        <v>4626</v>
      </c>
      <c r="C1423" s="40" t="s">
        <v>4627</v>
      </c>
      <c r="D1423" s="40" t="s">
        <v>4644</v>
      </c>
      <c r="E1423" s="40"/>
      <c r="F1423" s="40" t="s">
        <v>4645</v>
      </c>
      <c r="G1423" s="40"/>
    </row>
    <row r="1424" spans="1:7">
      <c r="A1424" s="37" t="s">
        <v>4646</v>
      </c>
      <c r="B1424" s="37" t="s">
        <v>4626</v>
      </c>
      <c r="C1424" s="37" t="s">
        <v>4627</v>
      </c>
      <c r="D1424" s="37" t="s">
        <v>4646</v>
      </c>
      <c r="E1424" s="37"/>
      <c r="F1424" s="37" t="s">
        <v>4647</v>
      </c>
      <c r="G1424" s="37"/>
    </row>
    <row r="1425" spans="1:7">
      <c r="A1425" s="40" t="s">
        <v>4648</v>
      </c>
      <c r="B1425" s="40" t="s">
        <v>4626</v>
      </c>
      <c r="C1425" s="40" t="s">
        <v>4627</v>
      </c>
      <c r="D1425" s="40" t="s">
        <v>4648</v>
      </c>
      <c r="E1425" s="40"/>
      <c r="F1425" s="40" t="s">
        <v>4649</v>
      </c>
      <c r="G1425" s="40"/>
    </row>
    <row r="1426" spans="1:7">
      <c r="A1426" t="s">
        <v>4650</v>
      </c>
      <c r="B1426" t="s">
        <v>4651</v>
      </c>
      <c r="C1426" t="s">
        <v>4652</v>
      </c>
      <c r="D1426" t="s">
        <v>4653</v>
      </c>
      <c r="F1426" t="s">
        <v>4654</v>
      </c>
    </row>
    <row r="1427" spans="1:7">
      <c r="A1427" t="s">
        <v>4655</v>
      </c>
      <c r="B1427" t="s">
        <v>4651</v>
      </c>
      <c r="C1427" t="s">
        <v>4652</v>
      </c>
      <c r="D1427" t="s">
        <v>4656</v>
      </c>
      <c r="F1427" t="s">
        <v>4657</v>
      </c>
    </row>
    <row r="1428" spans="1:7">
      <c r="A1428" t="s">
        <v>4658</v>
      </c>
      <c r="B1428" t="s">
        <v>4651</v>
      </c>
      <c r="C1428" t="s">
        <v>4652</v>
      </c>
      <c r="D1428" t="s">
        <v>4659</v>
      </c>
      <c r="F1428" t="s">
        <v>4660</v>
      </c>
    </row>
    <row r="1429" spans="1:7">
      <c r="A1429" t="s">
        <v>4661</v>
      </c>
      <c r="B1429" t="s">
        <v>4651</v>
      </c>
      <c r="C1429" t="s">
        <v>4652</v>
      </c>
      <c r="D1429" t="s">
        <v>4662</v>
      </c>
      <c r="F1429" t="s">
        <v>4663</v>
      </c>
    </row>
    <row r="1430" spans="1:7">
      <c r="A1430" s="40" t="s">
        <v>4664</v>
      </c>
      <c r="B1430" s="40" t="s">
        <v>4665</v>
      </c>
      <c r="C1430" s="40" t="s">
        <v>4666</v>
      </c>
      <c r="D1430" s="40" t="s">
        <v>4667</v>
      </c>
      <c r="E1430" s="40"/>
      <c r="F1430" s="40" t="s">
        <v>4668</v>
      </c>
      <c r="G1430" s="40"/>
    </row>
    <row r="1431" spans="1:7">
      <c r="A1431" s="40" t="s">
        <v>4669</v>
      </c>
      <c r="B1431" s="40" t="s">
        <v>4665</v>
      </c>
      <c r="C1431" s="40" t="s">
        <v>4666</v>
      </c>
      <c r="D1431" s="40" t="s">
        <v>4670</v>
      </c>
      <c r="E1431" s="40"/>
      <c r="F1431" s="40" t="s">
        <v>4671</v>
      </c>
      <c r="G1431" s="40"/>
    </row>
    <row r="1432" spans="1:7">
      <c r="A1432" s="39" t="s">
        <v>4672</v>
      </c>
      <c r="B1432" s="37" t="s">
        <v>4673</v>
      </c>
      <c r="C1432" s="37" t="s">
        <v>4674</v>
      </c>
      <c r="D1432" s="39" t="s">
        <v>4672</v>
      </c>
      <c r="E1432" s="39" t="s">
        <v>4675</v>
      </c>
      <c r="F1432" s="39" t="s">
        <v>4676</v>
      </c>
    </row>
    <row r="1433" spans="1:7">
      <c r="A1433" s="41" t="s">
        <v>4677</v>
      </c>
      <c r="B1433" s="40" t="s">
        <v>4673</v>
      </c>
      <c r="C1433" s="40" t="s">
        <v>4674</v>
      </c>
      <c r="D1433" s="41" t="s">
        <v>4678</v>
      </c>
      <c r="E1433" s="41" t="s">
        <v>4679</v>
      </c>
      <c r="F1433" s="41" t="s">
        <v>4680</v>
      </c>
    </row>
    <row r="1434" spans="1:7">
      <c r="A1434" s="39" t="s">
        <v>4681</v>
      </c>
      <c r="B1434" s="37" t="s">
        <v>4673</v>
      </c>
      <c r="C1434" s="37" t="s">
        <v>4674</v>
      </c>
      <c r="D1434" s="39" t="s">
        <v>4681</v>
      </c>
      <c r="E1434" s="39" t="s">
        <v>4682</v>
      </c>
      <c r="F1434" s="39" t="s">
        <v>4683</v>
      </c>
    </row>
    <row r="1435" spans="1:7">
      <c r="A1435" s="41" t="s">
        <v>4684</v>
      </c>
      <c r="B1435" s="40" t="s">
        <v>4673</v>
      </c>
      <c r="C1435" s="40" t="s">
        <v>4674</v>
      </c>
      <c r="D1435" s="41" t="s">
        <v>4685</v>
      </c>
      <c r="E1435" s="41" t="s">
        <v>4686</v>
      </c>
      <c r="F1435" s="41" t="s">
        <v>4687</v>
      </c>
    </row>
    <row r="1436" spans="1:7">
      <c r="A1436" t="s">
        <v>4688</v>
      </c>
      <c r="B1436" t="s">
        <v>4689</v>
      </c>
      <c r="C1436" t="s">
        <v>4690</v>
      </c>
      <c r="D1436" t="s">
        <v>4688</v>
      </c>
      <c r="E1436" t="s">
        <v>4688</v>
      </c>
      <c r="F1436" t="s">
        <v>4691</v>
      </c>
    </row>
    <row r="1437" spans="1:7">
      <c r="A1437" t="s">
        <v>4692</v>
      </c>
      <c r="B1437" t="s">
        <v>4689</v>
      </c>
      <c r="C1437" t="s">
        <v>4690</v>
      </c>
      <c r="D1437" t="s">
        <v>4692</v>
      </c>
      <c r="E1437" t="s">
        <v>4692</v>
      </c>
      <c r="F1437" t="s">
        <v>4693</v>
      </c>
    </row>
    <row r="1438" spans="1:7">
      <c r="A1438" t="s">
        <v>4694</v>
      </c>
      <c r="B1438" t="s">
        <v>4689</v>
      </c>
      <c r="C1438" t="s">
        <v>4690</v>
      </c>
      <c r="D1438" t="s">
        <v>4695</v>
      </c>
      <c r="E1438" t="s">
        <v>4696</v>
      </c>
      <c r="F1438" t="s">
        <v>4697</v>
      </c>
    </row>
    <row r="1439" spans="1:7">
      <c r="A1439" s="41" t="s">
        <v>4698</v>
      </c>
      <c r="B1439" s="40" t="s">
        <v>4699</v>
      </c>
      <c r="C1439" s="41" t="s">
        <v>4700</v>
      </c>
      <c r="D1439" s="41" t="s">
        <v>4698</v>
      </c>
      <c r="E1439" s="41" t="s">
        <v>4698</v>
      </c>
      <c r="F1439" s="42" t="s">
        <v>4701</v>
      </c>
      <c r="G1439" t="s">
        <v>4702</v>
      </c>
    </row>
    <row r="1440" spans="1:7">
      <c r="A1440" s="28" t="s">
        <v>4703</v>
      </c>
      <c r="B1440" s="32" t="s">
        <v>4699</v>
      </c>
      <c r="C1440" s="28" t="s">
        <v>4700</v>
      </c>
      <c r="D1440" s="28" t="s">
        <v>4703</v>
      </c>
      <c r="E1440" s="28" t="s">
        <v>4703</v>
      </c>
      <c r="F1440" s="33" t="s">
        <v>4704</v>
      </c>
      <c r="G1440" t="s">
        <v>4705</v>
      </c>
    </row>
    <row r="1441" spans="1:6">
      <c r="B1441" t="s">
        <v>4706</v>
      </c>
      <c r="C1441" s="3" t="s">
        <v>4707</v>
      </c>
      <c r="D1441" t="s">
        <v>4708</v>
      </c>
      <c r="E1441" t="s">
        <v>4708</v>
      </c>
      <c r="F1441" s="3" t="s">
        <v>4709</v>
      </c>
    </row>
    <row r="1442" spans="1:6">
      <c r="B1442" t="s">
        <v>4706</v>
      </c>
      <c r="C1442" t="s">
        <v>4707</v>
      </c>
      <c r="D1442" t="s">
        <v>4710</v>
      </c>
      <c r="E1442" t="s">
        <v>4710</v>
      </c>
      <c r="F1442" s="3" t="s">
        <v>4711</v>
      </c>
    </row>
    <row r="1443" spans="1:6">
      <c r="B1443" t="s">
        <v>4706</v>
      </c>
      <c r="C1443" t="s">
        <v>4707</v>
      </c>
      <c r="D1443" t="s">
        <v>4712</v>
      </c>
      <c r="E1443" t="s">
        <v>4713</v>
      </c>
      <c r="F1443" s="3" t="s">
        <v>4714</v>
      </c>
    </row>
    <row r="1444" spans="1:6">
      <c r="B1444" t="s">
        <v>4706</v>
      </c>
      <c r="C1444" t="s">
        <v>4707</v>
      </c>
      <c r="D1444" t="s">
        <v>4715</v>
      </c>
      <c r="E1444" t="s">
        <v>4716</v>
      </c>
      <c r="F1444" s="3" t="s">
        <v>4717</v>
      </c>
    </row>
    <row r="1445" spans="1:6">
      <c r="A1445" s="173" t="s">
        <v>4718</v>
      </c>
      <c r="B1445" t="s">
        <v>4719</v>
      </c>
      <c r="C1445" s="173" t="s">
        <v>4720</v>
      </c>
      <c r="D1445" s="173" t="s">
        <v>4718</v>
      </c>
      <c r="F1445" s="173" t="s">
        <v>4721</v>
      </c>
    </row>
    <row r="1446" spans="1:6">
      <c r="A1446" s="173" t="s">
        <v>4722</v>
      </c>
      <c r="B1446" t="s">
        <v>4719</v>
      </c>
      <c r="C1446" s="173" t="s">
        <v>4720</v>
      </c>
      <c r="D1446" s="173" t="s">
        <v>4722</v>
      </c>
      <c r="F1446" s="173" t="s">
        <v>4723</v>
      </c>
    </row>
    <row r="1447" spans="1:6">
      <c r="A1447" s="173" t="s">
        <v>4724</v>
      </c>
      <c r="B1447" t="s">
        <v>4719</v>
      </c>
      <c r="C1447" s="173" t="s">
        <v>4720</v>
      </c>
      <c r="D1447" s="173" t="s">
        <v>4724</v>
      </c>
      <c r="F1447" s="173" t="s">
        <v>4725</v>
      </c>
    </row>
    <row r="1448" spans="1:6">
      <c r="A1448" s="173" t="s">
        <v>4726</v>
      </c>
      <c r="B1448" t="s">
        <v>4719</v>
      </c>
      <c r="C1448" s="173" t="s">
        <v>4720</v>
      </c>
      <c r="D1448" s="173" t="s">
        <v>4726</v>
      </c>
      <c r="F1448" s="173" t="s">
        <v>4727</v>
      </c>
    </row>
    <row r="1449" spans="1:6">
      <c r="A1449" s="173" t="s">
        <v>4728</v>
      </c>
      <c r="B1449" t="s">
        <v>4719</v>
      </c>
      <c r="C1449" s="173" t="s">
        <v>4720</v>
      </c>
      <c r="D1449" s="173" t="s">
        <v>4728</v>
      </c>
      <c r="F1449" s="173" t="s">
        <v>4729</v>
      </c>
    </row>
    <row r="1450" spans="1:6">
      <c r="A1450" s="173" t="s">
        <v>4730</v>
      </c>
      <c r="B1450" t="s">
        <v>4719</v>
      </c>
      <c r="C1450" s="173" t="s">
        <v>4720</v>
      </c>
      <c r="D1450" s="173" t="s">
        <v>4730</v>
      </c>
      <c r="F1450" s="173" t="s">
        <v>4731</v>
      </c>
    </row>
    <row r="1451" spans="1:6">
      <c r="A1451" s="173" t="s">
        <v>4732</v>
      </c>
      <c r="B1451" t="s">
        <v>4719</v>
      </c>
      <c r="C1451" s="173" t="s">
        <v>4720</v>
      </c>
      <c r="D1451" s="173" t="s">
        <v>4732</v>
      </c>
      <c r="F1451" s="173" t="s">
        <v>4733</v>
      </c>
    </row>
    <row r="1452" spans="1:6">
      <c r="A1452" s="173" t="s">
        <v>4734</v>
      </c>
      <c r="B1452" t="s">
        <v>4719</v>
      </c>
      <c r="C1452" s="173" t="s">
        <v>4720</v>
      </c>
      <c r="D1452" s="173" t="s">
        <v>4734</v>
      </c>
      <c r="F1452" s="173" t="s">
        <v>4735</v>
      </c>
    </row>
    <row r="1453" spans="1:6">
      <c r="A1453" s="173" t="s">
        <v>4736</v>
      </c>
      <c r="B1453" t="s">
        <v>4719</v>
      </c>
      <c r="C1453" s="173" t="s">
        <v>4720</v>
      </c>
      <c r="D1453" s="173" t="s">
        <v>4736</v>
      </c>
      <c r="F1453" s="173" t="s">
        <v>4737</v>
      </c>
    </row>
    <row r="1454" spans="1:6">
      <c r="A1454" s="173" t="s">
        <v>4738</v>
      </c>
      <c r="B1454" t="s">
        <v>4719</v>
      </c>
      <c r="C1454" s="173" t="s">
        <v>4720</v>
      </c>
      <c r="D1454" s="173" t="s">
        <v>4738</v>
      </c>
      <c r="F1454" s="173" t="s">
        <v>4739</v>
      </c>
    </row>
    <row r="1455" spans="1:6">
      <c r="A1455" s="173" t="s">
        <v>4740</v>
      </c>
      <c r="B1455" t="s">
        <v>4719</v>
      </c>
      <c r="C1455" s="173" t="s">
        <v>4720</v>
      </c>
      <c r="D1455" s="173" t="s">
        <v>4740</v>
      </c>
      <c r="F1455" s="173" t="s">
        <v>4741</v>
      </c>
    </row>
    <row r="1456" spans="1:6">
      <c r="A1456" s="173" t="s">
        <v>4742</v>
      </c>
      <c r="B1456" t="s">
        <v>4719</v>
      </c>
      <c r="C1456" s="173" t="s">
        <v>4720</v>
      </c>
      <c r="D1456" s="173" t="s">
        <v>4742</v>
      </c>
      <c r="F1456" s="174" t="s">
        <v>4743</v>
      </c>
    </row>
    <row r="1457" spans="1:6">
      <c r="A1457" s="173" t="s">
        <v>4744</v>
      </c>
      <c r="B1457" t="s">
        <v>4719</v>
      </c>
      <c r="C1457" s="173" t="s">
        <v>4720</v>
      </c>
      <c r="D1457" s="173" t="s">
        <v>4744</v>
      </c>
      <c r="F1457" s="174" t="s">
        <v>4745</v>
      </c>
    </row>
    <row r="1458" spans="1:6">
      <c r="A1458" s="173" t="s">
        <v>4746</v>
      </c>
      <c r="B1458" t="s">
        <v>4719</v>
      </c>
      <c r="C1458" s="173" t="s">
        <v>4720</v>
      </c>
      <c r="D1458" s="173" t="s">
        <v>4746</v>
      </c>
      <c r="F1458" s="174" t="s">
        <v>4747</v>
      </c>
    </row>
  </sheetData>
  <sheetProtection formatColumns="0"/>
  <phoneticPr fontId="12" type="noConversion"/>
  <hyperlinks>
    <hyperlink ref="F14" r:id="rId1" xr:uid="{00000000-0004-0000-0900-000000000000}"/>
    <hyperlink ref="F42" r:id="rId2" xr:uid="{00000000-0004-0000-0900-000005000000}"/>
    <hyperlink ref="F43" r:id="rId3" xr:uid="{00000000-0004-0000-0900-000006000000}"/>
    <hyperlink ref="F46" r:id="rId4" xr:uid="{00000000-0004-0000-0900-000007000000}"/>
    <hyperlink ref="F18" r:id="rId5" xr:uid="{00000000-0004-0000-0900-000008000000}"/>
    <hyperlink ref="F19" r:id="rId6" xr:uid="{00000000-0004-0000-0900-000009000000}"/>
    <hyperlink ref="F13" r:id="rId7" xr:uid="{00000000-0004-0000-0900-00000A000000}"/>
    <hyperlink ref="F953" r:id="rId8" xr:uid="{00000000-0004-0000-0900-00000B000000}"/>
    <hyperlink ref="F954" r:id="rId9" xr:uid="{00000000-0004-0000-0900-00000C000000}"/>
    <hyperlink ref="F955" r:id="rId10" xr:uid="{00000000-0004-0000-0900-00000D000000}"/>
    <hyperlink ref="F956" r:id="rId11" xr:uid="{00000000-0004-0000-0900-00000E000000}"/>
    <hyperlink ref="F957" r:id="rId12" xr:uid="{00000000-0004-0000-0900-00000F000000}"/>
    <hyperlink ref="F958" r:id="rId13" xr:uid="{00000000-0004-0000-0900-000010000000}"/>
    <hyperlink ref="F959" r:id="rId14" xr:uid="{00000000-0004-0000-0900-000011000000}"/>
    <hyperlink ref="F960" r:id="rId15" xr:uid="{00000000-0004-0000-0900-000012000000}"/>
    <hyperlink ref="F961" r:id="rId16" xr:uid="{00000000-0004-0000-0900-000013000000}"/>
    <hyperlink ref="F962" r:id="rId17" xr:uid="{00000000-0004-0000-0900-000014000000}"/>
    <hyperlink ref="F963" r:id="rId18" xr:uid="{00000000-0004-0000-0900-000015000000}"/>
    <hyperlink ref="F964" r:id="rId19" xr:uid="{00000000-0004-0000-0900-000016000000}"/>
    <hyperlink ref="F965:F970" r:id="rId20" display="http://data.europa.eu/europass/targetGroup/requireretraining" xr:uid="{00000000-0004-0000-0900-000017000000}"/>
    <hyperlink ref="F965" r:id="rId21" xr:uid="{00000000-0004-0000-0900-000018000000}"/>
    <hyperlink ref="F966" r:id="rId22" xr:uid="{00000000-0004-0000-0900-000019000000}"/>
    <hyperlink ref="F967" r:id="rId23" xr:uid="{00000000-0004-0000-0900-00001A000000}"/>
    <hyperlink ref="F968" r:id="rId24" xr:uid="{00000000-0004-0000-0900-00001B000000}"/>
    <hyperlink ref="F969" r:id="rId25" xr:uid="{00000000-0004-0000-0900-00001C000000}"/>
    <hyperlink ref="F970" r:id="rId26" xr:uid="{00000000-0004-0000-0900-00001D000000}"/>
    <hyperlink ref="F329" r:id="rId27" display="http://data.europa.eu/esco/isced-f/00" xr:uid="{00000000-0004-0000-0900-00001E000000}"/>
    <hyperlink ref="F47" r:id="rId28" xr:uid="{00000000-0004-0000-0900-00001F000000}"/>
    <hyperlink ref="F979" r:id="rId29" display="http://data.europa.eu/esco/qdr/QF/AT" xr:uid="{00000000-0004-0000-0900-000020000000}"/>
    <hyperlink ref="C1415:C1425" r:id="rId30" display="http://data.europa.eu/europass/learningOpportunityTypes" xr:uid="{00000000-0004-0000-0900-000021000000}"/>
    <hyperlink ref="C1433" r:id="rId31" display="http://data.europa.eu/europass/methodOfSupervisionAndVerification" xr:uid="{00000000-0004-0000-0900-000022000000}"/>
    <hyperlink ref="C1434" r:id="rId32" display="http://data.europa.eu/europass/methodOfSupervisionAndVerification" xr:uid="{00000000-0004-0000-0900-000023000000}"/>
    <hyperlink ref="C1435" r:id="rId33" display="http://data.europa.eu/europass/methodOfSupervisionAndVerification" xr:uid="{00000000-0004-0000-0900-000024000000}"/>
    <hyperlink ref="C1439:C1440" r:id="rId34" display="http://data.europa.eu/europass/codeList/entitlementStatuses" xr:uid="{00000000-0004-0000-0900-000025000000}"/>
    <hyperlink ref="C1441" r:id="rId35" xr:uid="{00000000-0004-0000-0900-000026000000}"/>
    <hyperlink ref="C1444" r:id="rId36" xr:uid="{00000000-0004-0000-0900-000027000000}"/>
    <hyperlink ref="F1441" r:id="rId37" xr:uid="{00000000-0004-0000-0900-000028000000}"/>
    <hyperlink ref="F1444" r:id="rId38" xr:uid="{00000000-0004-0000-0900-000029000000}"/>
    <hyperlink ref="F44" r:id="rId39" xr:uid="{00000000-0004-0000-0900-00002A000000}"/>
    <hyperlink ref="F1447" r:id="rId40" display="http://data.europa.eu/europass/assessmentType/markedAssignment" xr:uid="{00000000-0004-0000-0900-00002B000000}"/>
    <hyperlink ref="F1456" r:id="rId41" display="http://data.europa.eu/europass/assessmentType/quiz" xr:uid="{00000000-0004-0000-0900-00002C000000}"/>
    <hyperlink ref="F1457" r:id="rId42" display="http://data.europa.eu/europass/assessmentType/peerReview" xr:uid="{00000000-0004-0000-0900-00002D000000}"/>
    <hyperlink ref="F1458" r:id="rId43" display="http://data.europa.eu/europass/assessmentType/problemBased" xr:uid="{00000000-0004-0000-0900-00002E000000}"/>
    <hyperlink ref="F1442" r:id="rId44" xr:uid="{00000000-0004-0000-0900-00002F000000}"/>
    <hyperlink ref="F1443" r:id="rId45" xr:uid="{00000000-0004-0000-0900-000030000000}"/>
    <hyperlink ref="F45" r:id="rId46" xr:uid="{00000000-0004-0000-0900-000031000000}"/>
    <hyperlink ref="F943" r:id="rId47" display="http://data.europa.eu/europass/modeOfLearningAndAssessment/online" xr:uid="{00000000-0004-0000-0900-000032000000}"/>
    <hyperlink ref="F946" r:id="rId48" display="http://data.europa.eu/europass/modeOfLearningAndAssessment/workbased" xr:uid="{00000000-0004-0000-0900-000033000000}"/>
    <hyperlink ref="F948" r:id="rId49" display="http://data.europa.eu/europass/modeOfLearningAndAssessment/workbased" xr:uid="{00000000-0004-0000-0900-000034000000}"/>
    <hyperlink ref="C953" r:id="rId50" xr:uid="{00000000-0004-0000-0900-000035000000}"/>
    <hyperlink ref="F951" r:id="rId51" xr:uid="{00000000-0004-0000-0900-000036000000}"/>
    <hyperlink ref="F952" r:id="rId52" xr:uid="{00000000-0004-0000-0900-000037000000}"/>
    <hyperlink ref="F971" r:id="rId53" xr:uid="{00000000-0004-0000-0900-000038000000}"/>
    <hyperlink ref="F972" r:id="rId54" xr:uid="{00000000-0004-0000-0900-000039000000}"/>
    <hyperlink ref="F973" r:id="rId55" xr:uid="{00000000-0004-0000-0900-00003A000000}"/>
    <hyperlink ref="F974" r:id="rId56" xr:uid="{00000000-0004-0000-0900-00003B000000}"/>
    <hyperlink ref="F975" r:id="rId57" xr:uid="{00000000-0004-0000-0900-00003C000000}"/>
    <hyperlink ref="F976" r:id="rId58" xr:uid="{00000000-0004-0000-0900-00003D000000}"/>
    <hyperlink ref="F977" r:id="rId59" xr:uid="{00000000-0004-0000-0900-00003E000000}"/>
    <hyperlink ref="F978" r:id="rId60" xr:uid="{00000000-0004-0000-0900-00003F000000}"/>
    <hyperlink ref="F1403" r:id="rId61" display="http://data.europa.eu/europass/learningActivityType/educationalProgramme" xr:uid="{00000000-0004-0000-0900-000040000000}"/>
    <hyperlink ref="F1408" r:id="rId62" display="http://data.europa.eu/europass/learningActivityType/volunteering" xr:uid="{00000000-0004-0000-0900-000041000000}"/>
    <hyperlink ref="F1409" r:id="rId63" display="http://data.europa.eu/europass/learningActivityType/jobexperience" xr:uid="{00000000-0004-0000-0900-000042000000}"/>
    <hyperlink ref="F1410" r:id="rId64" display="http://data.europa.eu/europass/learningActivityType/classroom" xr:uid="{00000000-0004-0000-0900-000043000000}"/>
    <hyperlink ref="F1411" r:id="rId65" display="http://data.europa.eu/europass/learningActivityType/lab" xr:uid="{00000000-0004-0000-0900-000044000000}"/>
    <hyperlink ref="F1412" r:id="rId66" display="http://data.europa.eu/europass/learningActivityType/elearning" xr:uid="{00000000-0004-0000-0900-000045000000}"/>
    <hyperlink ref="F1413" r:id="rId67" display="http://data.europa.eu/europass/learningActivityType/research" xr:uid="{00000000-0004-0000-0900-000046000000}"/>
    <hyperlink ref="C1424:C1425" r:id="rId68" display="http://data.europa.eu/europass/learningOpportunityTypes" xr:uid="{00000000-0004-0000-0900-000047000000}"/>
    <hyperlink ref="C1431" r:id="rId69" display="http://data.europa.eu/esco/skill-type/" xr:uid="{00000000-0004-0000-0900-000048000000}"/>
    <hyperlink ref="F1430" r:id="rId70" display="http://data.europa.eu/esco/skill-type/knowledge" xr:uid="{00000000-0004-0000-0900-000049000000}"/>
    <hyperlink ref="F1431" r:id="rId71" display="http://data.europa.eu/esco/skill-type/skill" xr:uid="{00000000-0004-0000-0900-00004A000000}"/>
    <hyperlink ref="F1426" r:id="rId72" display="http://data.europa.eu/esco/skill-reuse-level/occupation-specific" xr:uid="{00000000-0004-0000-0900-00004B000000}"/>
    <hyperlink ref="F1427" r:id="rId73" display="http://data.europa.eu/esco/skill-reuse-level/sector-specific" xr:uid="{00000000-0004-0000-0900-00004C000000}"/>
    <hyperlink ref="F1429" r:id="rId74" display="http://data.europa.eu/esco/skill-reuse-level/transversal" xr:uid="{00000000-0004-0000-0900-00004D000000}"/>
    <hyperlink ref="F1432" r:id="rId75" display="http://data.europa.eu/europass/methodOfSupervisionAndVerification/nosupid" xr:uid="{00000000-0004-0000-0900-00004E000000}"/>
    <hyperlink ref="F1433" r:id="rId76" display="http://data.europa.eu/europass/methodOfSupervisionAndVerification/nosupnoid" xr:uid="{00000000-0004-0000-0900-00004F000000}"/>
    <hyperlink ref="F1434" r:id="rId77" display="http://data.europa.eu/europass/methodOfSupervisionAndVerification/supid" xr:uid="{00000000-0004-0000-0900-000050000000}"/>
    <hyperlink ref="F1435" r:id="rId78" display="http://data.europa.eu/europass/methodOfSupervisionAndVerification/nosupid" xr:uid="{00000000-0004-0000-0900-000051000000}"/>
    <hyperlink ref="F980" r:id="rId79" xr:uid="{00000000-0004-0000-0900-000052000000}"/>
    <hyperlink ref="C1430" r:id="rId80" display="http://data.europa.eu/esco/skill-type/" xr:uid="{00000000-0004-0000-0900-000053000000}"/>
    <hyperlink ref="C1414" r:id="rId81" display="http://data.europa.eu/europass/learningOpportunityTypes" xr:uid="{00000000-0004-0000-0900-000054000000}"/>
    <hyperlink ref="C1432" r:id="rId82" display="http://data.europa.eu/europass/methodOfSupervisionAndVerification" xr:uid="{00000000-0004-0000-0900-000055000000}"/>
    <hyperlink ref="F31" r:id="rId83" xr:uid="{723FED12-B76C-4F65-B242-389E6C7FBF6C}"/>
    <hyperlink ref="F36" r:id="rId84" display="http://data.europa.eu/snb/credential/e34929035b" xr:uid="{986B6AE2-2BF6-4FC0-BDDA-668C77042B4F}"/>
    <hyperlink ref="F32" r:id="rId85" display="http://data.europa.eu/snb/credential/6cf8e68c43" xr:uid="{5599F3E3-2E9C-475A-BF82-726DC2F256EE}"/>
    <hyperlink ref="F33" r:id="rId86" display="http://data.europa.eu/snb/credential/bdc47cb449" xr:uid="{CD406DDB-9550-46ED-85F2-9CC39F121265}"/>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16"/>
  <sheetViews>
    <sheetView workbookViewId="0">
      <selection activeCell="A2" sqref="A2:Y2"/>
    </sheetView>
  </sheetViews>
  <sheetFormatPr defaultColWidth="9.140625" defaultRowHeight="15"/>
  <sheetData>
    <row r="1" spans="1:25">
      <c r="A1" s="1" t="s">
        <v>41</v>
      </c>
      <c r="B1" s="1" t="s">
        <v>42</v>
      </c>
      <c r="C1" s="1" t="s">
        <v>43</v>
      </c>
      <c r="D1" s="1" t="s">
        <v>44</v>
      </c>
      <c r="E1" s="1" t="s">
        <v>45</v>
      </c>
      <c r="F1" s="1" t="s">
        <v>46</v>
      </c>
      <c r="G1" s="1" t="s">
        <v>47</v>
      </c>
      <c r="H1" s="1" t="s">
        <v>48</v>
      </c>
      <c r="I1" s="1" t="s">
        <v>49</v>
      </c>
      <c r="J1" s="1" t="s">
        <v>50</v>
      </c>
      <c r="K1" s="1" t="s">
        <v>51</v>
      </c>
      <c r="L1" s="1" t="s">
        <v>52</v>
      </c>
      <c r="M1" s="1" t="s">
        <v>53</v>
      </c>
      <c r="N1" s="1" t="s">
        <v>54</v>
      </c>
      <c r="O1" s="1" t="s">
        <v>55</v>
      </c>
      <c r="P1" s="1" t="s">
        <v>56</v>
      </c>
      <c r="Q1" s="1" t="s">
        <v>57</v>
      </c>
      <c r="R1" s="1" t="s">
        <v>58</v>
      </c>
      <c r="S1" s="1" t="s">
        <v>59</v>
      </c>
      <c r="T1" s="1" t="s">
        <v>60</v>
      </c>
      <c r="U1" s="1" t="s">
        <v>61</v>
      </c>
      <c r="V1" s="1" t="s">
        <v>62</v>
      </c>
      <c r="W1" s="1" t="s">
        <v>63</v>
      </c>
      <c r="X1" s="1" t="s">
        <v>64</v>
      </c>
      <c r="Y1" s="1" t="s">
        <v>65</v>
      </c>
    </row>
    <row r="2" spans="1:25" ht="23.25" thickBot="1">
      <c r="A2" s="9" t="s">
        <v>78</v>
      </c>
      <c r="B2" s="9" t="s">
        <v>79</v>
      </c>
      <c r="C2" s="9" t="s">
        <v>80</v>
      </c>
      <c r="D2" s="9" t="s">
        <v>81</v>
      </c>
      <c r="E2" s="9" t="s">
        <v>82</v>
      </c>
      <c r="F2" s="9" t="s">
        <v>83</v>
      </c>
      <c r="G2" s="9" t="s">
        <v>84</v>
      </c>
      <c r="H2" s="9" t="s">
        <v>85</v>
      </c>
      <c r="I2" s="9" t="s">
        <v>86</v>
      </c>
      <c r="J2" s="9" t="s">
        <v>87</v>
      </c>
      <c r="K2" s="9" t="s">
        <v>88</v>
      </c>
      <c r="L2" s="9" t="s">
        <v>89</v>
      </c>
      <c r="M2" s="9" t="s">
        <v>90</v>
      </c>
      <c r="N2" s="9" t="s">
        <v>91</v>
      </c>
      <c r="O2" s="9" t="s">
        <v>92</v>
      </c>
      <c r="P2" s="9" t="s">
        <v>93</v>
      </c>
      <c r="Q2" s="9" t="s">
        <v>94</v>
      </c>
      <c r="R2" s="9" t="s">
        <v>12</v>
      </c>
      <c r="S2" s="9" t="s">
        <v>95</v>
      </c>
      <c r="T2" s="9" t="s">
        <v>96</v>
      </c>
      <c r="U2" s="9" t="s">
        <v>97</v>
      </c>
      <c r="V2" s="9" t="s">
        <v>98</v>
      </c>
      <c r="W2" s="9" t="s">
        <v>99</v>
      </c>
      <c r="X2" s="9" t="s">
        <v>100</v>
      </c>
      <c r="Y2" s="9" t="s">
        <v>101</v>
      </c>
    </row>
    <row r="16" spans="1:25">
      <c r="A16" t="s">
        <v>4748</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6"/>
  <sheetViews>
    <sheetView workbookViewId="0">
      <selection activeCell="A7" sqref="A7"/>
    </sheetView>
  </sheetViews>
  <sheetFormatPr defaultColWidth="9.140625" defaultRowHeight="15"/>
  <cols>
    <col min="2" max="2" width="54.42578125" customWidth="1"/>
  </cols>
  <sheetData>
    <row r="1" spans="1:2">
      <c r="A1" t="s">
        <v>4749</v>
      </c>
      <c r="B1" t="s">
        <v>4750</v>
      </c>
    </row>
    <row r="2" spans="1:2">
      <c r="A2" t="s">
        <v>4751</v>
      </c>
      <c r="B2" t="s">
        <v>4752</v>
      </c>
    </row>
    <row r="3" spans="1:2">
      <c r="A3" t="s">
        <v>4753</v>
      </c>
      <c r="B3" t="s">
        <v>4754</v>
      </c>
    </row>
    <row r="4" spans="1:2">
      <c r="A4" t="s">
        <v>4755</v>
      </c>
      <c r="B4" t="s">
        <v>4756</v>
      </c>
    </row>
    <row r="5" spans="1:2">
      <c r="A5" t="s">
        <v>4757</v>
      </c>
      <c r="B5" t="s">
        <v>4758</v>
      </c>
    </row>
    <row r="6" spans="1:2">
      <c r="A6" t="s">
        <v>4759</v>
      </c>
      <c r="B6" t="s">
        <v>4760</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A3F293FF3A9A4B98E64BB34BB78BA3" ma:contentTypeVersion="13" ma:contentTypeDescription="Create a new document." ma:contentTypeScope="" ma:versionID="780e9a36bc58ab16c3107966ccaed5df">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bdf56705d31ea8ba94a4983f498aac60"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36C3A1A-3715-4F5D-A7AD-7EFAC69436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E2E7721-84D0-4894-9BDB-C79EFB98AC96}">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4a230dd3-5426-44e9-972e-c86e457e3d31"/>
    <ds:schemaRef ds:uri="0c869d80-d99c-4dac-b26b-cbbc56b0e91c"/>
    <ds:schemaRef ds:uri="http://www.w3.org/XML/1998/namespace"/>
    <ds:schemaRef ds:uri="http://purl.org/dc/dcmitype/"/>
  </ds:schemaRefs>
</ds:datastoreItem>
</file>

<file path=customXml/itemProps3.xml><?xml version="1.0" encoding="utf-8"?>
<ds:datastoreItem xmlns:ds="http://schemas.openxmlformats.org/officeDocument/2006/customXml" ds:itemID="{53B53D25-8ACA-436D-8E95-84B19986741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Otto Hylli (TAU)</cp:lastModifiedBy>
  <cp:revision/>
  <cp:lastPrinted>2020-10-02T06:51:16Z</cp:lastPrinted>
  <dcterms:created xsi:type="dcterms:W3CDTF">2020-03-07T20:03:46Z</dcterms:created>
  <dcterms:modified xsi:type="dcterms:W3CDTF">2022-03-04T13:58:49Z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