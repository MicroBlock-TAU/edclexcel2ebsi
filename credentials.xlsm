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hylli\koodit\microblock\edclexcel2ebsi\"/>
    </mc:Choice>
  </mc:AlternateContent>
  <xr:revisionPtr revIDLastSave="0" documentId="13_ncr:1_{6704C5AF-49E6-499A-9D29-F5D182286B9A}" xr6:coauthVersionLast="47" xr6:coauthVersionMax="47" xr10:uidLastSave="{00000000-0000-0000-0000-000000000000}"/>
  <bookViews>
    <workbookView xWindow="-120" yWindow="-120" windowWidth="29040" windowHeight="15840" tabRatio="859" activeTab="2"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Q15" i="1" a="1"/>
  <c r="BM15" i="1" a="1"/>
  <c r="BM14" i="1" a="1"/>
  <c r="BM13" i="1" a="1"/>
  <c r="BQ14" i="1" a="1"/>
  <c r="BQ13" i="1" a="1"/>
  <c r="BO13" i="1" a="1"/>
  <c r="BM16" i="1" l="1"/>
  <c r="BQ16" i="1"/>
  <c r="BM15" i="1"/>
  <c r="BQ15" i="1"/>
  <c r="BM14" i="1"/>
  <c r="BQ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BO15" i="1" a="1"/>
  <c r="BO16" i="1" a="1"/>
  <c r="BO16" i="1" l="1"/>
  <c r="BO15" i="1"/>
  <c r="BN14" i="1"/>
  <c r="EA17" i="6"/>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O14" i="1" a="1"/>
  <c r="BO14" i="1" l="1"/>
  <c r="BN13" i="12"/>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<sst xmlns="http://schemas.openxmlformats.org/spreadsheetml/2006/main" count="18791" uniqueCount="6764">
  <si>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</si>
  <si>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</si>
  <si>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</si>
  <si>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</si>
  <si>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</si>
  <si>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</si>
  <si>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</si>
  <si>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</si>
  <si>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</si>
  <si>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</si>
  <si>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</si>
  <si>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</si>
  <si>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</si>
  <si>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</si>
  <si>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</si>
  <si>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</si>
  <si>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</si>
  <si>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</si>
  <si>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</si>
  <si>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</si>
  <si>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</si>
  <si>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</si>
  <si>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</si>
  <si>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</si>
  <si>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</si>
  <si>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</si>
  <si>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</si>
  <si>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</si>
  <si>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</si>
  <si>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</si>
  <si>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</si>
  <si>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</si>
  <si>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</si>
  <si>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</si>
  <si>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</si>
  <si>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</si>
  <si>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</si>
  <si>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</si>
  <si>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</si>
  <si>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</si>
  <si>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</si>
  <si>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</si>
  <si>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</si>
  <si>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</si>
  <si>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</si>
  <si>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</si>
  <si>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</si>
  <si>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</si>
  <si>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</si>
  <si>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</si>
  <si>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</si>
  <si>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</si>
  <si>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</si>
  <si>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</si>
  <si>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</si>
  <si>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</si>
  <si>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</si>
  <si>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</si>
  <si>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</si>
  <si>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</si>
  <si>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</si>
  <si>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</si>
  <si>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</si>
  <si>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</si>
  <si>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</si>
  <si>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</si>
  <si>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</si>
  <si>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</si>
  <si>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</si>
  <si>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</si>
  <si>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</si>
  <si>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</si>
  <si>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</si>
  <si>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</si>
  <si>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</si>
  <si>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</si>
  <si>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</si>
  <si>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</si>
  <si>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</si>
  <si>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</si>
  <si>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</si>
  <si>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</si>
  <si>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</si>
  <si>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</si>
  <si>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</si>
  <si>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</si>
  <si>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</si>
  <si>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</si>
  <si>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</si>
  <si>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</si>
  <si>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</si>
  <si>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</si>
  <si>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</si>
  <si>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</si>
  <si>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</si>
  <si>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</si>
  <si>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</si>
  <si>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</si>
  <si>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</si>
  <si>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</si>
  <si>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</si>
  <si>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</si>
  <si>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</si>
  <si>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</si>
  <si>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</si>
  <si>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</si>
  <si>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</si>
  <si>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</si>
  <si>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</si>
  <si>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</si>
  <si>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</si>
  <si>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</si>
  <si>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</si>
  <si>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</si>
  <si>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</si>
  <si>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</si>
  <si>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</si>
  <si>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</si>
  <si>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</si>
  <si>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</si>
  <si>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</si>
  <si>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</si>
  <si>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</si>
  <si>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</si>
  <si>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</si>
  <si>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</si>
  <si>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</si>
  <si>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</si>
  <si>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</si>
  <si>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</si>
  <si>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</si>
  <si>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</si>
  <si>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</si>
  <si>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</si>
  <si>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</si>
  <si>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</si>
  <si>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</si>
  <si>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</si>
  <si>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</si>
  <si>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</si>
  <si>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</si>
  <si>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</si>
  <si>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</si>
  <si>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</si>
  <si>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</si>
  <si>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</si>
  <si>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</si>
  <si>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</si>
  <si>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</si>
  <si>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</si>
  <si>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</si>
  <si>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</si>
  <si>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</si>
  <si>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</si>
  <si>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</si>
  <si>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</si>
  <si>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</si>
  <si>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</si>
  <si>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</si>
  <si>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</si>
  <si>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</si>
  <si>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</si>
  <si>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</si>
  <si>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</si>
  <si>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</si>
  <si>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</si>
  <si>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</si>
  <si>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</si>
  <si>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</si>
  <si>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</si>
  <si>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</si>
  <si>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</si>
  <si>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</si>
  <si>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</si>
  <si>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</si>
  <si>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</si>
  <si>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</si>
  <si>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</si>
  <si>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</si>
  <si>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</si>
  <si>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</si>
  <si>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</si>
  <si>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</si>
  <si>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</si>
  <si>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</si>
  <si>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</si>
  <si>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</si>
  <si>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</si>
  <si>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</si>
  <si>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</si>
  <si>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</si>
  <si>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</si>
  <si>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</si>
  <si>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</si>
  <si>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</si>
  <si>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</si>
  <si>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</si>
  <si>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</si>
  <si>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</si>
  <si>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</si>
  <si>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</si>
  <si>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</si>
  <si>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</si>
  <si>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</si>
  <si>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</si>
  <si>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</si>
  <si>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</si>
  <si>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</si>
  <si>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</si>
  <si>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</si>
  <si>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</si>
  <si>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</si>
  <si>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</si>
  <si>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</si>
  <si>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</si>
  <si>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</si>
  <si>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</si>
  <si>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</si>
  <si>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</si>
  <si>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</si>
  <si>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</si>
  <si>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</si>
  <si>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</si>
  <si>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</si>
  <si>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</si>
  <si>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</si>
  <si>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</si>
  <si>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</si>
  <si>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</si>
  <si>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</si>
  <si>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</si>
  <si>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</si>
  <si>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</si>
  <si>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</si>
  <si>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</si>
  <si>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</si>
  <si>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</si>
  <si>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</si>
  <si>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</si>
  <si>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</si>
  <si>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</si>
  <si>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</si>
  <si>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</si>
  <si>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</si>
  <si>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</si>
  <si>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</si>
  <si>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</si>
  <si>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</si>
  <si>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</si>
  <si>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</si>
  <si>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</si>
  <si>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</si>
  <si>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</si>
  <si>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</si>
  <si>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</si>
  <si>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</si>
  <si>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</si>
  <si>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</si>
  <si>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</si>
  <si>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</si>
  <si>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</si>
  <si>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</si>
  <si>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</si>
  <si>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</si>
  <si>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</si>
  <si>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</si>
  <si>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</si>
  <si>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</si>
  <si>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</si>
  <si>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</si>
  <si>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</si>
  <si>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</si>
  <si>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</si>
  <si>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</si>
  <si>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</si>
  <si>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</si>
  <si>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</si>
  <si>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</si>
  <si>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</si>
  <si>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</si>
  <si>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</si>
  <si>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</si>
  <si>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</si>
  <si>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</si>
  <si>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</si>
  <si>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</si>
  <si>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</si>
  <si>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</si>
  <si>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</si>
  <si>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</si>
  <si>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</si>
  <si>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</si>
  <si>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</si>
  <si>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</si>
  <si>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</si>
  <si>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</si>
  <si>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</si>
  <si>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</si>
  <si>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</si>
  <si>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</si>
  <si>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</si>
  <si>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</si>
  <si>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</si>
  <si>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</si>
  <si>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</si>
  <si>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</si>
  <si>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</si>
  <si>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</si>
  <si>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</si>
  <si>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</si>
  <si>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</si>
  <si>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</si>
  <si>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</si>
  <si>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</si>
  <si>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</si>
  <si>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</si>
  <si>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</si>
  <si>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</si>
  <si>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</si>
  <si>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</si>
  <si>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</si>
  <si>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</si>
  <si>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</si>
  <si>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</si>
  <si>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</si>
  <si>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</si>
  <si>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</si>
  <si>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</si>
  <si>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</si>
  <si>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</si>
  <si>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</si>
  <si>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</si>
  <si>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</si>
  <si>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</si>
  <si>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</si>
  <si>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</si>
  <si>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</si>
  <si>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</si>
  <si>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</si>
  <si>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</si>
  <si>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</si>
  <si>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</si>
  <si>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</si>
  <si>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</si>
  <si>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</si>
  <si>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</si>
  <si>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</si>
  <si>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</si>
  <si>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</si>
  <si>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</si>
  <si>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</si>
  <si>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</si>
  <si>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</si>
  <si>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</si>
  <si>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</si>
  <si>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</si>
  <si>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</si>
  <si>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</si>
  <si>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</si>
  <si>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</si>
  <si>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</si>
  <si>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</si>
  <si>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</si>
  <si>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</si>
  <si>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</si>
  <si>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</si>
  <si>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</si>
  <si>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</si>
  <si>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</si>
  <si>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</si>
  <si>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</si>
  <si>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</si>
  <si>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</si>
  <si>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</si>
  <si>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</si>
  <si>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</si>
  <si>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</si>
  <si>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</si>
  <si>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</si>
  <si>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</si>
  <si>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</si>
  <si>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</si>
  <si>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</si>
  <si>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</si>
  <si>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</si>
  <si>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</si>
  <si>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</si>
  <si>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</si>
  <si>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</si>
  <si>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</si>
  <si>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</si>
  <si>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</si>
  <si>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</si>
  <si>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</si>
  <si>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</si>
  <si>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</si>
  <si>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</si>
  <si>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</si>
  <si>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</si>
  <si>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</si>
  <si>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</si>
  <si>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</si>
  <si>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</si>
  <si>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</si>
  <si>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</si>
  <si>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</si>
  <si>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</si>
  <si>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</si>
  <si>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</si>
  <si>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</si>
  <si>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</si>
  <si>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</si>
  <si>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</si>
  <si>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</si>
  <si>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</si>
  <si>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</si>
  <si>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</si>
  <si>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</si>
  <si>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</si>
  <si>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</si>
  <si>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</si>
  <si>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</si>
  <si>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</si>
  <si>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</si>
  <si>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</si>
  <si>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</si>
  <si>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</si>
  <si>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</si>
  <si>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</si>
  <si>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</si>
  <si>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</si>
  <si>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</si>
  <si>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</si>
  <si>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</si>
  <si>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</si>
  <si>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</si>
  <si>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</si>
  <si>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</si>
  <si>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</si>
  <si>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</si>
  <si>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</si>
  <si>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</si>
  <si>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</si>
  <si>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</si>
  <si>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</si>
  <si>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</si>
  <si>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</si>
  <si>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</si>
  <si>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</si>
  <si>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</si>
  <si>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</si>
  <si>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</si>
  <si>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</si>
  <si>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</si>
  <si>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</si>
  <si>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</si>
  <si>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</si>
  <si>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</si>
  <si>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</si>
  <si>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</si>
  <si>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</si>
  <si>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</si>
  <si>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</si>
  <si>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</si>
  <si>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</si>
  <si>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</si>
  <si>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</si>
  <si>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</si>
  <si>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</si>
  <si>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</si>
  <si>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</si>
  <si>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</si>
  <si>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</si>
  <si>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</si>
  <si>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</si>
  <si>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</si>
  <si>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</si>
  <si>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</si>
  <si>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</si>
  <si>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</si>
  <si>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</si>
  <si>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</si>
  <si>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</si>
  <si>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</si>
  <si>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</si>
  <si>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</si>
  <si>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</si>
  <si>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</si>
  <si>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</si>
  <si>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</si>
  <si>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</si>
  <si>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</si>
  <si>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</si>
  <si>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</si>
  <si>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</si>
  <si>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</si>
  <si>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</si>
  <si>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</si>
  <si>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</si>
  <si>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</si>
  <si>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</si>
  <si>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</si>
  <si>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</si>
  <si>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</si>
  <si>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</si>
  <si>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</si>
  <si>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</si>
  <si>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</si>
  <si>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</si>
  <si>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</si>
  <si>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</si>
  <si>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</si>
  <si>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</si>
  <si>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</si>
  <si>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</si>
  <si>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</si>
  <si>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</si>
  <si>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</si>
  <si>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</si>
  <si>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</si>
  <si>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</si>
  <si>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</si>
  <si>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</si>
  <si>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</si>
  <si>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</si>
  <si>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</si>
  <si>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</si>
  <si>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</si>
  <si>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</si>
  <si>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</si>
  <si>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</si>
  <si>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</si>
  <si>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</si>
  <si>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</si>
  <si>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</si>
  <si>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</si>
  <si>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</si>
  <si>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</si>
  <si>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</si>
  <si>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</si>
  <si>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</si>
  <si>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</si>
  <si>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</si>
  <si>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</si>
  <si>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</si>
  <si>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</si>
  <si>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</si>
  <si>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</si>
  <si>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</si>
  <si>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</si>
  <si>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</si>
  <si>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</si>
  <si>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</si>
  <si>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</si>
  <si>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</si>
  <si>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</si>
  <si>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</si>
  <si>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</si>
  <si>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</si>
  <si>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</si>
  <si>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</si>
  <si>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</si>
  <si>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</si>
  <si>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</si>
  <si>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</si>
  <si>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</si>
  <si>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</si>
  <si>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</si>
  <si>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</si>
  <si>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</si>
  <si>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</si>
  <si>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</si>
  <si>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</si>
  <si>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</si>
  <si>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</si>
  <si>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</si>
  <si>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</si>
  <si>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</si>
  <si>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</si>
  <si>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</si>
  <si>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</si>
  <si>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</si>
  <si>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</si>
  <si>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</si>
  <si>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</si>
  <si>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</si>
  <si>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</si>
  <si>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</si>
  <si>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</si>
  <si>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</si>
  <si>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</si>
  <si>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</si>
  <si>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</si>
  <si>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</si>
  <si>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</si>
  <si>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</si>
  <si>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</si>
  <si>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</si>
  <si>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</si>
  <si>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</si>
  <si>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</si>
  <si>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</si>
  <si>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</si>
  <si>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</si>
  <si>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</si>
  <si>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</si>
  <si>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</si>
  <si>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</si>
  <si>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</si>
  <si>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</si>
  <si>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</si>
  <si>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</si>
  <si>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</si>
  <si>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</si>
  <si>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</si>
  <si>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</si>
  <si>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</si>
  <si>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</si>
  <si>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</si>
  <si>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</si>
  <si>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</si>
  <si>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</si>
  <si>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</si>
  <si>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</si>
  <si>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</si>
  <si>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</si>
  <si>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</si>
  <si>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</si>
  <si>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</si>
  <si>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</si>
  <si>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</si>
  <si>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</si>
  <si>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</si>
  <si>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</si>
  <si>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</si>
  <si>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</si>
  <si>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</si>
  <si>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</si>
  <si>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</si>
  <si>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</si>
  <si>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</si>
  <si>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</si>
  <si>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</si>
  <si>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</si>
  <si>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</si>
  <si>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</si>
  <si>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</si>
  <si>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</si>
  <si>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</si>
  <si>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</si>
  <si>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</si>
  <si>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</si>
  <si>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</si>
  <si>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</si>
  <si>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</si>
  <si>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</si>
  <si>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</si>
  <si>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</si>
  <si>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</si>
  <si>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</si>
  <si>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</si>
  <si>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</si>
  <si>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</si>
  <si>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</si>
  <si>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</si>
  <si>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</si>
  <si>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</si>
  <si>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</si>
  <si>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</si>
  <si>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</si>
  <si>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</si>
  <si>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</si>
  <si>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</si>
  <si>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</si>
  <si>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</si>
  <si>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</si>
  <si>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</si>
  <si>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</si>
  <si>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</si>
  <si>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</si>
  <si>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</si>
  <si>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</si>
  <si>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</si>
  <si>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</si>
  <si>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</si>
  <si>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</si>
  <si>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</si>
  <si>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</si>
  <si>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</si>
  <si>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</si>
  <si>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</si>
  <si>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</si>
  <si>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</si>
  <si>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</si>
  <si>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</si>
  <si>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</si>
  <si>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</si>
  <si>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</si>
  <si>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</si>
  <si>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</si>
  <si>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</si>
  <si>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</si>
  <si>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</si>
  <si>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</si>
  <si>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</si>
  <si>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</si>
  <si>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</si>
  <si>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</si>
  <si>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</si>
  <si>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</si>
  <si>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</si>
  <si>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</si>
  <si>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</si>
  <si>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</si>
  <si>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</si>
  <si>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</si>
  <si>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</si>
  <si>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</si>
  <si>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</si>
  <si>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</si>
  <si>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</si>
  <si>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</si>
  <si>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</si>
  <si>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</si>
  <si>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</si>
  <si>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</si>
  <si>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</si>
  <si>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</si>
  <si>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</si>
  <si>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</si>
  <si>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</si>
  <si>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</si>
  <si>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</si>
  <si>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</si>
  <si>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</si>
  <si>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</si>
  <si>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</si>
  <si>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</si>
  <si>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</si>
  <si>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</si>
  <si>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</si>
  <si>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</si>
  <si>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</si>
  <si>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</si>
  <si>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</si>
  <si>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</si>
  <si>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</si>
  <si>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</si>
  <si>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</si>
  <si>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</si>
  <si>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</si>
  <si>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</si>
  <si>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</si>
  <si>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</si>
  <si>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</si>
  <si>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</si>
  <si>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</si>
  <si>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</si>
  <si>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</si>
  <si>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</si>
  <si>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</si>
  <si>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</si>
  <si>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</si>
  <si>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</si>
  <si>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</si>
  <si>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</si>
  <si>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</si>
  <si>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</si>
  <si>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</si>
  <si>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</si>
  <si>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</si>
  <si>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</si>
  <si>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</si>
  <si>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</si>
  <si>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</si>
  <si>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</si>
  <si>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</si>
  <si>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</si>
  <si>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</si>
  <si>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</si>
  <si>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</si>
  <si>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</si>
  <si>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</si>
  <si>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</si>
  <si>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</si>
  <si>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</si>
  <si>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</si>
  <si>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</si>
  <si>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</si>
  <si>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</si>
  <si>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</si>
  <si>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</si>
  <si>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</si>
  <si>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</si>
  <si>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</si>
  <si>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</si>
  <si>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</si>
  <si>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</si>
  <si>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</si>
  <si>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</si>
  <si>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</si>
  <si>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</si>
  <si>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</si>
  <si>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</si>
  <si>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</si>
  <si>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</si>
  <si>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</si>
  <si>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</si>
  <si>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</si>
  <si>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</si>
  <si>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</si>
  <si>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</si>
  <si>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</si>
  <si>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</si>
  <si>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</si>
  <si>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</si>
  <si>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</si>
  <si>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</si>
  <si>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</si>
  <si>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</si>
  <si>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</si>
  <si>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</si>
  <si>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</si>
  <si>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</si>
  <si>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</si>
  <si>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</si>
  <si>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</si>
  <si>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</si>
  <si>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</si>
  <si>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</si>
  <si>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</si>
  <si>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</si>
  <si>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</si>
  <si>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</si>
  <si>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</si>
  <si>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</si>
  <si>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</si>
  <si>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</si>
  <si>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</si>
  <si>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</si>
  <si>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</si>
  <si>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</si>
  <si>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</si>
  <si>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</si>
  <si>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</si>
  <si>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</si>
  <si>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</si>
  <si>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</si>
  <si>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</si>
  <si>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</si>
  <si>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</si>
  <si>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</si>
  <si>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</si>
  <si>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</si>
  <si>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</si>
  <si>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</si>
  <si>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</si>
  <si>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</si>
  <si>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</si>
  <si>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</si>
  <si>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</si>
  <si>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</si>
  <si>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</si>
  <si>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</si>
  <si>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</si>
  <si>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</si>
  <si>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</si>
  <si>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</si>
  <si>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</si>
  <si>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</si>
  <si>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</si>
  <si>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</si>
  <si>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</si>
  <si>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</si>
  <si>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</si>
  <si>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</si>
  <si>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</si>
  <si>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</si>
  <si>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</si>
  <si>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</si>
  <si>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</si>
  <si>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</si>
  <si>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</si>
  <si>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</si>
  <si>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</si>
  <si>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</si>
  <si>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</si>
  <si>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</si>
  <si>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</si>
  <si>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</si>
  <si>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</si>
  <si>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</si>
  <si>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</si>
  <si>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</si>
  <si>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</si>
  <si>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</si>
  <si>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</si>
  <si>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</si>
  <si>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</si>
  <si>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</si>
  <si>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</si>
  <si>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</si>
  <si>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</si>
  <si>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</si>
  <si>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</si>
  <si>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</si>
  <si>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</si>
  <si>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</si>
  <si>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</si>
  <si>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</si>
  <si>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</si>
  <si>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</si>
  <si>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</si>
  <si>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</si>
  <si>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</si>
  <si>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</si>
  <si>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</si>
  <si>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</si>
  <si>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</si>
  <si>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</si>
  <si>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</si>
  <si>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</si>
  <si>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</si>
  <si>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</si>
  <si>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</si>
  <si>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</si>
  <si>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</si>
  <si>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</si>
  <si>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</si>
  <si>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</si>
  <si>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</si>
  <si>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</si>
  <si>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</si>
  <si>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</si>
  <si>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</si>
  <si>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</si>
  <si>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</si>
  <si>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</si>
  <si>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</si>
  <si>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</si>
  <si>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</si>
  <si>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</si>
  <si>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</si>
  <si>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</si>
  <si>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</si>
  <si>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</si>
  <si>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</si>
  <si>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</si>
  <si>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</si>
  <si>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</si>
  <si>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</si>
  <si>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</si>
  <si>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</si>
  <si>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</si>
  <si>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</si>
  <si>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</si>
  <si>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</si>
  <si>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</si>
  <si>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</si>
  <si>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</si>
  <si>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</si>
  <si>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</si>
  <si>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</si>
  <si>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</si>
  <si>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</si>
  <si>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</si>
  <si>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</si>
  <si>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</si>
  <si>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</si>
  <si>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</si>
  <si>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</si>
  <si>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</si>
  <si>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</si>
  <si>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</si>
  <si>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</si>
  <si>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</si>
  <si>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</si>
  <si>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</si>
  <si>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</si>
  <si>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</si>
  <si>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</si>
  <si>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</si>
  <si>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</si>
  <si>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</si>
  <si>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</si>
  <si>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</si>
  <si>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</si>
  <si>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</si>
  <si>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</si>
  <si>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</si>
  <si>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</si>
  <si>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</si>
  <si>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</si>
  <si>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</si>
  <si>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</si>
  <si>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</si>
  <si>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</si>
  <si>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</si>
  <si>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</si>
  <si>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</si>
  <si>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</si>
  <si>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</si>
  <si>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</si>
  <si>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</si>
  <si>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</si>
  <si>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</si>
  <si>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</si>
  <si>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</si>
  <si>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</si>
  <si>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</si>
  <si>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</si>
  <si>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</si>
  <si>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</si>
  <si>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</si>
  <si>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</si>
  <si>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</si>
  <si>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</si>
  <si>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</si>
  <si>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</si>
  <si>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</si>
  <si>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</si>
  <si>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</si>
  <si>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</si>
  <si>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</si>
  <si>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</si>
  <si>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</si>
  <si>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</si>
  <si>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</si>
  <si>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</si>
  <si>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</si>
  <si>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</si>
  <si>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</si>
  <si>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</si>
  <si>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</si>
  <si>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</si>
  <si>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</si>
  <si>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</si>
  <si>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</si>
  <si>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</si>
  <si>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</si>
  <si>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</si>
  <si>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</si>
  <si>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</si>
  <si>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</si>
  <si>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</si>
  <si>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</si>
  <si>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</si>
  <si>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</si>
  <si>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</si>
  <si>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</si>
  <si>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</si>
  <si>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</si>
  <si>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</si>
  <si>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</si>
  <si>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</si>
  <si>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</si>
  <si>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</si>
  <si>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</si>
  <si>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</si>
  <si>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</si>
  <si>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</si>
  <si>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</si>
  <si>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</si>
  <si>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</si>
  <si>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</si>
  <si>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</si>
  <si>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</si>
  <si>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</si>
  <si>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</si>
  <si>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</si>
  <si>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</si>
  <si>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</si>
  <si>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</si>
  <si>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</si>
  <si>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</si>
  <si>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</si>
  <si>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</si>
  <si>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</si>
  <si>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</si>
  <si>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</si>
  <si>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</si>
  <si>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</si>
  <si>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</si>
  <si>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</si>
  <si>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</si>
  <si>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</si>
  <si>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</si>
  <si>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</si>
  <si>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</si>
  <si>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</si>
  <si>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</si>
  <si>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</si>
  <si>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</si>
  <si>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</si>
  <si>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</si>
  <si>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</si>
  <si>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</si>
  <si>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</si>
  <si>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</si>
  <si>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</si>
  <si>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</si>
  <si>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</si>
  <si>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</si>
  <si>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</si>
  <si>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</si>
  <si>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</si>
  <si>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</si>
  <si>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</si>
  <si>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</si>
  <si>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</si>
  <si>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</si>
  <si>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</si>
  <si>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</si>
  <si>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</si>
  <si>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</si>
  <si>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</si>
  <si>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</si>
  <si>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</si>
  <si>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</si>
  <si>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</si>
  <si>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</si>
  <si>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</si>
  <si>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</si>
  <si>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</si>
  <si>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</si>
  <si>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</si>
  <si>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</si>
  <si>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</si>
  <si>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</si>
  <si>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</si>
  <si>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</si>
  <si>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</si>
  <si>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</si>
  <si>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</si>
  <si>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</si>
  <si>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</si>
  <si>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</si>
  <si>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</si>
  <si>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</si>
  <si>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</si>
  <si>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</si>
  <si>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</si>
  <si>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</si>
  <si>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</si>
  <si>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</si>
  <si>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</si>
  <si>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</si>
  <si>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</si>
  <si>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</si>
  <si>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</si>
  <si>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</si>
  <si>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</si>
  <si>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</si>
  <si>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</si>
  <si>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</si>
  <si>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</si>
  <si>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</si>
  <si>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</si>
  <si>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</si>
  <si>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</si>
  <si>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</si>
  <si>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</si>
  <si>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</si>
  <si>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</si>
  <si>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</si>
  <si>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</si>
  <si>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</si>
  <si>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</si>
  <si>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</si>
  <si>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</si>
  <si>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</si>
  <si>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</si>
  <si>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</si>
  <si>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</si>
  <si>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</si>
  <si>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</si>
  <si>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</si>
  <si>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</si>
  <si>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</si>
  <si>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</si>
  <si>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</si>
  <si>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</si>
  <si>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</si>
  <si>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</si>
  <si>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</si>
  <si>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</si>
  <si>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</si>
  <si>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</si>
  <si>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</si>
  <si>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</si>
  <si>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</si>
  <si>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</si>
  <si>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</si>
  <si>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</si>
  <si>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</si>
  <si>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</si>
  <si>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</si>
  <si>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</si>
  <si>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</si>
  <si>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</si>
  <si>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</si>
  <si>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</si>
  <si>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</si>
  <si>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</si>
  <si>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</si>
  <si>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</si>
  <si>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</si>
  <si>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</si>
  <si>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</si>
  <si>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</si>
  <si>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</si>
  <si>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</si>
  <si>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</si>
  <si>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</si>
  <si>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</si>
  <si>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</si>
  <si>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</si>
  <si>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</si>
  <si>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</si>
  <si>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</si>
  <si>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</si>
  <si>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</si>
  <si>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</si>
  <si>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</si>
  <si>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</si>
  <si>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</si>
  <si>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</si>
  <si>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</si>
  <si>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</si>
  <si>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</si>
  <si>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</si>
  <si>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</si>
  <si>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</si>
  <si>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</si>
  <si>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</si>
  <si>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</si>
  <si>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</si>
  <si>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</si>
  <si>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</si>
  <si>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</si>
  <si>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</si>
  <si>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</si>
  <si>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</si>
  <si>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</si>
  <si>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</si>
  <si>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</si>
  <si>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</si>
  <si>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</si>
  <si>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</si>
  <si>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</si>
  <si>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</si>
  <si>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</si>
  <si>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</si>
  <si>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</si>
  <si>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</si>
  <si>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</si>
  <si>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</si>
  <si>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</si>
  <si>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</si>
  <si>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</si>
  <si>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</si>
  <si>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</si>
  <si>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</si>
  <si>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</si>
  <si>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</si>
  <si>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</si>
  <si>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</si>
  <si>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</si>
  <si>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</si>
  <si>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</si>
  <si>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</si>
  <si>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</si>
  <si>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</si>
  <si>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</si>
  <si>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</si>
  <si>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</si>
  <si>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</si>
  <si>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</si>
  <si>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</si>
  <si>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</si>
  <si>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</si>
  <si>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</si>
  <si>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</si>
  <si>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</si>
  <si>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</si>
  <si>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</si>
  <si>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</si>
  <si>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</si>
  <si>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</si>
  <si>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</si>
  <si>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</si>
  <si>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</si>
  <si>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</si>
  <si>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</si>
  <si>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</si>
  <si>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</si>
  <si>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</si>
  <si>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</si>
  <si>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</si>
  <si>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</si>
  <si>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</si>
  <si>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</si>
  <si>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</si>
  <si>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</si>
  <si>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</si>
  <si>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</si>
  <si>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</si>
  <si>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</si>
  <si>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</si>
  <si>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</si>
  <si>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</si>
  <si>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</si>
  <si>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</si>
  <si>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</si>
  <si>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</si>
  <si>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</si>
  <si>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</si>
  <si>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</si>
  <si>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</si>
  <si>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</si>
  <si>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</si>
  <si>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</si>
  <si>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</si>
  <si>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</si>
  <si>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</si>
  <si>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</si>
  <si>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</si>
  <si>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</si>
  <si>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</si>
  <si>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</si>
  <si>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</si>
  <si>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</si>
  <si>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</si>
  <si>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</si>
  <si>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</si>
  <si>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</si>
  <si>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</si>
  <si>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</si>
  <si>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</si>
  <si>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</si>
  <si>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</si>
  <si>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</si>
  <si>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</si>
  <si>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</si>
  <si>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</si>
  <si>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</si>
  <si>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</si>
  <si>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</si>
  <si>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</si>
  <si>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</si>
  <si>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</si>
  <si>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</si>
  <si>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</si>
  <si>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</si>
  <si>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</si>
  <si>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</si>
  <si>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</si>
  <si>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</si>
  <si>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</si>
  <si>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</si>
  <si>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</si>
  <si>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</si>
  <si>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</si>
  <si>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</si>
  <si>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</si>
  <si>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</si>
  <si>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</si>
  <si>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</si>
  <si>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</si>
  <si>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</si>
  <si>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</si>
  <si>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</si>
  <si>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</si>
  <si>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</si>
  <si>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</si>
  <si>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</si>
  <si>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</si>
  <si>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</si>
  <si>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</si>
  <si>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</si>
  <si>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</si>
  <si>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</si>
  <si>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</si>
  <si>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</si>
  <si>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</si>
  <si>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</si>
  <si>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</si>
  <si>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</si>
  <si>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</si>
  <si>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</si>
  <si>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</si>
  <si>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</si>
  <si>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</si>
  <si>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</si>
  <si>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</si>
  <si>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</si>
  <si>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</si>
  <si>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</si>
  <si>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</si>
  <si>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</si>
  <si>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</si>
  <si>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</si>
  <si>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</si>
  <si>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</si>
  <si>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</si>
  <si>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</si>
  <si>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</si>
  <si>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</si>
  <si>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</si>
  <si>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</si>
  <si>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</si>
  <si>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</si>
  <si>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</si>
  <si>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</si>
  <si>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</si>
  <si>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</si>
  <si>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</si>
  <si>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</si>
  <si>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</si>
  <si>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</si>
  <si>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</si>
  <si>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</si>
  <si>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</si>
  <si>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</si>
  <si>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</si>
  <si>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</si>
  <si>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</si>
  <si>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</si>
  <si>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</si>
  <si>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</si>
  <si>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</si>
  <si>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</si>
  <si>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</si>
  <si>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</si>
  <si>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</si>
  <si>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</si>
  <si>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</si>
  <si>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</si>
  <si>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</si>
  <si>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</si>
  <si>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</si>
  <si>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</si>
  <si>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</si>
  <si>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</si>
  <si>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</si>
  <si>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</si>
  <si>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</si>
  <si>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</si>
  <si>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</si>
  <si>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</si>
  <si>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</si>
  <si>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</si>
  <si>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</si>
  <si>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</si>
  <si>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</si>
  <si>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</si>
  <si>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</si>
  <si>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</si>
  <si>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</si>
  <si>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</si>
  <si>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</si>
  <si>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</si>
  <si>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</si>
  <si>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</si>
  <si>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</si>
  <si>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</si>
  <si>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</si>
  <si>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</si>
  <si>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</si>
  <si>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</si>
  <si>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</si>
  <si>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</si>
  <si>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</si>
  <si>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</si>
  <si>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</si>
  <si>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</si>
  <si>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</si>
  <si>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</si>
  <si>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</si>
  <si>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</si>
  <si>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</si>
  <si>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</si>
  <si>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</si>
  <si>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</si>
  <si>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</si>
  <si>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</si>
  <si>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</si>
  <si>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</si>
  <si>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</si>
  <si>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</si>
  <si>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</si>
  <si>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</si>
  <si>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</si>
  <si>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</si>
  <si>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</si>
  <si>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</si>
  <si>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</si>
  <si>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</si>
  <si>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</si>
  <si>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</si>
  <si>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</si>
  <si>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</si>
  <si>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</si>
  <si>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</si>
  <si>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</si>
  <si>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</si>
  <si>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</si>
  <si>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</si>
  <si>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</si>
  <si>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</si>
  <si>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</si>
  <si>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</si>
  <si>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</si>
  <si>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</si>
  <si>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</si>
  <si>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</si>
  <si>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</si>
  <si>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</si>
  <si>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</si>
  <si>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</si>
  <si>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</si>
  <si>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</si>
  <si>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</si>
  <si>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</si>
  <si>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</si>
  <si>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</si>
  <si>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</si>
  <si>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</si>
  <si>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</si>
  <si>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</si>
  <si>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</si>
  <si>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</si>
  <si>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</si>
  <si>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</si>
  <si>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</si>
  <si>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</si>
  <si>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</si>
  <si>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</si>
  <si>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</si>
  <si>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</si>
  <si>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</si>
  <si>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</si>
  <si>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</si>
  <si>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</si>
  <si>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</si>
  <si>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</si>
  <si>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</si>
  <si>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</si>
  <si>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</si>
  <si>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</si>
  <si>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</si>
  <si>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</si>
  <si>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</si>
  <si>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</si>
  <si>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</si>
  <si>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</si>
  <si>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</si>
  <si>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</si>
  <si>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</si>
  <si>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</si>
  <si>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</si>
  <si>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</si>
  <si>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</si>
  <si>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</si>
  <si>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</si>
  <si>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</si>
  <si>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</si>
  <si>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</si>
  <si>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</si>
  <si>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</si>
  <si>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</si>
  <si>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</si>
  <si>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</si>
  <si>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</si>
  <si>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</si>
  <si>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</si>
  <si>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</si>
  <si>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</si>
  <si>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</si>
  <si>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</si>
  <si>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</si>
  <si>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</si>
  <si>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</si>
  <si>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</si>
  <si>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</si>
  <si>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</si>
  <si>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</si>
  <si>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</si>
  <si>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</si>
  <si>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</si>
  <si>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</si>
  <si>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</si>
  <si>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</si>
  <si>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</si>
  <si>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</si>
  <si>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</si>
  <si>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</si>
  <si>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</si>
  <si>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</si>
  <si>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</si>
  <si>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</si>
  <si>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</si>
  <si>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</si>
  <si>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</si>
  <si>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</si>
  <si>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</si>
  <si>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</si>
  <si>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</si>
  <si>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</si>
  <si>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</si>
  <si>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</si>
  <si>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</si>
  <si>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</si>
  <si>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</si>
  <si>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</si>
  <si>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</si>
  <si>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</si>
  <si>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</si>
  <si>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</si>
  <si>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</si>
  <si>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</si>
  <si>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</si>
  <si>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</si>
  <si>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</si>
  <si>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</si>
  <si>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</si>
  <si>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</si>
  <si>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</si>
  <si>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</si>
  <si>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</si>
  <si>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</si>
  <si>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</si>
  <si>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</si>
  <si>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</si>
  <si>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</si>
  <si>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</si>
  <si>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</si>
  <si>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</si>
  <si>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</si>
  <si>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</si>
  <si>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</si>
  <si>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</si>
  <si>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</si>
  <si>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</si>
  <si>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</si>
  <si>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</si>
  <si>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</si>
  <si>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</si>
  <si>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</si>
  <si>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</si>
  <si>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</si>
  <si>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</si>
  <si>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</si>
  <si>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</si>
  <si>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</si>
  <si>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</si>
  <si>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</si>
  <si>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</si>
  <si>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</si>
  <si>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</si>
  <si>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</si>
  <si>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</si>
  <si>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</si>
  <si>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</si>
  <si>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</si>
  <si>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</si>
  <si>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</si>
  <si>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</si>
  <si>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</si>
  <si>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</si>
  <si>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</si>
  <si>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</si>
  <si>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</si>
  <si>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</si>
  <si>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</si>
  <si>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</si>
  <si>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</si>
  <si>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</si>
  <si>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</si>
  <si>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</si>
  <si>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</si>
  <si>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</si>
  <si>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</si>
  <si>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</si>
  <si>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</si>
  <si>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</si>
  <si>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</si>
  <si>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</si>
  <si>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</si>
  <si>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</si>
  <si>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</si>
  <si>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</si>
  <si>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</si>
  <si>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</si>
  <si>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</si>
  <si>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</si>
  <si>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</si>
  <si>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</si>
  <si>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</si>
  <si>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</si>
  <si>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</si>
  <si>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</si>
  <si>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</si>
  <si>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</si>
  <si>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</si>
  <si>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</si>
  <si>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</si>
  <si>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</si>
  <si>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</si>
  <si>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</si>
  <si>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</si>
  <si>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</si>
  <si>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</si>
  <si>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</si>
  <si>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</si>
  <si>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</si>
  <si>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</si>
  <si>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</si>
  <si>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</si>
  <si>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</si>
  <si>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</si>
  <si>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</si>
  <si>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</si>
  <si>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</si>
  <si>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</si>
  <si>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</si>
  <si>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</si>
  <si>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</si>
  <si>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</si>
  <si>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</si>
  <si>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</si>
  <si>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</si>
  <si>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</si>
  <si>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</si>
  <si>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</si>
  <si>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</si>
  <si>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</si>
  <si>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</si>
  <si>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</si>
  <si>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</si>
  <si>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</si>
  <si>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</si>
  <si>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</si>
  <si>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</si>
  <si>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</si>
  <si>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</si>
  <si>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</si>
  <si>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</si>
  <si>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</si>
  <si>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</si>
  <si>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</si>
  <si>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</si>
  <si>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</si>
  <si>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</si>
  <si>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</si>
  <si>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</si>
  <si>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</si>
  <si>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</si>
  <si>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</si>
  <si>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</si>
  <si>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</si>
  <si>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</si>
  <si>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</si>
  <si>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</si>
  <si>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</si>
  <si>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</si>
  <si>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</si>
  <si>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</si>
  <si>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</si>
  <si>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</si>
  <si>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</si>
  <si>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</si>
  <si>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</si>
  <si>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</si>
  <si>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</si>
  <si>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</si>
  <si>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</si>
  <si>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</si>
  <si>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</si>
  <si>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</si>
  <si>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</si>
  <si>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</si>
  <si>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</si>
  <si>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</si>
  <si>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</si>
  <si>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</si>
  <si>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</si>
  <si>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</si>
  <si>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</si>
  <si>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</si>
  <si>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</si>
  <si>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</si>
  <si>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</si>
  <si>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</si>
  <si>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</si>
  <si>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</si>
  <si>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</si>
  <si>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</si>
  <si>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</si>
  <si>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</si>
  <si>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</si>
  <si>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</si>
  <si>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</si>
  <si>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</si>
  <si>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</si>
  <si>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</si>
  <si>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</si>
  <si>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</si>
  <si>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</si>
  <si>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</si>
  <si>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</si>
  <si>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</si>
  <si>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</si>
  <si>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</si>
  <si>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</si>
  <si>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</si>
  <si>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</si>
  <si>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</si>
  <si>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</si>
  <si>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</si>
  <si>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</si>
  <si>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</si>
  <si>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</si>
  <si>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</si>
  <si>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</si>
  <si>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</si>
  <si>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</si>
  <si>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</si>
  <si>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</si>
  <si>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</si>
  <si>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</si>
  <si>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</si>
  <si>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</si>
  <si>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</si>
  <si>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</si>
  <si>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</si>
  <si>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</si>
  <si>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</si>
  <si>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</si>
  <si>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</si>
  <si>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</si>
  <si>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</si>
  <si>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</si>
  <si>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</si>
  <si>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</si>
  <si>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</si>
  <si>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</si>
  <si>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</si>
  <si>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</si>
  <si>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</si>
  <si>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</si>
  <si>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</si>
  <si>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</si>
  <si>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</si>
  <si>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</si>
  <si>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</si>
  <si>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</si>
  <si>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</si>
  <si>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</si>
  <si>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</si>
  <si>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</si>
  <si>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</si>
  <si>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</si>
  <si>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</si>
  <si>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</si>
  <si>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</si>
  <si>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</si>
  <si>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</si>
  <si>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</si>
  <si>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</si>
  <si>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</si>
  <si>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</si>
  <si>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</si>
  <si>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</si>
  <si>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</si>
  <si>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</si>
  <si>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</si>
  <si>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</si>
  <si>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</si>
  <si>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</si>
  <si>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</si>
  <si>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</si>
  <si>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</si>
  <si>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</si>
  <si>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</si>
  <si>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</si>
  <si>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</si>
  <si>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</si>
  <si>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</si>
  <si>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</si>
  <si>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</si>
  <si>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</si>
  <si>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</si>
  <si>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</si>
  <si>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</si>
  <si>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</si>
  <si>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</si>
  <si>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</si>
  <si>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</si>
  <si>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</si>
  <si>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</si>
  <si>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</si>
  <si>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</si>
  <si>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</si>
  <si>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</si>
  <si>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</si>
  <si>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</si>
  <si>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</si>
  <si>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</si>
  <si>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</si>
  <si>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</si>
  <si>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</si>
  <si>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</si>
  <si>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</si>
  <si>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</si>
  <si>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</si>
  <si>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</si>
  <si>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</si>
  <si>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</si>
  <si>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</si>
  <si>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</si>
  <si>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</si>
  <si>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</si>
  <si>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</si>
  <si>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</si>
  <si>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</si>
  <si>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</si>
  <si>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</si>
  <si>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</si>
  <si>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</si>
  <si>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</si>
  <si>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</si>
  <si>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</si>
  <si>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</si>
  <si>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</si>
  <si>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</si>
  <si>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</si>
  <si>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</si>
  <si>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</si>
  <si>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</si>
  <si>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</si>
  <si>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</si>
  <si>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</si>
  <si>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</si>
  <si>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</si>
  <si>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</si>
  <si>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</si>
  <si>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</si>
  <si>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</si>
  <si>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</si>
  <si>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</si>
  <si>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</si>
  <si>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</si>
  <si>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</si>
  <si>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</si>
  <si>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</si>
  <si>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</si>
  <si>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</si>
  <si>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</si>
  <si>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</si>
  <si>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</si>
  <si>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</si>
  <si>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</si>
  <si>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</si>
  <si>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</si>
  <si>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</si>
  <si>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</si>
  <si>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</si>
  <si>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</si>
  <si>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</si>
  <si>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</si>
  <si>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</si>
  <si>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</si>
  <si>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</si>
  <si>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</si>
  <si>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</si>
  <si>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</si>
  <si>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</si>
  <si>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</si>
  <si>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</si>
  <si>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</si>
  <si>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</si>
  <si>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</si>
  <si>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</si>
  <si>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</si>
  <si>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</si>
  <si>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</si>
  <si>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</si>
  <si>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</si>
  <si>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</si>
  <si>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</si>
  <si>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</si>
  <si>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</si>
  <si>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</si>
  <si>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</si>
  <si>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</si>
  <si>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</si>
  <si>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</si>
  <si>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</si>
  <si>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</si>
  <si>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</si>
  <si>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</si>
  <si>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</si>
  <si>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</si>
  <si>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</si>
  <si>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</si>
  <si>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</si>
  <si>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</si>
  <si>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</si>
  <si>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</si>
  <si>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</si>
  <si>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</si>
  <si>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</si>
  <si>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</si>
  <si>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</si>
  <si>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</si>
  <si>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</si>
  <si>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</si>
  <si>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</si>
  <si>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</si>
  <si>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</si>
  <si>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</si>
  <si>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</si>
  <si>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</si>
  <si>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</si>
  <si>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</si>
  <si>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</si>
  <si>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</si>
  <si>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</si>
  <si>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</si>
  <si>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</si>
  <si>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</si>
  <si>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</si>
  <si>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</si>
  <si>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</si>
  <si>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</si>
  <si>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</si>
  <si>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</si>
  <si>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</si>
  <si>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</si>
  <si>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</si>
  <si>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</si>
  <si>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</si>
  <si>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</si>
  <si>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</si>
  <si>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</si>
  <si>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</si>
  <si>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</si>
  <si>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</si>
  <si>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</si>
  <si>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</si>
  <si>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</si>
  <si>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</si>
  <si>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</si>
  <si>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</si>
  <si>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</si>
  <si>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</si>
  <si>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</si>
  <si>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</si>
  <si>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</si>
  <si>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</si>
  <si>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</si>
  <si>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</si>
  <si>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</si>
  <si>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</si>
  <si>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</si>
  <si>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</si>
  <si>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</si>
  <si>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</si>
  <si>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</si>
  <si>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</si>
  <si>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</si>
  <si>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</si>
  <si>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</si>
  <si>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</si>
  <si>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</si>
  <si>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</si>
  <si>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</si>
  <si>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</si>
  <si>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</si>
  <si>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</si>
  <si>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</si>
  <si>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</si>
  <si>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</si>
  <si>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</si>
  <si>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</si>
  <si>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</si>
  <si>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</si>
  <si>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</si>
  <si>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</si>
  <si>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</si>
  <si>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</si>
  <si>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</si>
  <si>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</si>
  <si>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</si>
  <si>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</si>
  <si>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</si>
  <si>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</si>
  <si>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</si>
  <si>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</si>
  <si>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</si>
  <si>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</si>
  <si>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</si>
  <si>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</si>
  <si>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</si>
  <si>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</si>
  <si>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</si>
  <si>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</si>
  <si>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</si>
  <si>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</si>
  <si>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</si>
  <si>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</si>
  <si>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</si>
  <si>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</si>
  <si>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</si>
  <si>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</si>
  <si>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</si>
  <si>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</si>
  <si>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</si>
  <si>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</si>
  <si>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</si>
  <si>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</si>
  <si>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</si>
  <si>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</si>
  <si>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</si>
  <si>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</si>
  <si>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</si>
  <si>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</si>
  <si>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</si>
  <si>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</si>
  <si>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</si>
  <si>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</si>
  <si>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</si>
  <si>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</si>
  <si>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</si>
  <si>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</si>
  <si>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</si>
  <si>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</si>
  <si>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</si>
  <si>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</si>
  <si>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</si>
  <si>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</si>
  <si>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</si>
  <si>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</si>
  <si>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</si>
  <si>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</si>
  <si>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</si>
  <si>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</si>
  <si>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</si>
  <si>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</si>
  <si>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</si>
  <si>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</si>
  <si>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</si>
  <si>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</si>
  <si>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</si>
  <si>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</si>
  <si>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</si>
  <si>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</si>
  <si>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</si>
  <si>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</si>
  <si>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</si>
  <si>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</si>
  <si>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</si>
  <si>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</si>
  <si>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</si>
  <si>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</si>
  <si>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</si>
  <si>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</si>
  <si>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</si>
  <si>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</si>
  <si>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</si>
  <si>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</si>
  <si>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</si>
  <si>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</si>
  <si>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</si>
  <si>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</si>
  <si>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</si>
  <si>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</si>
  <si>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</si>
  <si>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</si>
  <si>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</si>
  <si>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</si>
  <si>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</si>
  <si>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</si>
  <si>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</si>
  <si>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</si>
  <si>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</si>
  <si>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</si>
  <si>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</si>
  <si>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</si>
  <si>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</si>
  <si>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</si>
  <si>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</si>
  <si>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</si>
  <si>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</si>
  <si>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</si>
  <si>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</si>
  <si>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</si>
  <si>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</si>
  <si>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</si>
  <si>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</si>
  <si>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</si>
  <si>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</si>
  <si>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</si>
  <si>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</si>
  <si>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</si>
  <si>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</si>
  <si>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</si>
  <si>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</si>
  <si>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</si>
  <si>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</si>
  <si>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</si>
  <si>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</si>
  <si>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</si>
  <si>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</si>
  <si>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</si>
  <si>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</si>
  <si>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</si>
  <si>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</si>
  <si>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</si>
  <si>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</si>
  <si>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</si>
  <si>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</si>
  <si>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</si>
  <si>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</si>
  <si>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</si>
  <si>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</si>
  <si>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</si>
  <si>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</si>
  <si>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</si>
  <si>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</si>
  <si>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</si>
  <si>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</si>
  <si>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</si>
  <si>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</si>
  <si>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</si>
  <si>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</si>
  <si>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</si>
  <si>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</si>
  <si>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</si>
  <si>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</si>
  <si>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</si>
  <si>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</si>
  <si>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</si>
  <si>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</si>
  <si>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</si>
  <si>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</si>
  <si>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</si>
  <si>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</si>
  <si>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</si>
  <si>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</si>
  <si>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</si>
  <si>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</si>
  <si>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</si>
  <si>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</si>
  <si>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</si>
  <si>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</si>
  <si>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</si>
  <si>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</si>
  <si>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</si>
  <si>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</si>
  <si>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</si>
  <si>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</si>
  <si>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</si>
  <si>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</si>
  <si>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</si>
  <si>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</si>
  <si>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</si>
  <si>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</si>
  <si>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</si>
  <si>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</si>
  <si>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</si>
  <si>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</si>
  <si>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</si>
  <si>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</si>
  <si>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</si>
  <si>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</si>
  <si>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</si>
  <si>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</si>
  <si>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</si>
  <si>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</si>
  <si>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</si>
  <si>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</si>
  <si>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</si>
  <si>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</si>
  <si>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</si>
  <si>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</si>
  <si>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</si>
  <si>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</si>
  <si>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</si>
  <si>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</si>
  <si>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</si>
  <si>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</si>
  <si>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</si>
  <si>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</si>
  <si>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</si>
  <si>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</si>
  <si>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</si>
  <si>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</si>
  <si>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</si>
  <si>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</si>
  <si>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</si>
  <si>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</si>
  <si>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</si>
  <si>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</si>
  <si>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</si>
  <si>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</si>
  <si>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</si>
  <si>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</si>
  <si>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</si>
  <si>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</si>
  <si>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</si>
  <si>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</si>
  <si>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</si>
  <si>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</si>
  <si>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</si>
  <si>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</si>
  <si>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</si>
  <si>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</si>
  <si>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</si>
  <si>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</si>
  <si>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</si>
  <si>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</si>
  <si>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</si>
  <si>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</si>
  <si>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</si>
  <si>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</si>
  <si>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</si>
  <si>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</si>
  <si>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</si>
  <si>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</si>
  <si>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</si>
  <si>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</si>
  <si>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</si>
  <si>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</si>
  <si>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</si>
  <si>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</si>
  <si>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</si>
  <si>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</si>
  <si>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</si>
  <si>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</si>
  <si>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</si>
  <si>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</si>
  <si>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</si>
  <si>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</si>
  <si>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</si>
  <si>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</si>
  <si>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</si>
  <si>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</si>
  <si>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</si>
  <si>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</si>
  <si>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</si>
  <si>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</si>
  <si>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</si>
  <si>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</si>
  <si>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</si>
  <si>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</si>
  <si>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</si>
  <si>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</si>
  <si>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</si>
  <si>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</si>
  <si>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</si>
  <si>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</si>
  <si>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</si>
  <si>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</si>
  <si>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</si>
  <si>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</si>
  <si>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</si>
  <si>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</si>
  <si>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</si>
  <si>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</si>
  <si>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</si>
  <si>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</si>
  <si>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</si>
  <si>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</si>
  <si>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</si>
  <si>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</si>
  <si>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</si>
  <si>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</si>
  <si>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</si>
  <si>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</si>
  <si>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</si>
  <si>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</si>
  <si>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</si>
  <si>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</si>
  <si>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</si>
  <si>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</si>
  <si>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</si>
  <si>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</si>
  <si>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</si>
  <si>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</si>
  <si>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</si>
  <si>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</si>
  <si>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</si>
  <si>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</si>
  <si>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</si>
  <si>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</si>
  <si>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</si>
  <si>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</si>
  <si>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</si>
  <si>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</si>
  <si>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</si>
  <si>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</si>
  <si>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</si>
  <si>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</si>
  <si>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</si>
  <si>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</si>
  <si>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</si>
  <si>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</si>
  <si>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</si>
  <si>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</si>
  <si>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</si>
  <si>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</si>
  <si>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</si>
  <si>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</si>
  <si>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</si>
  <si>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</si>
  <si>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</si>
  <si>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</si>
  <si>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</si>
  <si>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</si>
  <si>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</si>
  <si>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</si>
  <si>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</si>
  <si>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</si>
  <si>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</si>
  <si>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</si>
  <si>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</si>
  <si>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</si>
  <si>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</si>
  <si>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</si>
  <si>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</si>
  <si>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</si>
  <si>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</si>
  <si>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</si>
  <si>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</si>
  <si>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</si>
  <si>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</si>
  <si>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</si>
  <si>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</si>
  <si>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</si>
  <si>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</si>
  <si>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</si>
  <si>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</si>
  <si>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</si>
  <si>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</si>
  <si>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</si>
  <si>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</si>
  <si>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</si>
  <si>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</si>
  <si>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</si>
  <si>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</si>
  <si>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</si>
  <si>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</si>
  <si>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</si>
  <si>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</si>
  <si>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</si>
  <si>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</si>
  <si>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</si>
  <si>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</si>
  <si>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</si>
  <si>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</si>
  <si>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</si>
  <si>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</si>
  <si>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</si>
  <si>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</si>
  <si>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</si>
  <si>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</si>
  <si>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</si>
  <si>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</si>
  <si>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</si>
  <si>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</si>
  <si>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</si>
  <si>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</si>
  <si>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</si>
  <si>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</si>
  <si>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</si>
  <si>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</si>
  <si>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</si>
  <si>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</si>
  <si>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</si>
  <si>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</si>
  <si>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</si>
  <si>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</si>
  <si>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</si>
  <si>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</si>
  <si>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</si>
  <si>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</si>
  <si>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</si>
  <si>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</si>
  <si>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</si>
  <si>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</si>
  <si>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</si>
  <si>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</si>
  <si>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</si>
  <si>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</si>
  <si>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</si>
  <si>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</si>
  <si>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</si>
  <si>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</si>
  <si>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</si>
  <si>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</si>
  <si>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</si>
  <si>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</si>
  <si>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</si>
  <si>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</si>
  <si>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</si>
  <si>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</si>
  <si>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</si>
  <si>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</si>
  <si>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</si>
  <si>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</si>
  <si>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</si>
  <si>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</si>
  <si>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</si>
  <si>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</si>
  <si>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</si>
  <si>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</si>
  <si>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</si>
  <si>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</si>
  <si>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</si>
  <si>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</si>
  <si>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</si>
  <si>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</si>
  <si>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</si>
  <si>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</si>
  <si>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</si>
  <si>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</si>
  <si>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</si>
  <si>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</si>
  <si>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</si>
  <si>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</si>
  <si>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</si>
  <si>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</si>
  <si>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</si>
  <si>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</si>
  <si>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</si>
  <si>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</si>
  <si>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</si>
  <si>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</si>
  <si>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</si>
  <si>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</si>
  <si>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</si>
  <si>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</si>
  <si>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</si>
  <si>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</si>
  <si>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</si>
  <si>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</si>
  <si>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</si>
  <si>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</si>
  <si>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</si>
  <si>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</si>
  <si>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</si>
  <si>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</si>
  <si>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</si>
  <si>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</si>
  <si>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</si>
  <si>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</si>
  <si>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</si>
  <si>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</si>
  <si>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</si>
  <si>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</si>
  <si>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</si>
  <si>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</si>
  <si>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</si>
  <si>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</si>
  <si>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</si>
  <si>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</si>
  <si>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</si>
  <si>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</si>
  <si>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</si>
  <si>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</si>
  <si>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</si>
  <si>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</si>
  <si>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</si>
  <si>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</si>
  <si>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</si>
  <si>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</si>
  <si>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</si>
  <si>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</si>
  <si>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</si>
  <si>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</si>
  <si>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</si>
  <si>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</si>
  <si>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</si>
  <si>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</si>
  <si>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</si>
  <si>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</si>
  <si>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</si>
  <si>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</si>
  <si>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</si>
  <si>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</si>
  <si>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</si>
  <si>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</si>
  <si>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</si>
  <si>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</si>
  <si>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</si>
  <si>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</si>
  <si>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</si>
  <si>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</si>
  <si>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</si>
  <si>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</si>
  <si>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</si>
  <si>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</si>
  <si>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</si>
  <si>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</si>
  <si>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</si>
  <si>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</si>
  <si>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</si>
  <si>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</si>
  <si>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</si>
  <si>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</si>
  <si>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</si>
  <si>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</si>
  <si>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</si>
  <si>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</si>
  <si>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</si>
  <si>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</si>
  <si>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</si>
  <si>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</si>
  <si>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</si>
  <si>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</si>
  <si>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</si>
  <si>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</si>
  <si>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</si>
  <si>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</si>
  <si>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</si>
  <si>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</si>
  <si>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</si>
  <si>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</si>
  <si>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</si>
  <si>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</si>
  <si>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</si>
  <si>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</si>
  <si>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</si>
  <si>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</si>
  <si>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</si>
  <si>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</si>
  <si>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</si>
  <si>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</si>
  <si>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</si>
  <si>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</si>
  <si>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</si>
  <si>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</si>
  <si>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</si>
  <si>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</si>
  <si>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</si>
  <si>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</si>
  <si>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</si>
  <si>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</si>
  <si>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</si>
  <si>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</si>
  <si>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</si>
  <si>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</si>
  <si>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</si>
  <si>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</si>
  <si>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</si>
  <si>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</si>
  <si>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</si>
  <si>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</si>
  <si>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</si>
  <si>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</si>
  <si>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</si>
  <si>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</si>
  <si>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</si>
  <si>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</si>
  <si>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</si>
  <si>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</si>
  <si>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</si>
  <si>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</si>
  <si>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</si>
  <si>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</si>
  <si>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</si>
  <si>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</si>
  <si>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</si>
  <si>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</si>
  <si>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</si>
  <si>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</si>
  <si>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</si>
  <si>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</si>
  <si>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</si>
  <si>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</si>
  <si>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</si>
  <si>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</si>
  <si>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</si>
  <si>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</si>
  <si>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</si>
  <si>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</si>
  <si>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</si>
  <si>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</si>
  <si>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</si>
  <si>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</si>
  <si>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</si>
  <si>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</si>
  <si>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</si>
  <si>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</si>
  <si>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</si>
  <si>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</si>
  <si>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</si>
  <si>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</si>
  <si>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</si>
  <si>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</si>
  <si>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</si>
  <si>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</si>
  <si>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</si>
  <si>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</si>
  <si>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</si>
  <si>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</si>
  <si>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</si>
  <si>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</si>
  <si>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</si>
  <si>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</si>
  <si>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</si>
  <si>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</si>
  <si>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</si>
  <si>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</si>
  <si>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</si>
  <si>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</si>
  <si>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</si>
  <si>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</si>
  <si>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</si>
  <si>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</si>
  <si>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</si>
  <si>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</si>
  <si>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</si>
  <si>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</si>
  <si>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</si>
  <si>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</si>
  <si>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</si>
  <si>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</si>
  <si>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</si>
  <si>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</si>
  <si>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</si>
  <si>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</si>
  <si>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</si>
  <si>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</si>
  <si>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</si>
  <si>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</si>
  <si>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</si>
  <si>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</si>
  <si>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</si>
  <si>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</si>
  <si>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</si>
  <si>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</si>
  <si>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</si>
  <si>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</si>
  <si>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</si>
  <si>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</si>
  <si>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</si>
  <si>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</si>
  <si>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</si>
  <si>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</si>
  <si>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</si>
  <si>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</si>
  <si>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</si>
  <si>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</si>
  <si>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</si>
  <si>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</si>
  <si>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</si>
  <si>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</si>
  <si>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</si>
  <si>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</si>
  <si>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</si>
  <si>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</si>
  <si>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</si>
  <si>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</si>
  <si>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</si>
  <si>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</si>
  <si>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</si>
  <si>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</si>
  <si>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</si>
  <si>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</si>
  <si>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</si>
  <si>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</si>
  <si>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</si>
  <si>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</si>
  <si>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</si>
  <si>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</si>
  <si>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</si>
  <si>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</si>
  <si>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</si>
  <si>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</si>
  <si>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</si>
  <si>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</si>
  <si>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</si>
  <si>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</si>
  <si>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</si>
  <si>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</si>
  <si>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</si>
  <si>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</si>
  <si>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</si>
  <si>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</si>
  <si>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</si>
  <si>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</si>
  <si>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</si>
  <si>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</si>
  <si>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</si>
  <si>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</si>
  <si>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</si>
  <si>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</si>
  <si>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</si>
  <si>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</si>
  <si>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</si>
  <si>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</si>
  <si>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</si>
  <si>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</si>
  <si>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</si>
  <si>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</si>
  <si>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</si>
  <si>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</si>
  <si>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</si>
  <si>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</si>
  <si>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</si>
  <si>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</si>
  <si>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</si>
  <si>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</si>
  <si>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</si>
  <si>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</si>
  <si>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</si>
  <si>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</si>
  <si>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</si>
  <si>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</si>
  <si>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</si>
  <si>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</si>
  <si>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</si>
  <si>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</si>
  <si>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</si>
  <si>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</si>
  <si>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</si>
  <si>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</si>
  <si>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</si>
  <si>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</si>
  <si>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</si>
  <si>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</si>
  <si>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</si>
  <si>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</si>
  <si>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</si>
  <si>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</si>
  <si>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</si>
  <si>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</si>
  <si>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</si>
  <si>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</si>
  <si>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</si>
  <si>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</si>
  <si>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</si>
  <si>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</si>
  <si>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</si>
  <si>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</si>
  <si>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</si>
  <si>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</si>
  <si>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</si>
  <si>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</si>
  <si>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</si>
  <si>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</si>
  <si>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</si>
  <si>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</si>
  <si>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</si>
  <si>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</si>
  <si>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</si>
  <si>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</si>
  <si>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</si>
  <si>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</si>
  <si>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</si>
  <si>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</si>
  <si>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</si>
  <si>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</si>
  <si>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</si>
  <si>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</si>
  <si>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</si>
  <si>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</si>
  <si>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</si>
  <si>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</si>
  <si>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</si>
  <si>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</si>
  <si>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</si>
  <si>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</si>
  <si>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</si>
  <si>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</si>
  <si>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</si>
  <si>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</si>
  <si>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</si>
  <si>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</si>
  <si>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</si>
  <si>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</si>
  <si>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</si>
  <si>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</si>
  <si>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</si>
  <si>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</si>
  <si>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</si>
  <si>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</si>
  <si>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</si>
  <si>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</si>
  <si>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</si>
  <si>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</si>
  <si>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</si>
  <si>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</si>
  <si>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</si>
  <si>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</si>
  <si>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</si>
  <si>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</si>
  <si>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</si>
  <si>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</si>
  <si>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</si>
  <si>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</si>
  <si>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</si>
  <si>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</si>
  <si>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</si>
  <si>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</si>
  <si>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</si>
  <si>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</si>
  <si>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</si>
  <si>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</si>
  <si>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</si>
  <si>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</si>
  <si>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</si>
  <si>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</si>
  <si>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</si>
  <si>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</si>
  <si>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</si>
  <si>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</si>
  <si>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</si>
  <si>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</si>
  <si>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</si>
  <si>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</si>
  <si>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</si>
  <si>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</si>
  <si>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</si>
  <si>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</si>
  <si>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</si>
  <si>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</si>
  <si>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</si>
  <si>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</si>
  <si>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</si>
  <si>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</si>
  <si>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</si>
  <si>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</si>
  <si>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</si>
  <si>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</si>
  <si>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</si>
  <si>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</si>
  <si>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</si>
  <si>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</si>
  <si>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</si>
  <si>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</si>
  <si>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</si>
  <si>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</si>
  <si>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</si>
  <si>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</si>
  <si>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</si>
  <si>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</si>
  <si>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</si>
  <si>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</si>
  <si>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</si>
  <si>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</si>
  <si>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</si>
  <si>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</si>
  <si>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</si>
  <si>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</si>
  <si>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</si>
  <si>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</si>
  <si>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</si>
  <si>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</si>
  <si>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</si>
  <si>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</si>
  <si>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</si>
  <si>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</si>
  <si>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</si>
  <si>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</si>
  <si>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</si>
  <si>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</si>
  <si>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</si>
  <si>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</si>
  <si>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</si>
  <si>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</si>
  <si>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</si>
  <si>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</si>
  <si>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</si>
  <si>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</si>
  <si>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</si>
  <si>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</si>
  <si>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</si>
  <si>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</si>
  <si>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</si>
  <si>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</si>
  <si>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</si>
  <si>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</si>
  <si>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</si>
  <si>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</si>
  <si>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</si>
  <si>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</si>
  <si>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</si>
  <si>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</si>
  <si>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</si>
  <si>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</si>
  <si>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</si>
  <si>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</si>
  <si>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</si>
  <si>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</si>
  <si>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</si>
  <si>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</si>
  <si>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</si>
  <si>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</si>
  <si>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</si>
  <si>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</si>
  <si>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</si>
  <si>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</si>
  <si>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</si>
  <si>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</si>
  <si>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</si>
  <si>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</si>
  <si>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</si>
  <si>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</si>
  <si>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</si>
  <si>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</si>
  <si>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</si>
  <si>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</si>
  <si>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</si>
  <si>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</si>
  <si>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</si>
  <si>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</si>
  <si>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</si>
  <si>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</si>
  <si>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</si>
  <si>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</si>
  <si>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</si>
  <si>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</si>
  <si>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</si>
  <si>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</si>
  <si>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</si>
  <si>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</si>
  <si>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</si>
  <si>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</si>
  <si>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</si>
  <si>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</si>
  <si>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</si>
  <si>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</si>
  <si>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</si>
  <si>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</si>
  <si>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</si>
  <si>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</si>
  <si>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</si>
  <si>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</si>
  <si>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</si>
  <si>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</si>
  <si>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</si>
  <si>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</si>
  <si>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</si>
  <si>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</si>
  <si>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</si>
  <si>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</si>
  <si>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</si>
  <si>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</si>
  <si>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</si>
  <si>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</si>
  <si>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</si>
  <si>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</si>
  <si>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</si>
  <si>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</si>
  <si>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</si>
  <si>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</si>
  <si>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</si>
  <si>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</si>
  <si>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</si>
  <si>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</si>
  <si>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</si>
  <si>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</si>
  <si>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</si>
  <si>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</si>
  <si>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</si>
  <si>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</si>
  <si>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</si>
  <si>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</si>
  <si>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</si>
  <si>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</si>
  <si>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</si>
  <si>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</si>
  <si>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</si>
  <si>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</si>
  <si>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</si>
  <si>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</si>
  <si>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</si>
  <si>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</si>
  <si>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</si>
  <si>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</si>
  <si>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</si>
  <si>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</si>
  <si>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</si>
  <si>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</si>
  <si>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</si>
  <si>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</si>
  <si>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</si>
  <si>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</si>
  <si>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</si>
  <si>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</si>
  <si>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</si>
  <si>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</si>
  <si>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</si>
  <si>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</si>
  <si>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</si>
  <si>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</si>
  <si>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</si>
  <si>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</si>
  <si>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</si>
  <si>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</si>
  <si>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</si>
  <si>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</si>
  <si>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</si>
  <si>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</si>
  <si>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</si>
  <si>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</si>
  <si>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</si>
  <si>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</si>
  <si>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</si>
  <si>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</si>
  <si>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</si>
  <si>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</si>
  <si>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</si>
  <si>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</si>
  <si>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</si>
  <si>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</si>
  <si>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</si>
  <si>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</si>
  <si>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</si>
  <si>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</si>
  <si>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</si>
  <si>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</si>
  <si>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</si>
  <si>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</si>
  <si>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</si>
  <si>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</si>
  <si>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</si>
  <si>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</si>
  <si>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</si>
  <si>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</si>
  <si>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</si>
  <si>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</si>
  <si>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</si>
  <si>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</si>
  <si>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</si>
  <si>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</si>
  <si>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</si>
  <si>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</si>
  <si>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</si>
  <si>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</si>
  <si>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</si>
  <si>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</si>
  <si>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</si>
  <si>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</si>
  <si>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</si>
  <si>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</si>
  <si>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</si>
  <si>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</si>
  <si>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</si>
  <si>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</si>
  <si>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</si>
  <si>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</si>
  <si>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</si>
  <si>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</si>
  <si>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</si>
  <si>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</si>
  <si>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</si>
  <si>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</si>
  <si>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</si>
  <si>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</si>
  <si>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</si>
  <si>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</si>
  <si>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</si>
  <si>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</si>
  <si>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</si>
  <si>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</si>
  <si>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</si>
  <si>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</si>
  <si>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</si>
  <si>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</si>
  <si>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</si>
  <si>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</si>
  <si>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</si>
  <si>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</si>
  <si>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</si>
  <si>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</si>
  <si>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</si>
  <si>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</si>
  <si>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</si>
  <si>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</si>
  <si>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</si>
  <si>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</si>
  <si>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</si>
  <si>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</si>
  <si>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</si>
  <si>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</si>
  <si>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</si>
  <si>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</si>
  <si>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</si>
  <si>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</si>
  <si>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</si>
  <si>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</si>
  <si>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</si>
  <si>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</si>
  <si>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</si>
  <si>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</si>
  <si>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</si>
  <si>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</si>
  <si>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</si>
  <si>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</si>
  <si>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</si>
  <si>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</si>
  <si>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</si>
  <si>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</si>
  <si>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</si>
  <si>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</si>
  <si>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</si>
  <si>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</si>
  <si>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</si>
  <si>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</si>
  <si>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</si>
  <si>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</si>
  <si>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</si>
  <si>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</si>
  <si>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</si>
  <si>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</si>
  <si>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</si>
  <si>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</si>
  <si>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</si>
  <si>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</si>
  <si>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</si>
  <si>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</si>
  <si>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</si>
  <si>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</si>
  <si>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</si>
  <si>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</si>
  <si>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</si>
  <si>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</si>
  <si>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</si>
  <si>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</si>
  <si>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</si>
  <si>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</si>
  <si>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</si>
  <si>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</si>
  <si>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</si>
  <si>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</si>
  <si>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</si>
  <si>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</si>
  <si>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</si>
  <si>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</si>
  <si>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</si>
  <si>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</si>
  <si>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</si>
  <si>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</si>
  <si>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</si>
  <si>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</si>
  <si>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</si>
  <si>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</si>
  <si>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</si>
  <si>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</si>
  <si>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</si>
  <si>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</si>
  <si>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</si>
  <si>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</si>
  <si>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</si>
  <si>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</si>
  <si>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</si>
  <si>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</si>
  <si>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</si>
  <si>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</si>
  <si>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</si>
  <si>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</si>
  <si>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</si>
  <si>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</si>
  <si>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</si>
  <si>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</si>
  <si>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</si>
  <si>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</si>
  <si>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</si>
  <si>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</si>
  <si>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</si>
  <si>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</si>
  <si>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</si>
  <si>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</si>
  <si>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</si>
  <si>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</si>
  <si>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</si>
  <si>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</si>
  <si>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</si>
  <si>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</si>
  <si>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</si>
  <si>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</si>
  <si>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</si>
  <si>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</si>
  <si>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</si>
  <si>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</si>
  <si>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</si>
  <si>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</si>
  <si>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</si>
  <si>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</si>
  <si>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</si>
  <si>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</si>
  <si>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</si>
  <si>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</si>
  <si>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</si>
  <si>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</si>
  <si>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</si>
  <si>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</si>
  <si>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</si>
  <si>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</si>
  <si>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</si>
  <si>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</si>
  <si>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</si>
  <si>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</si>
  <si>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</si>
  <si>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</si>
  <si>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</si>
  <si>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</si>
  <si>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</si>
  <si>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</si>
  <si>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</si>
  <si>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</si>
  <si>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</si>
  <si>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</si>
  <si>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</si>
  <si>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</si>
  <si>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</si>
  <si>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</si>
  <si>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</si>
  <si>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</si>
  <si>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</si>
  <si>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</si>
  <si>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</si>
  <si>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</si>
  <si>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</si>
  <si>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</si>
  <si>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</si>
  <si>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</si>
  <si>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</si>
  <si>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</si>
  <si>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</si>
  <si>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</si>
  <si>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</si>
  <si>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</si>
  <si>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</si>
  <si>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</si>
  <si>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</si>
  <si>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</si>
  <si>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</si>
  <si>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</si>
  <si>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</si>
  <si>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</si>
  <si>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</si>
  <si>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</si>
  <si>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</si>
  <si>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</si>
  <si>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</si>
  <si>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</si>
  <si>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</si>
  <si>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</si>
  <si>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</si>
  <si>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</si>
  <si>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</si>
  <si>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</si>
  <si>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</si>
  <si>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</si>
  <si>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</si>
  <si>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</si>
  <si>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</si>
  <si>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</si>
  <si>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</si>
  <si>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</si>
  <si>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</si>
  <si>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</si>
  <si>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</si>
  <si>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</si>
  <si>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</si>
  <si>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</si>
  <si>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</si>
  <si>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</si>
  <si>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</si>
  <si>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</si>
  <si>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</si>
  <si>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</si>
  <si>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</si>
  <si>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</si>
  <si>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</si>
  <si>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</si>
  <si>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</si>
  <si>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</si>
  <si>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</si>
  <si>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</si>
  <si>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</si>
  <si>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</si>
  <si>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</si>
  <si>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</si>
  <si>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</si>
  <si>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</si>
  <si>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</si>
  <si>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</si>
  <si>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</si>
  <si>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</si>
  <si>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</si>
  <si>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</si>
  <si>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</si>
  <si>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</si>
  <si>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</si>
  <si>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</si>
  <si>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</si>
  <si>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</si>
  <si>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</si>
  <si>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</si>
  <si>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</si>
  <si>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</si>
  <si>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</si>
  <si>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</si>
  <si>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</si>
  <si>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</si>
  <si>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</si>
  <si>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</si>
  <si>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</si>
  <si>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</si>
  <si>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</si>
  <si>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</si>
  <si>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</si>
  <si>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</si>
  <si>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</si>
  <si>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</si>
  <si>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</si>
  <si>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</si>
  <si>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</si>
  <si>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</si>
  <si>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</si>
  <si>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</si>
  <si>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</si>
  <si>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</si>
  <si>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</si>
  <si>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</si>
  <si>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</si>
  <si>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</si>
  <si>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</si>
  <si>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</si>
  <si>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</si>
  <si>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</si>
  <si>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</si>
  <si>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</si>
  <si>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</si>
  <si>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</si>
  <si>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</si>
  <si>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</si>
  <si>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</si>
  <si>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</si>
  <si>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</si>
  <si>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</si>
  <si>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</si>
  <si>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</si>
  <si>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</si>
  <si>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</si>
  <si>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</si>
  <si>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</si>
  <si>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</si>
  <si>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</si>
  <si>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</si>
  <si>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</si>
  <si>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</si>
  <si>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</si>
  <si>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</si>
  <si>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</si>
  <si>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</si>
  <si>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</si>
  <si>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</si>
  <si>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</si>
  <si>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</si>
  <si>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</si>
  <si>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</si>
  <si>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</si>
  <si>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</si>
  <si>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</si>
  <si>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</si>
  <si>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</si>
  <si>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</si>
  <si>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</si>
  <si>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</si>
  <si>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</si>
  <si>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</si>
  <si>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</si>
  <si>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</si>
  <si>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</si>
  <si>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</si>
  <si>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</si>
  <si>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</si>
  <si>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</si>
  <si>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</si>
  <si>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</si>
  <si>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</si>
  <si>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</si>
  <si>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</si>
  <si>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</si>
  <si>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</si>
  <si>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</si>
  <si>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</si>
  <si>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</si>
  <si>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</si>
  <si>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</si>
  <si>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</si>
  <si>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</si>
  <si>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</si>
  <si>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</si>
  <si>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</si>
  <si>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</si>
  <si>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</si>
  <si>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</si>
  <si>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</si>
  <si>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</si>
  <si>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</si>
  <si>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</si>
  <si>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</si>
  <si>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</si>
  <si>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</si>
  <si>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</si>
  <si>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</si>
  <si>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</si>
  <si>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</si>
  <si>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</si>
  <si>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</si>
  <si>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</si>
  <si>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</si>
  <si>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</si>
  <si>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</si>
  <si>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</si>
  <si>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</si>
  <si>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</si>
  <si>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</si>
  <si>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</si>
  <si>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</si>
  <si>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</si>
  <si>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</si>
  <si>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</si>
  <si>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</si>
  <si>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</si>
  <si>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</si>
  <si>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</si>
  <si>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</si>
  <si>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</si>
  <si>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</si>
  <si>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</si>
  <si>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</si>
  <si>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</si>
  <si>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</si>
  <si>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</si>
  <si>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</si>
  <si>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</si>
  <si>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</si>
  <si>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</si>
  <si>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</si>
  <si>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</si>
  <si>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</si>
  <si>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</si>
  <si>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</si>
  <si>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</si>
  <si>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</si>
  <si>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</si>
  <si>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</si>
  <si>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</si>
  <si>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</si>
  <si>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</si>
  <si>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</si>
  <si>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</si>
  <si>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</si>
  <si>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</si>
  <si>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</si>
  <si>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</si>
  <si>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</si>
  <si>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</si>
  <si>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</si>
  <si>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</si>
  <si>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</si>
  <si>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</si>
  <si>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</si>
  <si>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</si>
  <si>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</si>
  <si>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</si>
  <si>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</si>
  <si>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</si>
  <si>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</si>
  <si>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</si>
  <si>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</si>
  <si>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</si>
  <si>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</si>
  <si>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</si>
  <si>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</si>
  <si>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</si>
  <si>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</si>
  <si>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</si>
  <si>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</si>
  <si>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</si>
  <si>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</si>
  <si>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</si>
  <si>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</si>
  <si>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</si>
  <si>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</si>
  <si>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</si>
  <si>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</si>
  <si>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</si>
  <si>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</si>
  <si>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</si>
  <si>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</si>
  <si>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</si>
  <si>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</si>
  <si>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</si>
  <si>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</si>
  <si>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</si>
  <si>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</si>
  <si>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</si>
  <si>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</si>
  <si>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</si>
  <si>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</si>
  <si>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</si>
  <si>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</si>
  <si>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</si>
  <si>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</si>
  <si>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</si>
  <si>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</si>
  <si>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</si>
  <si>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</si>
  <si>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</si>
  <si>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</si>
  <si>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</si>
  <si>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</si>
  <si>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</si>
  <si>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</si>
  <si>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</si>
  <si>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</si>
  <si>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</si>
  <si>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</si>
  <si>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</si>
  <si>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</si>
  <si>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</si>
  <si>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</si>
  <si>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</si>
  <si>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</si>
  <si>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</si>
  <si>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</si>
  <si>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</si>
  <si>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</si>
  <si>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</si>
  <si>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</si>
  <si>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</si>
  <si>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</si>
  <si>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</si>
  <si>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</si>
  <si>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</si>
  <si>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</si>
  <si>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</si>
  <si>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</si>
  <si>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</si>
  <si>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</si>
  <si>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</si>
  <si>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</si>
  <si>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</si>
  <si>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</si>
  <si>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</si>
  <si>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</si>
  <si>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</si>
  <si>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</si>
  <si>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</si>
  <si>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</si>
  <si>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</si>
  <si>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</si>
  <si>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</si>
  <si>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</si>
  <si>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</si>
  <si>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</si>
  <si>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</si>
  <si>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</si>
  <si>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</si>
  <si>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</si>
  <si>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</si>
  <si>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</si>
  <si>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</si>
  <si>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</si>
  <si>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</si>
  <si>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</si>
  <si>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</si>
  <si>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</si>
  <si>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</si>
  <si>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</si>
  <si>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</si>
  <si>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</si>
  <si>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</si>
  <si>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</si>
  <si>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</si>
  <si>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</si>
  <si>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</si>
  <si>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</si>
  <si>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</si>
  <si>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</si>
  <si>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</si>
  <si>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</si>
  <si>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</si>
  <si>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</si>
  <si>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</si>
  <si>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</si>
  <si>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</si>
  <si>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</si>
  <si>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</si>
  <si>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</si>
  <si>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</si>
  <si>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</si>
  <si>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</si>
  <si>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</si>
  <si>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</si>
  <si>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</si>
  <si>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</si>
  <si>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</si>
  <si>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</si>
  <si>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</si>
  <si>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</si>
  <si>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</si>
  <si>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</si>
  <si>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</si>
  <si>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</si>
  <si>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</si>
  <si>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</si>
  <si>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</si>
  <si>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</si>
  <si>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</si>
  <si>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</si>
  <si>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</si>
  <si>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</si>
  <si>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</si>
  <si>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</si>
  <si>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</si>
  <si>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</si>
  <si>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</si>
  <si>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</si>
  <si>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</si>
  <si>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</si>
  <si>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</si>
  <si>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</si>
  <si>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</si>
  <si>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</si>
  <si>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</si>
  <si>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</si>
  <si>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</si>
  <si>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</si>
  <si>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</si>
  <si>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</si>
  <si>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</si>
  <si>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</si>
  <si>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</si>
  <si>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</si>
  <si>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</si>
  <si>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</si>
  <si>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</si>
  <si>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</si>
  <si>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</si>
  <si>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</si>
  <si>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</si>
  <si>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</si>
  <si>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</si>
  <si>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</si>
  <si>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</si>
  <si>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</si>
  <si>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</si>
  <si>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</si>
  <si>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</si>
  <si>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</si>
  <si>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</si>
  <si>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</si>
  <si>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</si>
  <si>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</si>
  <si>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</si>
  <si>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</si>
  <si>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</si>
  <si>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</si>
  <si>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</si>
  <si>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</si>
  <si>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</si>
  <si>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</si>
  <si>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</si>
  <si>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</si>
  <si>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</si>
  <si>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</si>
  <si>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</si>
  <si>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</si>
  <si>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</si>
  <si>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</si>
  <si>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</si>
  <si>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</si>
  <si>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</si>
  <si>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</si>
  <si>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</si>
  <si>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</si>
  <si>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</si>
  <si>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</si>
  <si>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</si>
  <si>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</si>
  <si>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</si>
  <si>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</si>
  <si>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</si>
  <si>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</si>
  <si>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</si>
  <si>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</si>
  <si>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</si>
  <si>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</si>
  <si>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</si>
  <si>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</si>
  <si>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</si>
  <si>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</si>
  <si>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</si>
  <si>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</si>
  <si>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</si>
  <si>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</si>
  <si>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</si>
  <si>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</si>
  <si>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</si>
  <si>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</si>
  <si>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</si>
  <si>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</si>
  <si>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</si>
  <si>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</si>
  <si>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</si>
  <si>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</si>
  <si>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</si>
  <si>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</si>
  <si>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</si>
  <si>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</si>
  <si>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</si>
  <si>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</si>
  <si>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</si>
  <si>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</si>
  <si>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</si>
  <si>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</si>
  <si>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</si>
  <si>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</si>
  <si>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</si>
  <si>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</si>
  <si>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</si>
  <si>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</si>
  <si>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</si>
  <si>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</si>
  <si>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</si>
  <si>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</si>
  <si>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</si>
  <si>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</si>
  <si>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</si>
  <si>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</si>
  <si>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</si>
  <si>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</si>
  <si>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</si>
  <si>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</si>
  <si>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</si>
  <si>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</si>
  <si>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</si>
  <si>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</si>
  <si>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</si>
  <si>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</si>
  <si>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</si>
  <si>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</si>
  <si>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</si>
  <si>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</si>
  <si>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</si>
  <si>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</si>
  <si>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</si>
  <si>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</si>
  <si>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</si>
  <si>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</si>
  <si>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</si>
  <si>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</si>
  <si>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</si>
  <si>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</si>
  <si>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</si>
  <si>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</si>
  <si>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</si>
  <si>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</si>
  <si>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</si>
  <si>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</si>
  <si>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</si>
  <si>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</si>
  <si>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</si>
  <si>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</si>
  <si>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</si>
  <si>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</si>
  <si>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</si>
  <si>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</si>
  <si>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</si>
  <si>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</si>
  <si>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</si>
  <si>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</si>
  <si>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</si>
  <si>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</si>
  <si>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</si>
  <si>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</si>
  <si>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</si>
  <si>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</si>
  <si>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</si>
  <si>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</si>
  <si>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</si>
  <si>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</si>
  <si>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</si>
  <si>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</si>
  <si>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</si>
  <si>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</si>
  <si>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</si>
  <si>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</si>
  <si>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</si>
  <si>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</si>
  <si>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</si>
  <si>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</si>
  <si>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</si>
  <si>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</si>
  <si>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</si>
  <si>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</si>
  <si>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</si>
  <si>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</si>
  <si>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</si>
  <si>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</si>
  <si>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</si>
  <si>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</si>
  <si>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</si>
  <si>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</si>
  <si>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</si>
  <si>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</si>
  <si>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</si>
  <si>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</si>
  <si>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</si>
  <si>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</si>
  <si>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</si>
  <si>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</si>
  <si>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</si>
  <si>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</si>
  <si>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</si>
  <si>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</si>
  <si>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</si>
  <si>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</si>
  <si>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</si>
  <si>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</si>
  <si>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</si>
  <si>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</si>
  <si>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</si>
  <si>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</si>
  <si>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</si>
  <si>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</si>
  <si>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</si>
  <si>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</si>
  <si>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</si>
  <si>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</si>
  <si>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</si>
  <si>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</si>
  <si>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</si>
  <si>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</si>
  <si>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</si>
  <si>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</si>
  <si>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</si>
  <si>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</si>
  <si>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</si>
  <si>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</si>
  <si>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</si>
  <si>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</si>
  <si>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</si>
  <si>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</si>
  <si>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</si>
  <si>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</si>
  <si>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</si>
  <si>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</si>
  <si>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</si>
  <si>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</si>
  <si>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</si>
  <si>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</si>
  <si>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</si>
  <si>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</si>
  <si>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</si>
  <si>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</si>
  <si>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</si>
  <si>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</si>
  <si>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</si>
  <si>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</si>
  <si>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</si>
  <si>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</si>
  <si>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</si>
  <si>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</si>
  <si>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</si>
  <si>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</si>
  <si>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</si>
  <si>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</si>
  <si>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</si>
  <si>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</si>
  <si>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</si>
  <si>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</si>
  <si>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</si>
  <si>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</si>
  <si>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</si>
  <si>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</si>
  <si>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</si>
  <si>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</si>
  <si>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</si>
  <si>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</si>
  <si>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</si>
  <si>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</si>
  <si>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</si>
  <si>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</si>
  <si>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</si>
  <si>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</si>
  <si>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</si>
  <si>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</si>
  <si>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</si>
  <si>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</si>
  <si>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</si>
  <si>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</si>
  <si>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</si>
  <si>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</si>
  <si>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</si>
  <si>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</si>
  <si>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</si>
  <si>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</si>
  <si>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</si>
  <si>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</si>
  <si>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</si>
  <si>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</si>
  <si>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</si>
  <si>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</si>
  <si>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</si>
  <si>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</si>
  <si>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</si>
  <si>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</si>
  <si>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</si>
  <si>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</si>
  <si>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</si>
  <si>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</si>
  <si>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</si>
  <si>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</si>
  <si>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</si>
  <si>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</si>
  <si>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</si>
  <si>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</si>
  <si>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</si>
  <si>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</si>
  <si>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</si>
  <si>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</si>
  <si>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</si>
  <si>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</si>
  <si>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</si>
  <si>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</si>
  <si>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</si>
  <si>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</si>
  <si>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</si>
  <si>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</si>
  <si>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</si>
  <si>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</si>
  <si>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</si>
  <si>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</si>
  <si>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</si>
  <si>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</si>
  <si>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</si>
  <si>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</si>
  <si>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</si>
  <si>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</si>
  <si>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</si>
  <si>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</si>
  <si>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</si>
  <si>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</si>
  <si>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</si>
  <si>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</si>
  <si>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</si>
  <si>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</si>
  <si>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</si>
  <si>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</si>
  <si>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</si>
  <si>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</si>
  <si>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</si>
  <si>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</si>
  <si>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</si>
  <si>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</si>
  <si>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</si>
  <si>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</si>
  <si>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</si>
  <si>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</si>
  <si>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</si>
  <si>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</si>
  <si>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</si>
  <si>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</si>
  <si>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</si>
  <si>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</si>
  <si>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</si>
  <si>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</si>
  <si>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</si>
  <si>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</si>
  <si>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</si>
  <si>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</si>
  <si>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</si>
  <si>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</si>
  <si>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</si>
  <si>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</si>
  <si>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</si>
  <si>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</si>
  <si>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</si>
  <si>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</si>
  <si>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</si>
  <si>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</si>
  <si>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</si>
  <si>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</si>
  <si>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</si>
  <si>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</si>
  <si>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</si>
  <si>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</si>
  <si>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</si>
  <si>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</si>
  <si>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</si>
  <si>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</si>
  <si>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</si>
  <si>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</si>
  <si>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</si>
  <si>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</si>
  <si>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</si>
  <si>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</si>
  <si>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</si>
  <si>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</si>
  <si>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</si>
  <si>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</si>
  <si>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</si>
  <si>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</si>
  <si>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</si>
  <si>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</si>
  <si>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</si>
  <si>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</si>
  <si>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</si>
  <si>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</si>
  <si>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</si>
  <si>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</si>
  <si>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</si>
  <si>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</si>
  <si>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</si>
  <si>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</si>
  <si>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</si>
  <si>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</si>
  <si>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</si>
  <si>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</si>
  <si>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</si>
  <si>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</si>
  <si>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</si>
  <si>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</si>
  <si>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</si>
  <si>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</si>
  <si>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</si>
  <si>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</si>
  <si>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</si>
  <si>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</si>
  <si>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</si>
  <si>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</si>
  <si>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</si>
  <si>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</si>
  <si>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</si>
  <si>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</si>
  <si>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</si>
  <si>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</si>
  <si>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</si>
  <si>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</si>
  <si>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</si>
  <si>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</si>
  <si>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</si>
  <si>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</si>
  <si>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</si>
  <si>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</si>
  <si>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</si>
  <si>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</si>
  <si>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</si>
  <si>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</si>
  <si>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</si>
  <si>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</si>
  <si>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</si>
  <si>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</si>
  <si>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</si>
  <si>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</si>
  <si>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</si>
  <si>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</si>
  <si>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</si>
  <si>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</si>
  <si>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</si>
  <si>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</si>
  <si>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</si>
  <si>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</si>
  <si>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</si>
  <si>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</si>
  <si>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</si>
  <si>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</si>
  <si>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</si>
  <si>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</si>
  <si>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</si>
  <si>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</si>
  <si>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</si>
  <si>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</si>
  <si>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</si>
  <si>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</si>
  <si>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</si>
  <si>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</si>
  <si>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</si>
  <si>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</si>
  <si>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</si>
  <si>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</si>
  <si>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</si>
  <si>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</si>
  <si>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</si>
  <si>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</si>
  <si>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</si>
  <si>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</si>
  <si>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</si>
  <si>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</si>
  <si>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</si>
  <si>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</si>
  <si>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</si>
  <si>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</si>
  <si>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</si>
  <si>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</si>
  <si>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</si>
  <si>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</si>
  <si>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</si>
  <si>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</si>
  <si>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</si>
  <si>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</si>
  <si>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</si>
  <si>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</si>
  <si>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</si>
  <si>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</si>
  <si>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</si>
  <si>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</si>
  <si>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</si>
  <si>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</si>
  <si>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</si>
  <si>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</si>
  <si>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</si>
  <si>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</si>
  <si>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</si>
  <si>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</si>
  <si>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</si>
  <si>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</si>
  <si>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</si>
  <si>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</si>
  <si>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</si>
  <si>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</si>
  <si>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</si>
  <si>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</si>
  <si>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</si>
  <si>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</si>
  <si>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</si>
  <si>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</si>
  <si>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</si>
  <si>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</si>
  <si>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</si>
  <si>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</si>
  <si>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</si>
  <si>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</si>
  <si>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</si>
  <si>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</si>
  <si>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</si>
  <si>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</si>
  <si>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</si>
  <si>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</si>
  <si>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</si>
  <si>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</si>
  <si>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</si>
  <si>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</si>
  <si>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</si>
  <si>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</si>
  <si>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</si>
  <si>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</si>
  <si>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</si>
  <si>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</si>
  <si>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</si>
  <si>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</si>
  <si>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</si>
  <si>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</si>
  <si>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</si>
  <si>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</si>
  <si>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</si>
  <si>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</si>
  <si>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</si>
  <si>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</si>
  <si>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</si>
  <si>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</si>
  <si>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</si>
  <si>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</si>
  <si>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</si>
  <si>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</si>
  <si>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</si>
  <si>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</si>
  <si>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</si>
  <si>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</si>
  <si>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</si>
  <si>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</si>
  <si>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</si>
  <si>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</si>
  <si>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</si>
  <si>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</si>
  <si>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</si>
  <si>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</si>
  <si>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</si>
  <si>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</si>
  <si>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</si>
  <si>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</si>
  <si>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</si>
  <si>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</si>
  <si>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</si>
  <si>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</si>
  <si>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</si>
  <si>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</si>
  <si>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</si>
  <si>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</si>
  <si>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</si>
  <si>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</si>
  <si>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</si>
  <si>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</si>
  <si>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</si>
  <si>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</si>
  <si>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</si>
  <si>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</si>
  <si>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</si>
  <si>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</si>
  <si>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</si>
  <si>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</si>
  <si>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</si>
  <si>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</si>
  <si>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</si>
  <si>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</si>
  <si>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</si>
  <si>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</si>
  <si>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</si>
  <si>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</si>
  <si>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</si>
  <si>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</si>
  <si>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</si>
  <si>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</si>
  <si>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</si>
  <si>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</si>
  <si>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</si>
  <si>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</si>
  <si>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</si>
  <si>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</si>
  <si>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</si>
  <si>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</si>
  <si>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</si>
  <si>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</si>
  <si>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</si>
  <si>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</si>
  <si>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</si>
  <si>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</si>
  <si>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</si>
  <si>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</si>
  <si>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</si>
  <si>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</si>
  <si>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</si>
  <si>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</si>
  <si>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</si>
  <si>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</si>
  <si>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</si>
  <si>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</si>
  <si>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</si>
  <si>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</si>
  <si>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</si>
  <si>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</si>
  <si>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</si>
  <si>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</si>
  <si>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</si>
  <si>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</si>
  <si>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</si>
  <si>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</si>
  <si>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</si>
  <si>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</si>
  <si>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</si>
  <si>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</si>
  <si>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</si>
  <si>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</si>
  <si>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</si>
  <si>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</si>
  <si>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</si>
  <si>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</si>
  <si>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</si>
  <si>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</si>
  <si>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</si>
  <si>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</si>
  <si>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</si>
  <si>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</si>
  <si>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</si>
  <si>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</si>
  <si>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</si>
  <si>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</si>
  <si>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</si>
  <si>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</si>
  <si>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</si>
  <si>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</si>
  <si>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</si>
  <si>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</si>
  <si>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</si>
  <si>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</si>
  <si>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</si>
  <si>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</si>
  <si>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</si>
  <si>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</si>
  <si>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</si>
  <si>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</si>
  <si>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</si>
  <si>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</si>
  <si>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</si>
  <si>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</si>
  <si>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</si>
  <si>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</si>
  <si>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</si>
  <si>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</si>
  <si>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</si>
  <si>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</si>
  <si>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</si>
  <si>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</si>
  <si>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</si>
  <si>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</si>
  <si>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</si>
  <si>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</si>
  <si>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</si>
  <si>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</si>
  <si>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</si>
  <si>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</si>
  <si>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</si>
  <si>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</si>
  <si>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</si>
  <si>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</si>
  <si>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</si>
  <si>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</si>
  <si>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</si>
  <si>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</si>
  <si>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</si>
  <si>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</si>
  <si>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</si>
  <si>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</si>
  <si>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</si>
  <si>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</si>
  <si>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</si>
  <si>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</si>
  <si>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</si>
  <si>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</si>
  <si>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</si>
  <si>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</si>
  <si>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</si>
  <si>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</si>
  <si>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</si>
  <si>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</si>
  <si>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</si>
  <si>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</si>
  <si>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</si>
  <si>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</si>
  <si>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</si>
  <si>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</si>
  <si>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</si>
  <si>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</si>
  <si>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</si>
  <si>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</si>
  <si>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</si>
  <si>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</si>
  <si>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</si>
  <si>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</si>
  <si>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</si>
  <si>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</si>
  <si>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</si>
  <si>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</si>
  <si>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</si>
  <si>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</si>
  <si>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</si>
  <si>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</si>
  <si>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</si>
  <si>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</si>
  <si>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</si>
  <si>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</si>
  <si>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</si>
  <si>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</si>
  <si>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</si>
  <si>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</si>
  <si>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</si>
  <si>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</si>
  <si>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</si>
  <si>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</si>
  <si>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</si>
  <si>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</si>
  <si>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</si>
  <si>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</si>
  <si>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</si>
  <si>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</si>
  <si>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</si>
  <si>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</si>
  <si>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</si>
  <si>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</si>
  <si>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</si>
  <si>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</si>
  <si>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</si>
  <si>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</si>
  <si>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</si>
  <si>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</si>
  <si>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</si>
  <si>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</si>
  <si>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</si>
  <si>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</si>
  <si>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</si>
  <si>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</si>
  <si>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</si>
  <si>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</si>
  <si>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</si>
  <si>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</si>
  <si>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</si>
  <si>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</si>
  <si>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</si>
  <si>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</si>
  <si>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</si>
  <si>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</si>
  <si>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</si>
  <si>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</si>
  <si>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</si>
  <si>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</si>
  <si>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</si>
  <si>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</si>
  <si>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</si>
  <si>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</si>
  <si>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</si>
  <si>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</si>
  <si>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</si>
  <si>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</si>
  <si>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</si>
  <si>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</si>
  <si>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</si>
  <si>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</si>
  <si>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</si>
  <si>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</si>
  <si>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</si>
  <si>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</si>
  <si>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</si>
  <si>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</si>
  <si>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</si>
  <si>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</si>
  <si>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</si>
  <si>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</si>
  <si>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</si>
  <si>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</si>
  <si>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</si>
  <si>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</si>
  <si>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</si>
  <si>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</si>
  <si>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</si>
  <si>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</si>
  <si>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</si>
  <si>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</si>
  <si>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</si>
  <si>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</si>
  <si>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</si>
  <si>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</si>
  <si>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</si>
  <si>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</si>
  <si>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</si>
  <si>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</si>
  <si>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</si>
  <si>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</si>
  <si>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</si>
  <si>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</si>
  <si>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</si>
  <si>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</si>
  <si>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</si>
  <si>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</si>
  <si>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</si>
  <si>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</si>
  <si>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</si>
  <si>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</si>
  <si>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</si>
  <si>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</si>
  <si>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</si>
  <si>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</si>
  <si>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</si>
  <si>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</si>
  <si>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</si>
  <si>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</si>
  <si>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</si>
  <si>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</si>
  <si>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</si>
  <si>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</si>
  <si>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</si>
  <si>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</si>
  <si>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</si>
  <si>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</si>
  <si>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</si>
  <si>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</si>
  <si>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</si>
  <si>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</si>
  <si>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</si>
  <si>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</si>
  <si>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</si>
  <si>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</si>
  <si>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</si>
  <si>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</si>
  <si>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</si>
  <si>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</si>
  <si>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</si>
  <si>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</si>
  <si>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</si>
  <si>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</si>
  <si>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</si>
  <si>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</si>
  <si>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</si>
  <si>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</si>
  <si>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</si>
  <si>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</si>
  <si>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</si>
  <si>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</si>
  <si>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</si>
  <si>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</si>
  <si>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</si>
  <si>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</si>
  <si>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</si>
  <si>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</si>
  <si>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</si>
  <si>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</si>
  <si>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</si>
  <si>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</si>
  <si>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</si>
  <si>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</si>
  <si>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</si>
  <si>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</si>
  <si>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</si>
  <si>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</si>
  <si>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</si>
  <si>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</si>
  <si>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</si>
  <si>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</si>
  <si>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</si>
  <si>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</si>
  <si>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</si>
  <si>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</si>
  <si>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</si>
  <si>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</si>
  <si>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</si>
  <si>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</si>
  <si>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</si>
  <si>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</si>
  <si>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</si>
  <si>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</si>
  <si>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</si>
  <si>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</si>
  <si>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</si>
  <si>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</si>
  <si>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</si>
  <si>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</si>
  <si>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</si>
  <si>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</si>
  <si>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</si>
  <si>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</si>
  <si>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</si>
  <si>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</si>
  <si>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</si>
  <si>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</si>
  <si>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</si>
  <si>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</si>
  <si>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</si>
  <si>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</si>
  <si>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</si>
  <si>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</si>
  <si>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</si>
  <si>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</si>
  <si>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</si>
  <si>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</si>
  <si>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</si>
  <si>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</si>
  <si>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</si>
  <si>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</si>
  <si>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</si>
  <si>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</si>
  <si>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</si>
  <si>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</si>
  <si>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</si>
  <si>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</si>
  <si>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</si>
  <si>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</si>
  <si>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</si>
  <si>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</si>
  <si>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</si>
  <si>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</si>
  <si>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</si>
  <si>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</si>
  <si>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</si>
  <si>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</si>
  <si>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</si>
  <si>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</si>
  <si>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</si>
  <si>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</si>
  <si>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</si>
  <si>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</si>
  <si>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</si>
  <si>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</si>
  <si>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</si>
  <si>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</si>
  <si>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</si>
  <si>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</si>
  <si>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</si>
  <si>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</si>
  <si>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</si>
  <si>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</si>
  <si>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</si>
  <si>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</si>
  <si>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</si>
  <si>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</si>
  <si>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</si>
  <si>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</si>
  <si>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</si>
  <si>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</si>
  <si>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</si>
  <si>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</si>
  <si>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</si>
  <si>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</si>
  <si>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</si>
  <si>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</si>
  <si>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</si>
  <si>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</si>
  <si>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</si>
  <si>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</si>
  <si>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</si>
  <si>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</si>
  <si>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</si>
  <si>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</si>
  <si>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</si>
  <si>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</si>
  <si>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</si>
  <si>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</si>
  <si>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</si>
  <si>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</si>
  <si>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</si>
  <si>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</si>
  <si>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</si>
  <si>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</si>
  <si>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</si>
  <si>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</si>
  <si>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</si>
  <si>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</si>
  <si>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</si>
  <si>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</si>
  <si>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</si>
  <si>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</si>
  <si>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</si>
  <si>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</si>
  <si>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</si>
  <si>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</si>
  <si>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</si>
  <si>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</si>
  <si>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</si>
  <si>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</si>
  <si>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</si>
  <si>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</si>
  <si>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</si>
  <si>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</si>
  <si>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</si>
  <si>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</si>
  <si>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</si>
  <si>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</si>
  <si>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</si>
  <si>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</si>
  <si>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</si>
  <si>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</si>
  <si>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</si>
  <si>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</si>
  <si>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</si>
  <si>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</si>
  <si>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</si>
  <si>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</si>
  <si>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</si>
  <si>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</si>
  <si>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</si>
  <si>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</si>
  <si>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</si>
  <si>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</si>
  <si>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</si>
  <si>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</si>
  <si>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</si>
  <si>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</si>
  <si>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</si>
  <si>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</si>
  <si>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</si>
  <si>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</si>
  <si>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</si>
  <si>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</si>
  <si>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</si>
  <si>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</si>
  <si>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</si>
  <si>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</si>
  <si>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</si>
  <si>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</si>
  <si>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</si>
  <si>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</si>
  <si>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</si>
  <si>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</si>
  <si>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</si>
  <si>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</si>
  <si>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</si>
  <si>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</si>
  <si>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</si>
  <si>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</si>
  <si>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</si>
  <si>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</si>
  <si>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</si>
  <si>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</si>
  <si>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</si>
  <si>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</si>
  <si>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</si>
  <si>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</si>
  <si>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</si>
  <si>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</si>
  <si>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</si>
  <si>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</si>
  <si>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</si>
  <si>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</si>
  <si>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</si>
  <si>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</si>
  <si>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</si>
  <si>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</si>
  <si>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</si>
  <si>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</si>
  <si>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</si>
  <si>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</si>
  <si>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</si>
  <si>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</si>
  <si>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</si>
  <si>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</si>
  <si>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</si>
  <si>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</si>
  <si>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</si>
  <si>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</si>
  <si>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</si>
  <si>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</si>
  <si>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</si>
  <si>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</si>
  <si>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</si>
  <si>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</si>
  <si>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</si>
  <si>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</si>
  <si>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</si>
  <si>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</si>
  <si>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</si>
  <si>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</si>
  <si>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</si>
  <si>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</si>
  <si>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</si>
  <si>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</si>
  <si>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</si>
  <si>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</si>
  <si>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</si>
  <si>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</si>
  <si>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</si>
  <si>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</si>
  <si>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</si>
  <si>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</si>
  <si>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</si>
  <si>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</si>
  <si>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</si>
  <si>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</si>
  <si>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</si>
  <si>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</si>
  <si>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</si>
  <si>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</si>
  <si>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</si>
  <si>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</si>
  <si>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</si>
  <si>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</si>
  <si>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</si>
  <si>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</si>
  <si>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</si>
  <si>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</si>
  <si>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</si>
  <si>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</si>
  <si>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</si>
  <si>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</si>
  <si>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</si>
  <si>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</si>
  <si>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</si>
  <si>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</si>
  <si>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</si>
  <si>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</si>
  <si>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</si>
  <si>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</si>
  <si>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</si>
  <si>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</si>
  <si>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</si>
  <si>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</si>
  <si>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</si>
  <si>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</si>
  <si>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</si>
  <si>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</si>
  <si>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</si>
  <si>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</si>
  <si>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</si>
  <si>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</si>
  <si>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</si>
  <si>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</si>
  <si>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</si>
  <si>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</si>
  <si>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</si>
  <si>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</si>
  <si>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</si>
  <si>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</si>
  <si>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</si>
  <si>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</si>
  <si>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</si>
  <si>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</si>
  <si>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</si>
  <si>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</si>
  <si>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</si>
  <si>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</si>
  <si>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</si>
  <si>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</si>
  <si>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</si>
  <si>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</si>
  <si>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</si>
  <si>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</si>
  <si>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</si>
  <si>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</si>
  <si>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</si>
  <si>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</si>
  <si>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</si>
  <si>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</si>
  <si>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</si>
  <si>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</si>
  <si>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</si>
  <si>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</si>
  <si>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</si>
  <si>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</si>
  <si>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</si>
  <si>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</si>
  <si>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</si>
  <si>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</si>
  <si>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</si>
  <si>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</si>
  <si>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</si>
  <si>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</si>
  <si>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</si>
  <si>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</si>
  <si>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</si>
  <si>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</si>
  <si>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</si>
  <si>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</si>
  <si>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</si>
  <si>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</si>
  <si>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</si>
  <si>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</si>
  <si>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</si>
  <si>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</si>
  <si>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</si>
  <si>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</si>
  <si>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</si>
  <si>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</si>
  <si>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</si>
  <si>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</si>
  <si>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</si>
  <si>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</si>
  <si>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</si>
  <si>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</si>
  <si>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</si>
  <si>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</si>
  <si>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</si>
  <si>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</si>
  <si>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</si>
  <si>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</si>
  <si>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</si>
  <si>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</si>
  <si>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</si>
  <si>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</si>
  <si>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</si>
  <si>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</si>
  <si>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</si>
  <si>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</si>
  <si>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</si>
  <si>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</si>
  <si>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</si>
  <si>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</si>
  <si>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</si>
  <si>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</si>
  <si>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</si>
  <si>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</si>
  <si>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</si>
  <si>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</si>
  <si>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</si>
  <si>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</si>
  <si>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</si>
  <si>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</si>
  <si>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</si>
  <si>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</si>
  <si>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</si>
  <si>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</si>
  <si>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</si>
  <si>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</si>
  <si>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</si>
  <si>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</si>
  <si>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</si>
  <si>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</si>
  <si>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</si>
  <si>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</si>
  <si>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</si>
  <si>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</si>
  <si>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</si>
  <si>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</si>
  <si>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</si>
  <si>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</si>
  <si>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</si>
  <si>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</si>
  <si>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</si>
  <si>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</si>
  <si>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</si>
  <si>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</si>
  <si>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</si>
  <si>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</si>
  <si>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</si>
  <si>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</si>
  <si>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</si>
  <si>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</si>
  <si>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</si>
  <si>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</si>
  <si>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</si>
  <si>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</si>
  <si>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</si>
  <si>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</si>
  <si>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</si>
  <si>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</si>
  <si>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</si>
  <si>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</si>
  <si>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</si>
  <si>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</si>
  <si>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</si>
  <si>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</si>
  <si>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</si>
  <si>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</si>
  <si>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</si>
  <si>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</si>
  <si>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</si>
  <si>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</si>
  <si>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</si>
  <si>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</si>
  <si>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</si>
  <si>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</si>
  <si>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</si>
  <si>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</si>
  <si>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</si>
  <si>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</si>
  <si>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</si>
  <si>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</si>
  <si>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</si>
  <si>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</si>
  <si>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</si>
  <si>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</si>
  <si>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</si>
  <si>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</si>
  <si>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</si>
  <si>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</si>
  <si>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</si>
  <si>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</si>
  <si>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</si>
  <si>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</si>
  <si>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</si>
  <si>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</si>
  <si>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</si>
  <si>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</si>
  <si>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</si>
  <si>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</si>
  <si>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</si>
  <si>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</si>
  <si>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</si>
  <si>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</si>
  <si>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</si>
  <si>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</si>
  <si>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</si>
  <si>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</si>
  <si>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</si>
  <si>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</si>
  <si>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</si>
  <si>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</si>
  <si>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</si>
  <si>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</si>
  <si>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</si>
  <si>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</si>
  <si>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</si>
  <si>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</si>
  <si>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</si>
  <si>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</si>
  <si>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</si>
  <si>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</si>
  <si>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</si>
  <si>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</si>
  <si>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</si>
  <si>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</si>
  <si>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</si>
  <si>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</si>
  <si>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</si>
  <si>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</si>
  <si>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</si>
  <si>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</si>
  <si>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</si>
  <si>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</si>
  <si>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</si>
  <si>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</si>
  <si>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</si>
  <si>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</si>
  <si>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</si>
  <si>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</si>
  <si>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</si>
  <si>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</si>
  <si>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</si>
  <si>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</si>
  <si>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</si>
  <si>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</si>
  <si>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</si>
  <si>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</si>
  <si>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</si>
  <si>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</si>
  <si>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</si>
  <si>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</si>
  <si>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</si>
  <si>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</si>
  <si>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</si>
  <si>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</si>
  <si>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</si>
  <si>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</si>
  <si>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</si>
  <si>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</si>
  <si>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</si>
  <si>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</si>
  <si>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</si>
  <si>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</si>
  <si>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</si>
  <si>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</si>
  <si>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</si>
  <si>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</si>
  <si>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</si>
  <si>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</si>
  <si>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</si>
  <si>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</si>
  <si>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</si>
  <si>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</si>
  <si>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</si>
  <si>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</si>
  <si>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</si>
  <si>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</si>
  <si>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</si>
  <si>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</si>
  <si>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</si>
  <si>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</si>
  <si>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</si>
  <si>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</si>
  <si>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</si>
  <si>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</si>
  <si>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</si>
  <si>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</si>
  <si>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</si>
  <si>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</si>
  <si>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</si>
  <si>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</si>
  <si>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</si>
  <si>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</si>
  <si>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</si>
  <si>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</si>
  <si>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</si>
  <si>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</si>
  <si>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</si>
  <si>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</si>
  <si>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</si>
  <si>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</si>
  <si>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</si>
  <si>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</si>
  <si>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</si>
  <si>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</si>
  <si>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</si>
  <si>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</si>
  <si>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</si>
  <si>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</si>
  <si>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</si>
  <si>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</si>
  <si>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</si>
  <si>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</si>
  <si>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</si>
  <si>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</si>
  <si>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</si>
  <si>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</si>
  <si>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</si>
  <si>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</si>
  <si>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</si>
  <si>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</si>
  <si>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</si>
  <si>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</si>
  <si>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</si>
  <si>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</si>
  <si>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</si>
  <si>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</si>
  <si>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</si>
  <si>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</si>
  <si>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</si>
  <si>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</si>
  <si>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</si>
  <si>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</si>
  <si>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</si>
  <si>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</si>
  <si>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</si>
  <si>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</si>
  <si>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</si>
  <si>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</si>
  <si>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</si>
  <si>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</si>
  <si>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</si>
  <si>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</si>
  <si>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</si>
  <si>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</si>
  <si>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</si>
  <si>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</si>
  <si>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</si>
  <si>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</si>
  <si>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</si>
  <si>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</si>
  <si>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</si>
  <si>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</si>
  <si>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</si>
  <si>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</si>
  <si>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</si>
  <si>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</si>
  <si>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</si>
  <si>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</si>
  <si>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</si>
  <si>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</si>
  <si>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</si>
  <si>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</si>
  <si>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</si>
  <si>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</si>
  <si>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</si>
  <si>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</si>
  <si>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</si>
  <si>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</si>
  <si>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</si>
  <si>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</si>
  <si>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</si>
  <si>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</si>
  <si>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</si>
  <si>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</si>
  <si>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</si>
  <si>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</si>
  <si>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</si>
  <si>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</si>
  <si>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</si>
  <si>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</si>
  <si>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</si>
  <si>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</si>
  <si>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</si>
  <si>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</si>
  <si>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</si>
  <si>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</si>
  <si>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</si>
  <si>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</si>
  <si>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</si>
  <si>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</si>
  <si>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</si>
  <si>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</si>
  <si>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</si>
  <si>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</si>
  <si>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</si>
  <si>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</si>
  <si>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</si>
  <si>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</si>
  <si>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</si>
  <si>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</si>
  <si>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</si>
  <si>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</si>
  <si>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</si>
  <si>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</si>
  <si>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</si>
  <si>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</si>
  <si>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</si>
  <si>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</si>
  <si>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</si>
  <si>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</si>
  <si>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</si>
  <si>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</si>
  <si>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</si>
  <si>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</si>
  <si>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</si>
  <si>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</si>
  <si>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</si>
  <si>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</si>
  <si>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</si>
  <si>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</si>
  <si>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</si>
  <si>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</si>
  <si>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</si>
  <si>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</si>
  <si>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</si>
  <si>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</si>
  <si>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</si>
  <si>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</si>
  <si>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</si>
  <si>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</si>
  <si>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</si>
  <si>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</si>
  <si>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</si>
  <si>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</si>
  <si>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</si>
  <si>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</si>
  <si>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</si>
  <si>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</si>
  <si>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</si>
  <si>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</si>
  <si>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</si>
  <si>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</si>
  <si>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</si>
  <si>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</si>
  <si>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</si>
  <si>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</si>
  <si>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</si>
  <si>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</si>
  <si>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</si>
  <si>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</si>
  <si>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</si>
  <si>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</si>
  <si>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</si>
  <si>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</si>
  <si>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</si>
  <si>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</si>
  <si>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</si>
  <si>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</si>
  <si>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</si>
  <si>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</si>
  <si>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</si>
  <si>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</si>
  <si>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</si>
  <si>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</si>
  <si>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</si>
  <si>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</si>
  <si>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</si>
  <si>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</si>
  <si>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</si>
  <si>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</si>
  <si>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</si>
  <si>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</si>
  <si>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</si>
  <si>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</si>
  <si>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</si>
  <si>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</si>
  <si>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</si>
  <si>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</si>
  <si>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</si>
  <si>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</si>
  <si>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</si>
  <si>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</si>
  <si>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</si>
  <si>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</si>
  <si>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</si>
  <si>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</si>
  <si>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</si>
  <si>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</si>
  <si>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</si>
  <si>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</si>
  <si>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</si>
  <si>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</si>
  <si>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</si>
  <si>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</si>
  <si>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</si>
  <si>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</si>
  <si>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</si>
  <si>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</si>
  <si>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</si>
  <si>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</si>
  <si>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</si>
  <si>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</si>
  <si>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</si>
  <si>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</si>
  <si>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</si>
  <si>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</si>
  <si>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</si>
  <si>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</si>
  <si>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</si>
  <si>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</si>
  <si>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</si>
  <si>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</si>
  <si>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</si>
  <si>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</si>
  <si>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</si>
  <si>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</si>
  <si>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</si>
  <si>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</si>
  <si>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</si>
  <si>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</si>
  <si>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</si>
  <si>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</si>
  <si>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</si>
  <si>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</si>
  <si>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</si>
  <si>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</si>
  <si>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</si>
  <si>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</si>
  <si>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</si>
  <si>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</si>
  <si>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</si>
  <si>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</si>
  <si>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</si>
  <si>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</si>
  <si>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</si>
  <si>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</si>
  <si>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</si>
  <si>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</si>
  <si>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</si>
  <si>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</si>
  <si>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</si>
  <si>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</si>
  <si>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</si>
  <si>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</si>
  <si>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</si>
  <si>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</si>
  <si>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</si>
  <si>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</si>
  <si>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</si>
  <si>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</si>
  <si>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</si>
  <si>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</si>
  <si>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</si>
  <si>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</si>
  <si>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</si>
  <si>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</si>
  <si>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</si>
  <si>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</si>
  <si>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</si>
  <si>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</si>
  <si>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</si>
  <si>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</si>
  <si>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</si>
  <si>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</si>
  <si>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</si>
  <si>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</si>
  <si>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</si>
  <si>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</si>
  <si>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</si>
  <si>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</si>
  <si>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</si>
  <si>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</si>
  <si>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</si>
  <si>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</si>
  <si>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</si>
  <si>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</si>
  <si>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</si>
  <si>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</si>
  <si>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</si>
  <si>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</si>
  <si>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</si>
  <si>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</si>
  <si>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</si>
  <si>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</si>
  <si>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</si>
  <si>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</si>
  <si>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</si>
  <si>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</si>
  <si>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</si>
  <si>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</si>
  <si>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</si>
  <si>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</si>
  <si>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</si>
  <si>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</si>
  <si>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</si>
  <si>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</si>
  <si>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</si>
  <si>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</si>
  <si>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</si>
  <si>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</si>
  <si>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</si>
  <si>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</si>
  <si>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</si>
  <si>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</si>
  <si>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</si>
  <si>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</si>
  <si>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</si>
  <si>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</si>
  <si>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</si>
  <si>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</si>
  <si>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</si>
  <si>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</si>
  <si>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</si>
  <si>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</si>
  <si>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</si>
  <si>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</si>
  <si>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</si>
  <si>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</si>
  <si>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</si>
  <si>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</si>
  <si>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</si>
  <si>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</si>
  <si>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</si>
  <si>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</si>
  <si>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</si>
  <si>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</si>
  <si>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</si>
  <si>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</si>
  <si>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</si>
  <si>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</si>
  <si>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</si>
  <si>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</si>
  <si>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</si>
  <si>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</si>
  <si>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</si>
  <si>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</si>
  <si>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</si>
  <si>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</si>
  <si>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</si>
  <si>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</si>
  <si>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</si>
  <si>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</si>
  <si>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</si>
  <si>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</si>
  <si>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</si>
  <si>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</si>
  <si>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</si>
  <si>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</si>
  <si>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</si>
  <si>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</si>
  <si>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</si>
  <si>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</si>
  <si>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</si>
  <si>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</si>
  <si>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</si>
  <si>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</si>
  <si>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</si>
  <si>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</si>
  <si>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</si>
  <si>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</si>
  <si>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</si>
  <si>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</si>
  <si>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</si>
  <si>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</si>
  <si>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</si>
  <si>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</si>
  <si>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</si>
  <si>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</si>
  <si>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</si>
  <si>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</si>
  <si>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</si>
  <si>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</si>
  <si>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</si>
  <si>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</si>
  <si>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</si>
  <si>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</si>
  <si>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</si>
  <si>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</si>
  <si>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</si>
  <si>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</si>
  <si>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</si>
  <si>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</si>
  <si>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</si>
  <si>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</si>
  <si>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</si>
  <si>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</si>
  <si>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</si>
  <si>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</si>
  <si>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</si>
  <si>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</si>
  <si>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</si>
  <si>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</si>
  <si>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</si>
  <si>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</si>
  <si>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</si>
  <si>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</si>
  <si>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</si>
  <si>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</si>
  <si>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</si>
  <si>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</si>
  <si>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</si>
  <si>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</si>
  <si>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</si>
  <si>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</si>
  <si>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</si>
  <si>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</si>
  <si>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</si>
  <si>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</si>
  <si>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</si>
  <si>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</si>
  <si>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</si>
  <si>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</si>
  <si>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</si>
  <si>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</si>
  <si>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</si>
  <si>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</si>
  <si>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</si>
  <si>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</si>
  <si>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</si>
  <si>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</si>
  <si>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</si>
  <si>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</si>
  <si>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</si>
  <si>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</si>
  <si>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</si>
  <si>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</si>
  <si>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</si>
  <si>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</si>
  <si>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</si>
  <si>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</si>
  <si>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</si>
  <si>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</si>
  <si>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</si>
  <si>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</si>
  <si>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</si>
  <si>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</si>
  <si>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</si>
  <si>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</si>
  <si>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</si>
  <si>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</si>
  <si>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</si>
  <si>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</si>
  <si>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</si>
  <si>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</si>
  <si>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</si>
  <si>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</si>
  <si>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</si>
  <si>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</si>
  <si>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</si>
  <si>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</si>
  <si>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</si>
  <si>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</si>
  <si>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</si>
  <si>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</si>
  <si>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</si>
  <si>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</si>
  <si>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</si>
  <si>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</si>
  <si>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</si>
  <si>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</si>
  <si>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</si>
  <si>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</si>
  <si>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</si>
  <si>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</si>
  <si>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</si>
  <si>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</si>
  <si>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</si>
  <si>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</si>
  <si>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</si>
  <si>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</si>
  <si>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</si>
  <si>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</si>
  <si>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</si>
  <si>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</si>
  <si>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</si>
  <si>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</si>
  <si>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</si>
  <si>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</si>
  <si>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</si>
  <si>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</si>
  <si>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</si>
  <si>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</si>
  <si>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</si>
  <si>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</si>
  <si>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</si>
  <si>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</si>
  <si>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</si>
  <si>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</si>
  <si>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</si>
  <si>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</si>
  <si>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</si>
  <si>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</si>
  <si>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</si>
  <si>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</si>
  <si>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</si>
  <si>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</si>
  <si>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</si>
  <si>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</si>
  <si>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</si>
  <si>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</si>
  <si>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</si>
  <si>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</si>
  <si>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</si>
  <si>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</si>
  <si>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</si>
  <si>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</si>
  <si>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</si>
  <si>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</si>
  <si>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</si>
  <si>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</si>
  <si>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</si>
  <si>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</si>
  <si>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</si>
  <si>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</si>
  <si>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</si>
  <si>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</si>
  <si>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</si>
  <si>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</si>
  <si>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</si>
  <si>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</si>
  <si>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</si>
  <si>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</si>
  <si>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</si>
  <si>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</si>
  <si>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</si>
  <si>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</si>
  <si>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</si>
  <si>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</si>
  <si>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</si>
  <si>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</si>
  <si>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</si>
  <si>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</si>
  <si>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</si>
  <si>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</si>
  <si>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</si>
  <si>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</si>
  <si>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</si>
  <si>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</si>
  <si>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</si>
  <si>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</si>
  <si>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</si>
  <si>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</si>
  <si>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</si>
  <si>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</si>
  <si>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</si>
  <si>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</si>
  <si>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</si>
  <si>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</si>
  <si>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</si>
  <si>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</si>
  <si>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</si>
  <si>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</si>
  <si>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</si>
  <si>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</si>
  <si>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</si>
  <si>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</si>
  <si>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</si>
  <si>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</si>
  <si>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</si>
  <si>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</si>
  <si>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</si>
  <si>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</si>
  <si>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</si>
  <si>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</si>
  <si>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</si>
  <si>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</si>
  <si>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</si>
  <si>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</si>
  <si>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</si>
  <si>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</si>
  <si>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</si>
  <si>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</si>
  <si>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</si>
  <si>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</si>
  <si>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</si>
  <si>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</si>
  <si>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</si>
  <si>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</si>
  <si>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</si>
  <si>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</si>
  <si>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</si>
  <si>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</si>
  <si>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</si>
  <si>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</si>
  <si>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</si>
  <si>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</si>
  <si>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</si>
  <si>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</si>
  <si>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</si>
  <si>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</si>
  <si>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</si>
  <si>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</si>
  <si>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</si>
  <si>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</si>
  <si>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</si>
  <si>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</si>
  <si>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</si>
  <si>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</si>
  <si>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</si>
  <si>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</si>
  <si>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</si>
  <si>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</si>
  <si>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</si>
  <si>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</si>
  <si>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</si>
  <si>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</si>
  <si>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</si>
  <si>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</si>
  <si>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</si>
  <si>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</si>
  <si>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</si>
  <si>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</si>
  <si>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</si>
  <si>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</si>
  <si>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</si>
  <si>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</si>
  <si>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</si>
  <si>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</si>
  <si>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</si>
  <si>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</si>
  <si>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</si>
  <si>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</si>
  <si>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</si>
  <si>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</si>
  <si>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</si>
  <si>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</si>
  <si>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</si>
  <si>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</si>
  <si>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</si>
  <si>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</si>
  <si>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</si>
  <si>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</si>
  <si>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</si>
  <si>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</si>
  <si>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</si>
  <si>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</si>
  <si>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</si>
  <si>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</si>
  <si>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</si>
  <si>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</si>
  <si>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</si>
  <si>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</si>
  <si>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</si>
  <si>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</si>
  <si>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</si>
  <si>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</si>
  <si>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</si>
  <si>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</si>
  <si>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</si>
  <si>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</si>
  <si>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</si>
  <si>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</si>
  <si>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</si>
  <si>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</si>
  <si>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</si>
  <si>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</si>
  <si>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</si>
  <si>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</si>
  <si>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</si>
  <si>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</si>
  <si>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</si>
  <si>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</si>
  <si>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</si>
  <si>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</si>
  <si>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</si>
  <si>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</si>
  <si>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</si>
  <si>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</si>
  <si>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</si>
  <si>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</si>
  <si>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</si>
  <si>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</si>
  <si>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</si>
  <si>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</si>
  <si>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</si>
  <si>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</si>
  <si>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</si>
  <si>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</si>
  <si>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</si>
  <si>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</si>
  <si>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</si>
  <si>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</si>
  <si>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</si>
  <si>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</si>
  <si>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</si>
  <si>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</si>
  <si>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</si>
  <si>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</si>
  <si>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</si>
  <si>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</si>
  <si>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</si>
  <si>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</si>
  <si>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</si>
  <si>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</si>
  <si>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</si>
  <si>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</si>
  <si>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</si>
  <si>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</si>
  <si>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</si>
  <si>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</si>
  <si>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</si>
  <si>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</si>
  <si>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</si>
  <si>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</si>
  <si>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</si>
  <si>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</si>
  <si>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</si>
  <si>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</si>
  <si>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</si>
  <si>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</si>
  <si>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</si>
  <si>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</si>
  <si>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</si>
  <si>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</si>
  <si>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</si>
  <si>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</si>
  <si>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</si>
  <si>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</si>
  <si>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</si>
  <si>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</si>
  <si>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</si>
  <si>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</si>
  <si>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</si>
  <si>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</si>
  <si>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</si>
  <si>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</si>
  <si>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</si>
  <si>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</si>
  <si>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</si>
  <si>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</si>
  <si>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</si>
  <si>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</si>
  <si>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</si>
  <si>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</si>
  <si>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</si>
  <si>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</si>
  <si>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</si>
  <si>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</si>
  <si>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</si>
  <si>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</si>
  <si>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</si>
  <si>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</si>
  <si>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</si>
  <si>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</si>
  <si>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</si>
  <si>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</si>
  <si>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</si>
  <si>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</si>
  <si>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</si>
  <si>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</si>
  <si>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</si>
  <si>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</si>
  <si>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</si>
  <si>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</si>
  <si>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</si>
  <si>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</si>
  <si>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</si>
  <si>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</si>
  <si>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</si>
  <si>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</si>
  <si>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</si>
  <si>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</si>
  <si>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</si>
  <si>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</si>
  <si>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</si>
  <si>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</si>
  <si>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</si>
  <si>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</si>
  <si>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</si>
  <si>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</si>
  <si>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</si>
  <si>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</si>
  <si>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</si>
  <si>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</si>
  <si>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</si>
  <si>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</si>
  <si>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</si>
  <si>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</si>
  <si>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</si>
  <si>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</si>
  <si>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</si>
  <si>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</si>
  <si>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</si>
  <si>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</si>
  <si>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</si>
  <si>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</si>
  <si>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</si>
  <si>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</si>
  <si>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</si>
  <si>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</si>
  <si>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</si>
  <si>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</si>
  <si>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</si>
  <si>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</si>
  <si>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</si>
  <si>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</si>
  <si>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</si>
  <si>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</si>
  <si>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</si>
  <si>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</si>
  <si>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</si>
  <si>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</si>
  <si>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</si>
  <si>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</si>
  <si>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</si>
  <si>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</si>
  <si>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</si>
  <si>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</si>
  <si>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</si>
  <si>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</si>
  <si>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</si>
  <si>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</si>
  <si>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</si>
  <si>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</si>
  <si>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</si>
  <si>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</si>
  <si>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</si>
  <si>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</si>
  <si>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</si>
  <si>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</si>
  <si>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</si>
  <si>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</si>
  <si>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</si>
  <si>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</si>
  <si>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</si>
  <si>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</si>
  <si>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</si>
  <si>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</si>
  <si>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</si>
  <si>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</si>
  <si>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</si>
  <si>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</si>
  <si>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</si>
  <si>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</si>
  <si>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</si>
  <si>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</si>
  <si>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</si>
  <si>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</si>
  <si>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</si>
  <si>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</si>
  <si>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</si>
  <si>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</si>
  <si>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</si>
  <si>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</si>
  <si>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</si>
  <si>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</si>
  <si>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</si>
  <si>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</si>
  <si>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</si>
  <si>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</si>
  <si>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</si>
  <si>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</si>
  <si>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</si>
  <si>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</si>
  <si>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</si>
  <si>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</si>
  <si>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</si>
  <si>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</si>
  <si>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</si>
  <si>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</si>
  <si>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</si>
  <si>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</si>
  <si>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</si>
  <si>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</si>
  <si>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</si>
  <si>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</si>
  <si>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</si>
  <si>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</si>
  <si>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</si>
  <si>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</si>
  <si>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</si>
  <si>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</si>
  <si>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</si>
  <si>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</si>
  <si>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</si>
  <si>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</si>
  <si>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</si>
  <si>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</si>
  <si>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</si>
  <si>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</si>
  <si>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</si>
  <si>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</si>
  <si>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</si>
  <si>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</si>
  <si>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</si>
  <si>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</si>
  <si>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</si>
  <si>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</si>
  <si>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</si>
  <si>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</si>
  <si>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</si>
  <si>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</si>
  <si>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</si>
  <si>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</si>
  <si>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</si>
  <si>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</si>
  <si>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</si>
  <si>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</si>
  <si>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</si>
  <si>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</si>
  <si>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</si>
  <si>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</si>
  <si>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</si>
  <si>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</si>
  <si>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</si>
  <si>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</si>
  <si>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</si>
  <si>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</si>
  <si>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</si>
  <si>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</si>
  <si>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</si>
  <si>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</si>
  <si>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</si>
  <si>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</si>
  <si>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</si>
  <si>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</si>
  <si>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</si>
  <si>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</si>
  <si>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</si>
  <si>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</si>
  <si>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</si>
  <si>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</si>
  <si>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</si>
  <si>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</si>
  <si>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</si>
  <si>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</si>
  <si>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</si>
  <si>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</si>
  <si>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</si>
  <si>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</si>
  <si>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</si>
  <si>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</si>
  <si>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</si>
  <si>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</si>
  <si>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</si>
  <si>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</si>
  <si>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</si>
  <si>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</si>
  <si>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</si>
  <si>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</si>
  <si>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</si>
  <si>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</si>
  <si>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</si>
  <si>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</si>
  <si>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</si>
  <si>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</si>
  <si>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</si>
  <si>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</si>
  <si>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</si>
  <si>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</si>
  <si>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</si>
  <si>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</si>
  <si>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</si>
  <si>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</si>
  <si>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</si>
  <si>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</si>
  <si>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</si>
  <si>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</si>
  <si>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</si>
  <si>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</si>
  <si>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</si>
  <si>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</si>
  <si>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</si>
  <si>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</si>
  <si>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</si>
  <si>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</si>
  <si>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</si>
  <si>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</si>
  <si>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</si>
  <si>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</si>
  <si>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</si>
  <si>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</si>
  <si>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</si>
  <si>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</si>
  <si>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</si>
  <si>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</si>
  <si>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</si>
  <si>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</si>
  <si>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</si>
  <si>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</si>
  <si>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</si>
  <si>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</si>
  <si>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</si>
  <si>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</si>
  <si>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</si>
  <si>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</si>
  <si>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</si>
  <si>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</si>
  <si>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</si>
  <si>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</si>
  <si>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</si>
  <si>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</si>
  <si>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</si>
  <si>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</si>
  <si>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</si>
  <si>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</si>
  <si>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</si>
  <si>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</si>
  <si>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</si>
  <si>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</si>
  <si>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</si>
  <si>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</si>
  <si>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</si>
  <si>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</si>
  <si>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</si>
  <si>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</si>
  <si>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</si>
  <si>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</si>
  <si>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</si>
  <si>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</si>
  <si>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</si>
  <si>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</si>
  <si>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</si>
  <si>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</si>
  <si>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</si>
  <si>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</si>
  <si>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</si>
  <si>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</si>
  <si>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</si>
  <si>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</si>
  <si>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</si>
  <si>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</si>
  <si>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</si>
  <si>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</si>
  <si>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</si>
  <si>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</si>
  <si>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</si>
  <si>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</si>
  <si>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</si>
  <si>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</si>
  <si>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</si>
  <si>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</si>
  <si>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</si>
  <si>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</si>
  <si>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</si>
  <si>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</si>
  <si>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</si>
  <si>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</si>
  <si>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</si>
  <si>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</si>
  <si>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</si>
  <si>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</si>
  <si>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</si>
  <si>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</si>
  <si>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</si>
  <si>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</si>
  <si>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</si>
  <si>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</si>
  <si>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</si>
  <si>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</si>
  <si>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</si>
  <si>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</si>
  <si>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</si>
  <si>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</si>
  <si>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</si>
  <si>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</si>
  <si>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</si>
  <si>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</si>
  <si>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</si>
  <si>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</si>
  <si>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</si>
  <si>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</si>
  <si>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</si>
  <si>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</si>
  <si>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</si>
  <si>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</si>
  <si>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</si>
  <si>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</si>
  <si>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</si>
  <si>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</si>
  <si>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</si>
  <si>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</si>
  <si>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</si>
  <si>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</si>
  <si>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</si>
  <si>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</si>
  <si>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</si>
  <si>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</si>
  <si>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</si>
  <si>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</si>
  <si>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</si>
  <si>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</si>
  <si>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</si>
  <si>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</si>
  <si>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</si>
  <si>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</si>
  <si>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</si>
  <si>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</si>
  <si>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</si>
  <si>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</si>
  <si>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</si>
  <si>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</si>
  <si>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</si>
  <si>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</si>
  <si>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</si>
  <si>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</si>
  <si>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</si>
  <si>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</si>
  <si>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</si>
  <si>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</si>
  <si>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</si>
  <si>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</si>
  <si>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</si>
  <si>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</si>
  <si>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</si>
  <si>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</si>
  <si>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</si>
  <si>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</si>
  <si>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</si>
  <si>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</si>
  <si>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</si>
  <si>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</si>
  <si>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</si>
  <si>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</si>
  <si>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</si>
  <si>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</si>
  <si>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</si>
  <si>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</si>
  <si>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</si>
  <si>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</si>
  <si>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</si>
  <si>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</si>
  <si>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</si>
  <si>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</si>
  <si>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</si>
  <si>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</si>
  <si>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</si>
  <si>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</si>
  <si>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</si>
  <si>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</si>
  <si>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</si>
  <si>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</si>
  <si>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</si>
  <si>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</si>
  <si>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</si>
  <si>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</si>
  <si>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</si>
  <si>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</si>
  <si>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</si>
  <si>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</si>
  <si>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</si>
  <si>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</si>
  <si>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</si>
  <si>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</si>
  <si>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</si>
  <si>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</si>
  <si>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</si>
  <si>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</si>
  <si>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</si>
  <si>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</si>
  <si>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</si>
  <si>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</si>
  <si>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</si>
  <si>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</si>
  <si>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</si>
  <si>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</si>
  <si>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</si>
  <si>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</si>
  <si>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</si>
  <si>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</si>
  <si>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</si>
  <si>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</si>
  <si>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</si>
  <si>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</si>
  <si>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</si>
  <si>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</si>
  <si>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</si>
  <si>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</si>
  <si>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</si>
  <si>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</si>
  <si>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</si>
  <si>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</si>
  <si>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</si>
  <si>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</si>
  <si>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</si>
  <si>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</si>
  <si>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</si>
  <si>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</si>
  <si>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</si>
  <si>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</si>
  <si>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</si>
  <si>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</si>
  <si>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</si>
  <si>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</si>
  <si>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</si>
  <si>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</si>
  <si>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</si>
  <si>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</si>
  <si>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</si>
  <si>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</si>
  <si>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</si>
  <si>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</si>
  <si>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</si>
  <si>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</si>
  <si>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</si>
  <si>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</si>
  <si>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</si>
  <si>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</si>
  <si>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</si>
  <si>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</si>
  <si>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</si>
  <si>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</si>
  <si>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</si>
  <si>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</si>
  <si>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</si>
  <si>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</si>
  <si>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</si>
  <si>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</si>
  <si>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</si>
  <si>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</si>
  <si>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</si>
  <si>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</si>
  <si>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</si>
  <si>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</si>
  <si>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</si>
  <si>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</si>
  <si>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</si>
  <si>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</si>
  <si>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</si>
  <si>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</si>
  <si>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</si>
  <si>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</si>
  <si>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</si>
  <si>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</si>
  <si>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</si>
  <si>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</si>
  <si>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</si>
  <si>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</si>
  <si>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</si>
  <si>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</si>
  <si>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</si>
  <si>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</si>
  <si>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</si>
  <si>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</si>
  <si>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</si>
  <si>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</si>
  <si>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</si>
  <si>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</si>
  <si>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</si>
  <si>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</si>
  <si>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</si>
  <si>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</si>
  <si>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</si>
  <si>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</si>
  <si>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</si>
  <si>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</si>
  <si>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</si>
  <si>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</si>
  <si>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</si>
  <si>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</si>
  <si>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</si>
  <si>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</si>
  <si>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</si>
  <si>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</si>
  <si>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</si>
  <si>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</si>
  <si>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</si>
  <si>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</si>
  <si>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</si>
  <si>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</si>
  <si>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</si>
  <si>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</si>
  <si>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</si>
  <si>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</si>
  <si>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</si>
  <si>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</si>
  <si>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</si>
  <si>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</si>
  <si>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</si>
  <si>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</si>
  <si>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</si>
  <si>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</si>
  <si>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</si>
  <si>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</si>
  <si>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</si>
  <si>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</si>
  <si>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</si>
  <si>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</si>
  <si>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</si>
  <si>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</si>
  <si>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</si>
  <si>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</si>
  <si>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</si>
  <si>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</si>
  <si>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</si>
  <si>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</si>
  <si>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</si>
  <si>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</si>
  <si>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</si>
  <si>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</si>
  <si>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</si>
  <si>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</si>
  <si>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</si>
  <si>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</si>
  <si>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</si>
  <si>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</si>
  <si>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</si>
  <si>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</si>
  <si>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</si>
  <si>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</si>
  <si>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</si>
  <si>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</si>
  <si>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</si>
  <si>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</si>
  <si>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</si>
  <si>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</si>
  <si>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</si>
  <si>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</si>
  <si>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</si>
  <si>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</si>
  <si>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</si>
  <si>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</si>
  <si>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</si>
  <si>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</si>
  <si>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</si>
  <si>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</si>
  <si>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</si>
  <si>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</si>
  <si>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</si>
  <si>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</si>
  <si>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</si>
  <si>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</si>
  <si>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</si>
  <si>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</si>
  <si>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</si>
  <si>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</si>
  <si>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</si>
  <si>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</si>
  <si>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</si>
  <si>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</si>
  <si>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</si>
  <si>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</si>
  <si>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</si>
  <si>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</si>
  <si>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</si>
  <si>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</si>
  <si>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</si>
  <si>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</si>
  <si>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</si>
  <si>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</si>
  <si>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</si>
  <si>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</si>
  <si>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</si>
  <si>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</si>
  <si>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</si>
  <si>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</si>
  <si>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</si>
  <si>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</si>
  <si>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</si>
  <si>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</si>
  <si>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</si>
  <si>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</si>
  <si>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</si>
  <si>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</si>
  <si>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</si>
  <si>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</si>
  <si>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</si>
  <si>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</si>
  <si>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</si>
  <si>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</si>
  <si>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</si>
  <si>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</si>
  <si>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</si>
  <si>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</si>
  <si>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</si>
  <si>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</si>
  <si>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</si>
  <si>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</si>
  <si>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</si>
  <si>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</si>
  <si>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</si>
  <si>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</si>
  <si>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</si>
  <si>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</si>
  <si>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</si>
  <si>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</si>
  <si>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</si>
  <si>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</si>
  <si>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</si>
  <si>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</si>
  <si>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</si>
  <si>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</si>
  <si>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</si>
  <si>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</si>
  <si>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</si>
  <si>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</si>
  <si>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</si>
  <si>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</si>
  <si>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</si>
  <si>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</si>
  <si>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</si>
  <si>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</si>
  <si>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</si>
  <si>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</si>
  <si>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</si>
  <si>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</si>
  <si>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</si>
  <si>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</si>
  <si>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</si>
  <si>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</si>
  <si>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</si>
  <si>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</si>
  <si>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</si>
  <si>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</si>
  <si>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</si>
  <si>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</si>
  <si>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</si>
  <si>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</si>
  <si>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</si>
  <si>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</si>
  <si>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</si>
  <si>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</si>
  <si>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</si>
  <si>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</si>
  <si>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</si>
  <si>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</si>
  <si>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</si>
  <si>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</si>
  <si>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</si>
  <si>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</si>
  <si>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</si>
  <si>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</si>
  <si>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</si>
  <si>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</si>
  <si>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</si>
  <si>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</si>
  <si>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</si>
  <si>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</si>
  <si>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</si>
  <si>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</si>
  <si>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</si>
  <si>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</si>
  <si>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</si>
  <si>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</si>
  <si>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</si>
  <si>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</si>
  <si>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</si>
  <si>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</si>
  <si>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</si>
  <si>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</si>
  <si>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</si>
  <si>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</si>
  <si>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</si>
  <si>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</si>
  <si>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</si>
  <si>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</si>
  <si>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</si>
  <si>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</si>
  <si>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</si>
  <si>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</si>
  <si>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</si>
  <si>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</si>
  <si>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</si>
  <si>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</si>
  <si>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</si>
  <si>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</si>
  <si>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</si>
  <si>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</si>
  <si>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</si>
  <si>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</si>
  <si>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</si>
  <si>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</si>
  <si>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</si>
  <si>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</si>
  <si>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</si>
  <si>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</si>
  <si>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</si>
  <si>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</si>
  <si>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</si>
  <si>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</si>
  <si>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</si>
  <si>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</si>
  <si>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</si>
  <si>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</si>
  <si>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</si>
  <si>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</si>
  <si>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</si>
  <si>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</si>
  <si>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</si>
  <si>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</si>
  <si>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</si>
  <si>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</si>
  <si>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</si>
  <si>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</si>
  <si>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</si>
  <si>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</si>
  <si>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</si>
  <si>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</si>
  <si>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</si>
  <si>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</si>
  <si>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</si>
  <si>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</si>
  <si>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</si>
  <si>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</si>
  <si>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</si>
  <si>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</si>
  <si>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</si>
  <si>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</si>
  <si>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</si>
  <si>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</si>
  <si>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</si>
  <si>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</si>
  <si>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</si>
  <si>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</si>
  <si>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</si>
  <si>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</si>
  <si>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</si>
  <si>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</si>
  <si>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</si>
  <si>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</si>
  <si>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</si>
  <si>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</si>
  <si>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</si>
  <si>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</si>
  <si>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</si>
  <si>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</si>
  <si>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</si>
  <si>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</si>
  <si>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</si>
  <si>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</si>
  <si>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</si>
  <si>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</si>
  <si>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</si>
  <si>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</si>
  <si>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</si>
  <si>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</si>
  <si>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</si>
  <si>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</si>
  <si>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</si>
  <si>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</si>
  <si>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</si>
  <si>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</si>
  <si>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</si>
  <si>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</si>
  <si>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</si>
  <si>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</si>
  <si>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</si>
  <si>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</si>
  <si>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</si>
  <si>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</si>
  <si>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</si>
  <si>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</si>
  <si>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</si>
  <si>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</si>
  <si>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</si>
  <si>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</si>
  <si>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</si>
  <si>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</si>
  <si>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</si>
  <si>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</si>
  <si>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</si>
  <si>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</si>
  <si>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</si>
  <si>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</si>
  <si>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</si>
  <si>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</si>
  <si>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</si>
  <si>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</si>
  <si>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</si>
  <si>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</si>
  <si>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</si>
  <si>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</si>
  <si>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</si>
  <si>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</si>
  <si>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</si>
  <si>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</si>
  <si>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</si>
  <si>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</si>
  <si>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</si>
  <si>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</si>
  <si>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</si>
  <si>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</si>
  <si>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</si>
  <si>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</si>
  <si>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</si>
  <si>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</si>
  <si>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</si>
  <si>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</si>
  <si>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</si>
  <si>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</si>
  <si>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</si>
  <si>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</si>
  <si>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</si>
  <si>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</si>
  <si>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</si>
  <si>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</si>
  <si>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</si>
  <si>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Doe3</t>
  </si>
  <si>
    <t>John3</t>
  </si>
  <si>
    <t>John4</t>
  </si>
  <si>
    <t>Doe4</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</si>
  <si>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</si>
  <si>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</si>
  <si>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</si>
  <si>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</si>
  <si>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</si>
  <si>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</si>
  <si>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</si>
  <si>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</si>
  <si>
    <t>x94476556</t>
  </si>
  <si>
    <t>x28978975</t>
  </si>
  <si>
    <t>x8560321765</t>
  </si>
  <si>
    <t>x57658326225</t>
  </si>
  <si>
    <t>Student identification number</t>
  </si>
  <si>
    <t>Anna</t>
  </si>
  <si>
    <t>Makkara</t>
  </si>
  <si>
    <r>
      <t> </t>
    </r>
    <r>
      <rPr>
        <sz val="10"/>
        <color theme="1"/>
        <rFont val="Calibri"/>
        <family val="2"/>
        <scheme val="minor"/>
      </rPr>
      <t>Ok, I’ll have to change the example data to match this.</t>
    </r>
  </si>
  <si>
    <t>anna.makkara@tautest.edu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</si>
</sst>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4">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
      <sz val="12"/>
      <color theme="1"/>
      <name val="Calibri"/>
      <family val="2"/>
      <scheme val="minor"/>
    </font>
    <font>
      <sz val="10"/>
      <color theme="1"/>
      <name val="Calibri"/>
      <family val="2"/>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4">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32" fillId="0" borderId="0" xfId="0" applyFont="1" applyAlignment="1" applyProtection="1">
      <alignment horizontal="left" vertical="center" indent="5"/>
      <protection locked="0"/>
    </xf>
    <xf numFmtId="0" fontId="5" fillId="0" borderId="0" xfId="0" applyFont="1" applyAlignment="1" applyProtection="1">
      <alignment vertical="center"/>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1</xdr:col>
      <xdr:colOff>5775</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1</xdr:col>
      <xdr:colOff>4762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6754</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Anna Makkara</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tabSelected="1" zoomScale="90" zoomScaleNormal="90" workbookViewId="0">
      <pane xSplit="4" ySplit="12" topLeftCell="E13" activePane="bottomRight" state="frozen"/>
      <selection pane="topRight" activeCell="E1" sqref="E1"/>
      <selection pane="bottomLeft" activeCell="A13" sqref="A13"/>
      <selection pane="bottomRight" activeCell="E14" sqref="E14"/>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31" t="s">
        <v>5994</v>
      </c>
      <c r="K8" s="332"/>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t="s">
        <v>6759</v>
      </c>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6719</v>
      </c>
      <c r="BC11" s="197"/>
      <c r="BD11" s="180" t="s">
        <v>6748</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Student identification number</v>
      </c>
      <c r="R13" s="87" t="s">
        <v>6756</v>
      </c>
      <c r="S13" s="79" t="str">
        <f t="shared" ref="S13" si="2">IF(ISBLANK(S$11),"",S$11)</f>
        <v/>
      </c>
      <c r="T13" s="87"/>
      <c r="U13" s="218" t="s">
        <v>6742</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6719</v>
      </c>
      <c r="BC13" s="79" t="str" cm="1">
        <f t="array" ref="BC13">MultiMatch(Persons[[#This Row],[Person.achieved.MultiReference.LearningAchievement.]],AchievementNames,0)</f>
        <v>13</v>
      </c>
      <c r="BD13" s="87" t="s">
        <v>6748</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Anna Makkara</v>
      </c>
      <c r="C14" s="216" t="s">
        <v>6760</v>
      </c>
      <c r="D14" s="216" t="s">
        <v>6761</v>
      </c>
      <c r="E14" s="303">
        <v>34408</v>
      </c>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Student identification number</v>
      </c>
      <c r="R14" s="87" t="s">
        <v>6755</v>
      </c>
      <c r="S14" s="98" t="str">
        <f>IF(ISBLANK(S$11),"",S$11)</f>
        <v/>
      </c>
      <c r="T14" s="87"/>
      <c r="U14" s="329" t="s">
        <v>6763</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6719</v>
      </c>
      <c r="BC14" s="98" t="str" cm="1">
        <f t="array" ref="BC14">MultiMatch(Persons[[#This Row],[Person.achieved.MultiReference.LearningAchievement.]],AchievementNames,0)</f>
        <v>13</v>
      </c>
      <c r="BD14" s="315" t="s">
        <v>6748</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6744</v>
      </c>
      <c r="D15" s="216" t="s">
        <v>6743</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Student identification number</v>
      </c>
      <c r="R15" s="87" t="s">
        <v>6757</v>
      </c>
      <c r="S15" s="98" t="str">
        <f>IF(ISBLANK(S$11),"",S$11)</f>
        <v/>
      </c>
      <c r="T15" s="87"/>
      <c r="U15" s="330" t="s">
        <v>6762</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6719</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6745</v>
      </c>
      <c r="D16" s="216" t="s">
        <v>6746</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Student identification number</v>
      </c>
      <c r="R16" s="87" t="s">
        <v>6758</v>
      </c>
      <c r="S16" s="98" t="str">
        <f>IF(ISBLANK(S$11),"",S$11)</f>
        <v/>
      </c>
      <c r="T16" s="87"/>
      <c r="U16" s="218" t="s">
        <v>6747</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6719</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 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9" sqref="DU9"/>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31" t="s">
        <v>319</v>
      </c>
      <c r="DU8" s="332"/>
      <c r="DV8" s="333" t="s">
        <v>320</v>
      </c>
      <c r="DW8" s="334"/>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6713</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6714</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6715</v>
      </c>
      <c r="BI13" s="103" t="s">
        <v>6716</v>
      </c>
      <c r="BJ13" s="103" t="s">
        <v>6717</v>
      </c>
      <c r="BK13" s="87" t="s">
        <v>6718</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EK13" activePane="bottomRight" state="frozen"/>
      <selection pane="topRight" activeCell="AB1" sqref="AB1"/>
      <selection pane="bottomLeft" activeCell="A13" sqref="A13"/>
      <selection pane="bottomRight" activeCell="EO13" sqref="EO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5" t="s">
        <v>430</v>
      </c>
      <c r="CC1" s="336"/>
      <c r="CD1" s="336"/>
      <c r="CE1" s="336"/>
      <c r="CF1" s="336"/>
      <c r="CG1" s="336"/>
      <c r="CH1" s="336"/>
      <c r="CI1" s="336"/>
      <c r="CJ1" s="336"/>
      <c r="CK1" s="336"/>
      <c r="CL1" s="336"/>
      <c r="CM1" s="336"/>
      <c r="CN1" s="336"/>
      <c r="CO1" s="336"/>
      <c r="CP1" s="336"/>
      <c r="CQ1" s="336"/>
      <c r="CR1" s="336"/>
      <c r="CS1" s="336"/>
      <c r="CT1" s="336"/>
      <c r="CU1" s="336"/>
      <c r="CV1" s="336"/>
      <c r="CW1" s="336"/>
      <c r="CX1" s="336"/>
      <c r="CY1" s="336"/>
      <c r="CZ1" s="336"/>
      <c r="DA1" s="336"/>
      <c r="DB1" s="336"/>
      <c r="DC1" s="336"/>
      <c r="DD1" s="336"/>
      <c r="DE1" s="336"/>
      <c r="DF1" s="336"/>
      <c r="DG1" s="336"/>
      <c r="DH1" s="336"/>
      <c r="DI1" s="336"/>
      <c r="DJ1" s="336"/>
      <c r="DK1" s="336"/>
      <c r="DL1" s="336"/>
      <c r="DM1" s="336"/>
      <c r="DN1" s="336"/>
      <c r="DO1" s="336"/>
      <c r="DP1" s="336"/>
      <c r="DQ1" s="336"/>
      <c r="DR1" s="336"/>
      <c r="DS1" s="336"/>
      <c r="DT1" s="336"/>
      <c r="DU1" s="336"/>
      <c r="DV1" s="336"/>
      <c r="DW1" s="336"/>
      <c r="DX1" s="336"/>
      <c r="DY1" s="336"/>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6719</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6720</v>
      </c>
      <c r="BN13" s="90">
        <f>IF(ISBLANK(Achievements[[#This Row],[LearningAchievement.wasDerivedFrom.Reference.Assessment.]]),"",(MATCH(Achievements[[#This Row],[LearningAchievement.wasDerivedFrom.Reference.Assessment.]],AssessmentNames,0)+12))</f>
        <v>13</v>
      </c>
      <c r="BO13" s="87" t="s">
        <v>6721</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6729</v>
      </c>
      <c r="EL13" s="104" t="str" cm="1">
        <f t="array" ref="EL13">MultiMatch(Achievements[[#This Row],[LearningAchievement.specifiedBy.learningOutcome.MultiReference.LearningOutcome.]],LearningOutcomeNames,0)</f>
        <v>14; 15; 16</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5" sqref="AE15"/>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6722</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6725</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6734</v>
      </c>
      <c r="BP14" s="304" t="str">
        <f>IF(ISBLANK(BQ14),"",BN$11)</f>
        <v>http://data.europa.eu/esco/model#Skill</v>
      </c>
      <c r="BQ14" s="305" t="s">
        <v>6735</v>
      </c>
      <c r="BR14" s="304" t="str">
        <f>IF(ISBLANK(BS14),"",BN$11)</f>
        <v>http://data.europa.eu/esco/model#Skill</v>
      </c>
      <c r="BS14" s="305" t="s">
        <v>6737</v>
      </c>
      <c r="BT14" s="322" t="str">
        <f>IF(ISBLANK(BU14),"",BT$11)</f>
        <v/>
      </c>
      <c r="BU14" s="310"/>
      <c r="BV14" s="305"/>
      <c r="BW14" s="306" t="str">
        <f>IF(ISBLANK(BX14),"",BT$11)</f>
        <v/>
      </c>
      <c r="BX14" s="311"/>
      <c r="BY14" s="305"/>
      <c r="BZ14" s="306" t="str">
        <f>IF(ISBLANK(CA14),"",BT$11)</f>
        <v/>
      </c>
      <c r="CA14" s="310"/>
      <c r="CB14" s="305"/>
    </row>
    <row r="15" spans="1:80" ht="29.1" customHeight="1">
      <c r="B15" s="235" t="s">
        <v>6723</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6726</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6733</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6724</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6727</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6732</v>
      </c>
      <c r="BP16" s="304" t="str">
        <f>IF(ISBLANK(BQ16),"",BN$11)</f>
        <v>http://data.europa.eu/esco/model#Skill</v>
      </c>
      <c r="BQ16" s="305" t="s">
        <v>6728</v>
      </c>
      <c r="BR16" s="304" t="str">
        <f>IF(ISBLANK(BS16),"",BN$11)</f>
        <v>http://data.europa.eu/esco/model#Skill</v>
      </c>
      <c r="BS16" s="305" t="s">
        <v>6736</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FB13" activePane="bottomRight" state="frozen"/>
      <selection pane="topRight" activeCell="AB1" sqref="AB1"/>
      <selection pane="bottomLeft" activeCell="A13" sqref="A13"/>
      <selection pane="bottomRight" activeCell="GJ8" sqref="GJ8"/>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7" t="s">
        <v>430</v>
      </c>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8"/>
      <c r="GP1" s="338"/>
      <c r="GQ1" s="338"/>
      <c r="GR1" s="338"/>
      <c r="GS1" s="338"/>
      <c r="GT1" s="338"/>
      <c r="GU1" s="338"/>
      <c r="GV1" s="338"/>
      <c r="GW1" s="338"/>
      <c r="GX1" s="338"/>
      <c r="GY1" s="338"/>
      <c r="GZ1" s="338"/>
      <c r="HA1" s="338"/>
      <c r="HB1" s="338"/>
      <c r="HC1" s="338"/>
      <c r="HD1" s="338"/>
      <c r="HE1" s="338"/>
      <c r="HF1" s="338"/>
      <c r="HG1" s="338"/>
      <c r="HH1" s="338"/>
      <c r="HI1" s="338"/>
      <c r="HJ1" s="338"/>
      <c r="HK1" s="338"/>
      <c r="HL1" s="338"/>
      <c r="HM1" s="338"/>
      <c r="HN1" s="338"/>
      <c r="HO1" s="338"/>
      <c r="HP1" s="338"/>
      <c r="HQ1" s="338"/>
      <c r="HR1" s="338"/>
      <c r="HS1" s="338"/>
      <c r="HT1" s="338"/>
      <c r="HU1" s="338"/>
      <c r="HV1" s="338"/>
      <c r="HW1" s="338"/>
      <c r="HX1" s="338"/>
      <c r="HY1" s="338"/>
      <c r="HZ1" s="338"/>
      <c r="IA1" s="338"/>
      <c r="IB1" s="338"/>
      <c r="IC1" s="338"/>
      <c r="ID1" s="338"/>
      <c r="IE1" s="338"/>
      <c r="IF1" s="338"/>
      <c r="IG1" s="338"/>
      <c r="IH1" s="338"/>
      <c r="II1" s="338"/>
      <c r="IJ1" s="338"/>
      <c r="IK1" s="338"/>
      <c r="IL1" s="338"/>
      <c r="IM1" s="338"/>
      <c r="IN1" s="338"/>
      <c r="IO1" s="338"/>
      <c r="IP1" s="338"/>
      <c r="IQ1" s="338"/>
      <c r="IR1" s="338"/>
      <c r="IS1" s="338"/>
      <c r="IT1" s="338"/>
      <c r="IU1" s="338"/>
      <c r="IV1" s="338"/>
      <c r="IW1" s="338"/>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6730</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6731</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6738</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6739</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6740</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6741</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zoomScale="90" zoomScaleNormal="90" workbookViewId="0">
      <pane xSplit="30" ySplit="12" topLeftCell="FK13" activePane="bottomRight" state="frozen"/>
      <selection pane="topRight" activeCell="AB1" sqref="AB1"/>
      <selection pane="bottomLeft" activeCell="A13" sqref="A13"/>
      <selection pane="bottomRight" activeCell="GO8" sqref="GO8"/>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9" t="s">
        <v>430</v>
      </c>
      <c r="BR1" s="340"/>
      <c r="BS1" s="340"/>
      <c r="BT1" s="340"/>
      <c r="BU1" s="340"/>
      <c r="BV1" s="340"/>
      <c r="BW1" s="340"/>
      <c r="BX1" s="340"/>
      <c r="BY1" s="34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c r="DA1" s="340"/>
      <c r="DB1" s="340"/>
      <c r="DC1" s="340"/>
      <c r="DD1" s="340"/>
      <c r="DE1" s="340"/>
      <c r="DF1" s="340"/>
      <c r="DG1" s="340"/>
      <c r="DH1" s="340"/>
      <c r="DI1" s="340"/>
      <c r="DJ1" s="340"/>
      <c r="DK1" s="340"/>
      <c r="DL1" s="340"/>
      <c r="DM1" s="340"/>
      <c r="DN1" s="340"/>
      <c r="DO1" s="340"/>
      <c r="DP1" s="340"/>
      <c r="DQ1" s="340"/>
      <c r="DR1" s="340"/>
      <c r="DS1" s="340"/>
      <c r="DT1" s="340"/>
      <c r="DU1" s="340"/>
      <c r="DV1" s="340"/>
      <c r="DW1" s="340"/>
      <c r="DX1" s="340"/>
      <c r="DY1" s="340"/>
      <c r="DZ1" s="340"/>
      <c r="EA1" s="340"/>
      <c r="EB1" s="340"/>
      <c r="EC1" s="340"/>
      <c r="ED1" s="340"/>
      <c r="EE1" s="340"/>
      <c r="EF1" s="340"/>
      <c r="EG1" s="340"/>
      <c r="EH1" s="340"/>
      <c r="EI1" s="340"/>
      <c r="EJ1" s="340"/>
      <c r="EK1" s="340"/>
      <c r="EL1" s="340"/>
      <c r="EM1" s="340"/>
      <c r="EN1" s="340"/>
      <c r="EO1" s="340"/>
      <c r="EP1" s="340"/>
      <c r="EQ1" s="340"/>
      <c r="ER1" s="340"/>
      <c r="ES1" s="340"/>
      <c r="ET1" s="340"/>
      <c r="EU1" s="340"/>
      <c r="EV1" s="340"/>
      <c r="EW1" s="340"/>
      <c r="EX1" s="340"/>
      <c r="EY1" s="340"/>
      <c r="EZ1" s="340"/>
      <c r="FA1" s="340"/>
      <c r="FB1" s="340"/>
      <c r="FC1" s="340"/>
      <c r="FD1" s="340"/>
      <c r="FE1" s="340"/>
      <c r="FF1" s="340"/>
      <c r="FG1" s="340"/>
      <c r="FH1" s="340"/>
      <c r="FI1" s="340"/>
      <c r="FJ1" s="340"/>
      <c r="FK1" s="340"/>
      <c r="FL1" s="340"/>
      <c r="FM1" s="340"/>
      <c r="FN1" s="340"/>
      <c r="FO1" s="340"/>
      <c r="FP1" s="340"/>
      <c r="FQ1" s="340"/>
      <c r="FR1" s="340"/>
      <c r="FS1" s="340"/>
      <c r="FT1" s="340"/>
      <c r="FU1" s="340"/>
      <c r="FV1" s="340"/>
      <c r="FW1" s="340"/>
      <c r="FX1" s="340"/>
      <c r="FY1" s="340"/>
      <c r="FZ1" s="340"/>
      <c r="GA1" s="340"/>
      <c r="GB1" s="340"/>
      <c r="GC1" s="340"/>
      <c r="GD1" s="340"/>
      <c r="GE1" s="340"/>
      <c r="GF1" s="340"/>
      <c r="GG1" s="340"/>
      <c r="GH1" s="340"/>
      <c r="GI1" s="340"/>
      <c r="GJ1" s="340"/>
      <c r="GK1" s="340"/>
      <c r="GL1" s="340"/>
      <c r="GM1" s="340"/>
      <c r="GN1" s="340"/>
      <c r="GO1" s="341" t="s">
        <v>1067</v>
      </c>
      <c r="GP1" s="341"/>
      <c r="GQ1" s="341"/>
      <c r="GR1" s="341"/>
      <c r="GS1" s="341"/>
      <c r="GT1" s="341"/>
      <c r="GU1" s="341"/>
      <c r="GV1" s="341"/>
      <c r="GW1" s="341"/>
      <c r="GX1" s="341"/>
      <c r="GY1" s="341"/>
      <c r="GZ1" s="341"/>
      <c r="HA1" s="341"/>
      <c r="HB1" s="341"/>
      <c r="HC1" s="341"/>
      <c r="HD1" s="341"/>
      <c r="HE1" s="341"/>
      <c r="HF1" s="341"/>
      <c r="HG1" s="341"/>
      <c r="HH1" s="341"/>
      <c r="HI1" s="341"/>
      <c r="HJ1" s="341"/>
      <c r="HK1" s="341"/>
      <c r="HL1" s="341"/>
      <c r="HM1" s="341"/>
      <c r="HN1" s="341"/>
      <c r="HO1" s="341"/>
      <c r="HP1" s="341"/>
      <c r="HQ1" s="341"/>
      <c r="HR1" s="341"/>
      <c r="HS1" s="341"/>
      <c r="HT1" s="341"/>
      <c r="HU1" s="341"/>
      <c r="HV1" s="341"/>
      <c r="HW1" s="341"/>
      <c r="HX1" s="341"/>
      <c r="HY1" s="341"/>
      <c r="HZ1" s="341"/>
      <c r="IA1" s="341"/>
      <c r="IB1" s="341"/>
      <c r="IC1" s="341"/>
      <c r="ID1" s="341"/>
      <c r="IE1" s="341"/>
      <c r="IF1" s="341"/>
      <c r="IG1" s="341"/>
      <c r="IH1" s="341"/>
      <c r="II1" s="341"/>
      <c r="IJ1" s="341"/>
      <c r="IK1" s="341"/>
      <c r="IL1" s="341"/>
      <c r="IM1" s="341"/>
      <c r="IN1" s="341"/>
      <c r="IO1" s="341"/>
      <c r="IP1" s="341"/>
      <c r="IQ1" s="341"/>
      <c r="IR1" s="341"/>
      <c r="IS1" s="341"/>
      <c r="IT1" s="341"/>
      <c r="IU1" s="341"/>
      <c r="IV1" s="341"/>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6720</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6752</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
        <v>6753</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6749</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6750</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6751</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2" t="s">
        <v>430</v>
      </c>
      <c r="BO1" s="343"/>
      <c r="BP1" s="343"/>
      <c r="BQ1" s="343"/>
      <c r="BR1" s="343"/>
      <c r="BS1" s="343"/>
      <c r="BT1" s="343"/>
      <c r="BU1" s="343"/>
      <c r="BV1" s="343"/>
      <c r="BW1" s="343"/>
      <c r="BX1" s="343"/>
      <c r="BY1" s="343"/>
      <c r="BZ1" s="343"/>
      <c r="CA1" s="343"/>
      <c r="CB1" s="343"/>
      <c r="CC1" s="343"/>
      <c r="CD1" s="343"/>
      <c r="CE1" s="343"/>
      <c r="CF1" s="343"/>
      <c r="CG1" s="343"/>
      <c r="CH1" s="343"/>
      <c r="CI1" s="343"/>
      <c r="CJ1" s="343"/>
      <c r="CK1" s="343"/>
      <c r="CL1" s="343"/>
      <c r="CM1" s="343"/>
      <c r="CN1" s="343"/>
      <c r="CO1" s="343"/>
      <c r="CP1" s="343"/>
      <c r="CQ1" s="343"/>
      <c r="CR1" s="343"/>
      <c r="CS1" s="343"/>
      <c r="CT1" s="343"/>
      <c r="CU1" s="343"/>
      <c r="CV1" s="343"/>
      <c r="CW1" s="343"/>
      <c r="CX1" s="343"/>
      <c r="CY1" s="343"/>
      <c r="CZ1" s="343"/>
      <c r="DA1" s="343"/>
      <c r="DB1" s="343"/>
      <c r="DC1" s="343"/>
      <c r="DD1" s="343"/>
      <c r="DE1" s="343"/>
      <c r="DF1" s="343"/>
      <c r="DG1" s="343"/>
      <c r="DH1" s="343"/>
      <c r="DI1" s="343"/>
      <c r="DJ1" s="343"/>
      <c r="DK1" s="343"/>
      <c r="DL1" s="343"/>
      <c r="DM1" s="343"/>
      <c r="DN1" s="343"/>
      <c r="DO1" s="343"/>
      <c r="DP1" s="343"/>
      <c r="DQ1" s="343"/>
      <c r="DR1" s="343"/>
      <c r="DS1" s="343"/>
      <c r="DT1" s="343"/>
      <c r="DU1" s="343"/>
      <c r="DV1" s="343"/>
      <c r="DW1" s="343"/>
      <c r="DX1" s="343"/>
      <c r="DY1" s="343"/>
      <c r="DZ1" s="343"/>
      <c r="EA1" s="343"/>
      <c r="EB1" s="343"/>
      <c r="EC1" s="343"/>
      <c r="ED1" s="343"/>
      <c r="EE1" s="343"/>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2022-05-06T12:38:50Z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